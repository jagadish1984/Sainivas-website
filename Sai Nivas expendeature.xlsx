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ables/table1.xml" ContentType="application/vnd.openxmlformats-officedocument.spreadsheetml.table+xml"/>
  <Override PartName="/xl/worksheets/sheet68.xml" ContentType="application/vnd.openxmlformats-officedocument.spreadsheetml.worksheet+xml"/>
  <Override PartName="/xl/tables/table2.xml" ContentType="application/vnd.openxmlformats-officedocument.spreadsheetml.table+xml"/>
  <Override PartName="/xl/worksheets/sheet69.xml" ContentType="application/vnd.openxmlformats-officedocument.spreadsheetml.worksheet+xml"/>
  <Override PartName="/xl/tables/table3.xml" ContentType="application/vnd.openxmlformats-officedocument.spreadsheetml.table+xml"/>
  <Override PartName="/xl/worksheets/sheet70.xml" ContentType="application/vnd.openxmlformats-officedocument.spreadsheetml.worksheet+xml"/>
  <Override PartName="/xl/tables/table4.xml" ContentType="application/vnd.openxmlformats-officedocument.spreadsheetml.table+xml"/>
  <Override PartName="/xl/worksheets/sheet71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43" firstSheet="65" activeTab="65" autoFilterDateGrouping="1"/>
  </bookViews>
  <sheets>
    <sheet name="June 2020" sheetId="1" state="visible" r:id="rId1"/>
    <sheet name="PARTY " sheetId="2" state="visible" r:id="rId2"/>
    <sheet name="July_2020" sheetId="3" state="visible" r:id="rId3"/>
    <sheet name="August_2020" sheetId="4" state="visible" r:id="rId4"/>
    <sheet name="September_2020" sheetId="5" state="visible" r:id="rId5"/>
    <sheet name="October 2020" sheetId="6" state="visible" r:id="rId6"/>
    <sheet name="November 2020" sheetId="7" state="visible" r:id="rId7"/>
    <sheet name="Dec2020" sheetId="8" state="visible" r:id="rId8"/>
    <sheet name="Jan 2021" sheetId="9" state="visible" r:id="rId9"/>
    <sheet name="Feb2021" sheetId="10" state="visible" r:id="rId10"/>
    <sheet name="march 2021" sheetId="11" state="visible" r:id="rId11"/>
    <sheet name="April 2021" sheetId="12" state="visible" r:id="rId12"/>
    <sheet name="May 2021" sheetId="13" state="visible" r:id="rId13"/>
    <sheet name="June 2021" sheetId="14" state="visible" r:id="rId14"/>
    <sheet name="July 2021 " sheetId="15" state="visible" r:id="rId15"/>
    <sheet name="AUG 2021" sheetId="16" state="visible" r:id="rId16"/>
    <sheet name="SEP 2021 " sheetId="17" state="visible" r:id="rId17"/>
    <sheet name="Oct 2021 " sheetId="18" state="visible" r:id="rId18"/>
    <sheet name="Nov 2021" sheetId="19" state="visible" r:id="rId19"/>
    <sheet name="DEC 2021 (2)" sheetId="20" state="visible" r:id="rId20"/>
    <sheet name="JAN 2022" sheetId="21" state="visible" r:id="rId21"/>
    <sheet name="Mar 2022" sheetId="22" state="visible" r:id="rId22"/>
    <sheet name="FEB 2022" sheetId="23" state="visible" r:id="rId23"/>
    <sheet name="Apr2022" sheetId="24" state="visible" r:id="rId24"/>
    <sheet name="May 2022" sheetId="25" state="visible" r:id="rId25"/>
    <sheet name="June 2022" sheetId="26" state="visible" r:id="rId26"/>
    <sheet name="July 2022" sheetId="27" state="visible" r:id="rId27"/>
    <sheet name="Aug 2022" sheetId="28" state="visible" r:id="rId28"/>
    <sheet name="Sep 2022" sheetId="29" state="visible" r:id="rId29"/>
    <sheet name="Oct 2022" sheetId="30" state="visible" r:id="rId30"/>
    <sheet name="Nov 2022" sheetId="31" state="visible" r:id="rId31"/>
    <sheet name="Dec 2022" sheetId="32" state="visible" r:id="rId32"/>
    <sheet name="Jan 2023" sheetId="33" state="visible" r:id="rId33"/>
    <sheet name="Feb - 2023 " sheetId="34" state="visible" r:id="rId34"/>
    <sheet name="March - 2023" sheetId="35" state="visible" r:id="rId35"/>
    <sheet name="Apr-2023" sheetId="36" state="visible" r:id="rId36"/>
    <sheet name="May-2023" sheetId="37" state="visible" r:id="rId37"/>
    <sheet name="June 2023" sheetId="38" state="visible" r:id="rId38"/>
    <sheet name="July 2023" sheetId="39" state="visible" r:id="rId39"/>
    <sheet name="Aug 2023" sheetId="40" state="visible" r:id="rId40"/>
    <sheet name="Sep 2023 (2)" sheetId="41" state="visible" r:id="rId41"/>
    <sheet name="OCT 2023 (2)" sheetId="42" state="visible" r:id="rId42"/>
    <sheet name="Nov 2023 (2)" sheetId="43" state="visible" r:id="rId43"/>
    <sheet name="Dec 2023" sheetId="44" state="visible" r:id="rId44"/>
    <sheet name="Jan 2024" sheetId="45" state="visible" r:id="rId45"/>
    <sheet name="Feb 2024" sheetId="46" state="visible" r:id="rId46"/>
    <sheet name="Mar-2024" sheetId="47" state="visible" r:id="rId47"/>
    <sheet name="APR -2024" sheetId="48" state="visible" r:id="rId48"/>
    <sheet name="May-2024" sheetId="49" state="visible" r:id="rId49"/>
    <sheet name="June -2024" sheetId="50" state="visible" r:id="rId50"/>
    <sheet name="July-2024" sheetId="51" state="visible" r:id="rId51"/>
    <sheet name="Aug-2024" sheetId="52" state="visible" r:id="rId52"/>
    <sheet name="Sep-2024" sheetId="53" state="visible" r:id="rId53"/>
    <sheet name="Oct-2024" sheetId="54" state="visible" r:id="rId54"/>
    <sheet name="Dec-2024" sheetId="55" state="visible" r:id="rId55"/>
    <sheet name="Jan-2025" sheetId="56" state="visible" r:id="rId56"/>
    <sheet name="Feb-2025" sheetId="57" state="visible" r:id="rId57"/>
    <sheet name="Mar-2025" sheetId="58" state="visible" r:id="rId58"/>
    <sheet name="April-2025" sheetId="59" state="visible" r:id="rId59"/>
    <sheet name="May-2025" sheetId="60" state="visible" r:id="rId60"/>
    <sheet name="June-2025" sheetId="61" state="visible" r:id="rId61"/>
    <sheet name="July-2025" sheetId="62" state="visible" r:id="rId62"/>
    <sheet name="Aug-2025" sheetId="63" state="visible" r:id="rId63"/>
    <sheet name="SEP-2025" sheetId="64" state="visible" r:id="rId64"/>
    <sheet name="OCT-2025" sheetId="65" state="visible" r:id="rId65"/>
    <sheet name="Nov-2025" sheetId="66" state="visible" r:id="rId66"/>
    <sheet name="Dec-2025" sheetId="67" state="visible" r:id="rId67"/>
    <sheet name="Jan-2026" sheetId="68" state="visible" r:id="rId68"/>
    <sheet name="Feb-2026" sheetId="69" state="visible" r:id="rId69"/>
    <sheet name="March-2026" sheetId="70" state="visible" r:id="rId70"/>
    <sheet name="April-2026" sheetId="71" state="visible" r:id="rId71"/>
    <sheet name="Ganesh Festival" sheetId="72" state="visible" r:id="rId72"/>
    <sheet name="Carpus Fund" sheetId="73" state="visible" r:id="rId73"/>
    <sheet name="Curpus Fund2" sheetId="74" state="visible" r:id="rId74"/>
    <sheet name="Water connecion" sheetId="75" state="visible" r:id="rId7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0.000000"/>
  </numFmts>
  <fonts count="27">
    <font>
      <name val="Calibri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b val="1"/>
      <color rgb="FFFF0000"/>
      <sz val="11"/>
    </font>
    <font>
      <name val="Calibri"/>
      <family val="2"/>
      <color rgb="FFFF0000"/>
      <sz val="11"/>
    </font>
    <font>
      <name val="Calibri"/>
      <family val="2"/>
      <color rgb="FF0563C1"/>
      <sz val="11"/>
      <u val="single"/>
    </font>
    <font>
      <name val="Calibri"/>
      <family val="2"/>
      <b val="1"/>
      <color rgb="FF7030A0"/>
      <sz val="11"/>
    </font>
    <font>
      <name val="Calibri"/>
      <family val="2"/>
      <b val="1"/>
      <color rgb="FF00B050"/>
      <sz val="11"/>
    </font>
    <font>
      <name val="Calibri"/>
      <family val="2"/>
      <b val="1"/>
      <color rgb="FF002060"/>
      <sz val="11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ED0000"/>
      <sz val="11"/>
    </font>
    <font>
      <name val="Calibri"/>
      <family val="2"/>
      <color rgb="FFED0000"/>
      <sz val="11"/>
    </font>
    <font>
      <name val="Calibri"/>
      <family val="2"/>
      <color rgb="FFFF0000"/>
      <sz val="11"/>
      <scheme val="minor"/>
    </font>
    <font>
      <name val="Calibri"/>
      <color theme="1"/>
      <sz val="11"/>
      <scheme val="minor"/>
    </font>
    <font>
      <name val="Calibri"/>
      <family val="2"/>
      <sz val="8"/>
      <scheme val="minor"/>
    </font>
  </fonts>
  <fills count="3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  <fill>
      <patternFill patternType="solid">
        <fgColor rgb="FFC55A11"/>
        <bgColor rgb="FFC55A11"/>
      </patternFill>
    </fill>
    <fill>
      <patternFill patternType="solid">
        <fgColor rgb="FFFFC000"/>
        <bgColor rgb="FFFFC000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rgb="FF70AD47"/>
        <bgColor rgb="FF70AD47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rgb="FFC55A11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65">
    <border>
      <left/>
      <right/>
      <top/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theme="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34"/>
  </cellStyleXfs>
  <cellXfs count="38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1" pivotButton="0" quotePrefix="0" xfId="0"/>
    <xf numFmtId="0" fontId="7" fillId="0" borderId="2" pivotButton="0" quotePrefix="0" xfId="0"/>
    <xf numFmtId="0" fontId="7" fillId="0" borderId="3" pivotButton="0" quotePrefix="0" xfId="0"/>
    <xf numFmtId="0" fontId="7" fillId="0" borderId="4" pivotButton="0" quotePrefix="0" xfId="0"/>
    <xf numFmtId="0" fontId="8" fillId="0" borderId="5" pivotButton="0" quotePrefix="0" xfId="0"/>
    <xf numFmtId="0" fontId="8" fillId="0" borderId="4" applyAlignment="1" pivotButton="0" quotePrefix="0" xfId="0">
      <alignment horizontal="center"/>
    </xf>
    <xf numFmtId="164" fontId="8" fillId="0" borderId="4" pivotButton="0" quotePrefix="0" xfId="0"/>
    <xf numFmtId="0" fontId="8" fillId="0" borderId="6" pivotButton="0" quotePrefix="0" xfId="0"/>
    <xf numFmtId="0" fontId="8" fillId="0" borderId="4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0" borderId="9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2" borderId="4" pivotButton="0" quotePrefix="0" xfId="0"/>
    <xf numFmtId="0" fontId="8" fillId="3" borderId="4" pivotButton="0" quotePrefix="0" xfId="0"/>
    <xf numFmtId="0" fontId="8" fillId="3" borderId="4" applyAlignment="1" pivotButton="0" quotePrefix="0" xfId="0">
      <alignment horizontal="center"/>
    </xf>
    <xf numFmtId="0" fontId="7" fillId="4" borderId="10" pivotButton="0" quotePrefix="0" xfId="0"/>
    <xf numFmtId="14" fontId="8" fillId="0" borderId="4" pivotButton="0" quotePrefix="0" xfId="0"/>
    <xf numFmtId="0" fontId="8" fillId="0" borderId="11" applyAlignment="1" pivotButton="0" quotePrefix="0" xfId="0">
      <alignment horizontal="center"/>
    </xf>
    <xf numFmtId="0" fontId="8" fillId="0" borderId="10" pivotButton="0" quotePrefix="0" xfId="0"/>
    <xf numFmtId="164" fontId="8" fillId="0" borderId="10" pivotButton="0" quotePrefix="0" xfId="0"/>
    <xf numFmtId="15" fontId="8" fillId="0" borderId="10" pivotButton="0" quotePrefix="0" xfId="0"/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7" fillId="0" borderId="10" pivotButton="0" quotePrefix="0" xfId="0"/>
    <xf numFmtId="0" fontId="7" fillId="5" borderId="10" pivotButton="0" quotePrefix="0" xfId="0"/>
    <xf numFmtId="0" fontId="8" fillId="0" borderId="10" applyAlignment="1" pivotButton="0" quotePrefix="0" xfId="0">
      <alignment horizontal="center"/>
    </xf>
    <xf numFmtId="2" fontId="8" fillId="0" borderId="10" applyAlignment="1" pivotButton="0" quotePrefix="0" xfId="0">
      <alignment horizontal="center"/>
    </xf>
    <xf numFmtId="0" fontId="8" fillId="5" borderId="10" pivotButton="0" quotePrefix="0" xfId="0"/>
    <xf numFmtId="0" fontId="8" fillId="6" borderId="10" applyAlignment="1" pivotButton="0" quotePrefix="0" xfId="0">
      <alignment horizontal="center"/>
    </xf>
    <xf numFmtId="2" fontId="8" fillId="6" borderId="10" applyAlignment="1" pivotButton="0" quotePrefix="0" xfId="0">
      <alignment horizontal="center"/>
    </xf>
    <xf numFmtId="0" fontId="8" fillId="6" borderId="10" pivotButton="0" quotePrefix="0" xfId="0"/>
    <xf numFmtId="0" fontId="8" fillId="7" borderId="14" pivotButton="0" quotePrefix="0" xfId="0"/>
    <xf numFmtId="0" fontId="12" fillId="0" borderId="0" pivotButton="0" quotePrefix="0" xfId="0"/>
    <xf numFmtId="0" fontId="7" fillId="5" borderId="15" pivotButton="0" quotePrefix="0" xfId="0"/>
    <xf numFmtId="0" fontId="8" fillId="5" borderId="15" pivotButton="0" quotePrefix="0" xfId="0"/>
    <xf numFmtId="0" fontId="8" fillId="6" borderId="15" pivotButton="0" quotePrefix="0" xfId="0"/>
    <xf numFmtId="0" fontId="7" fillId="0" borderId="11" pivotButton="0" quotePrefix="0" xfId="0"/>
    <xf numFmtId="0" fontId="8" fillId="0" borderId="11" pivotButton="0" quotePrefix="0" xfId="0"/>
    <xf numFmtId="0" fontId="14" fillId="0" borderId="0" pivotButton="0" quotePrefix="0" xfId="0"/>
    <xf numFmtId="0" fontId="13" fillId="7" borderId="14" pivotButton="0" quotePrefix="0" xfId="0"/>
    <xf numFmtId="2" fontId="8" fillId="0" borderId="10" pivotButton="0" quotePrefix="0" xfId="0"/>
    <xf numFmtId="2" fontId="8" fillId="6" borderId="16" applyAlignment="1" pivotButton="0" quotePrefix="0" xfId="0">
      <alignment horizontal="center"/>
    </xf>
    <xf numFmtId="0" fontId="8" fillId="2" borderId="14" pivotButton="0" quotePrefix="0" xfId="0"/>
    <xf numFmtId="0" fontId="8" fillId="0" borderId="0" applyAlignment="1" pivotButton="0" quotePrefix="0" xfId="0">
      <alignment wrapText="1"/>
    </xf>
    <xf numFmtId="0" fontId="7" fillId="0" borderId="0" applyAlignment="1" pivotButton="0" quotePrefix="0" xfId="0">
      <alignment vertical="top" wrapText="1"/>
    </xf>
    <xf numFmtId="0" fontId="7" fillId="0" borderId="10" applyAlignment="1" pivotButton="0" quotePrefix="0" xfId="0">
      <alignment horizontal="center"/>
    </xf>
    <xf numFmtId="0" fontId="8" fillId="5" borderId="15" applyAlignment="1" pivotButton="0" quotePrefix="0" xfId="0">
      <alignment horizontal="center"/>
    </xf>
    <xf numFmtId="0" fontId="15" fillId="0" borderId="10" applyAlignment="1" pivotButton="0" quotePrefix="0" xfId="0">
      <alignment horizontal="center"/>
    </xf>
    <xf numFmtId="0" fontId="8" fillId="0" borderId="1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15" fillId="0" borderId="0" pivotButton="0" quotePrefix="0" xfId="0"/>
    <xf numFmtId="0" fontId="8" fillId="8" borderId="14" pivotButton="0" quotePrefix="0" xfId="0"/>
    <xf numFmtId="0" fontId="16" fillId="0" borderId="0" applyAlignment="1" pivotButton="0" quotePrefix="0" xfId="0">
      <alignment wrapText="1"/>
    </xf>
    <xf numFmtId="0" fontId="16" fillId="0" borderId="0" pivotButton="0" quotePrefix="0" xfId="0"/>
    <xf numFmtId="0" fontId="17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/>
    </xf>
    <xf numFmtId="0" fontId="8" fillId="9" borderId="10" applyAlignment="1" pivotButton="0" quotePrefix="0" xfId="0">
      <alignment horizontal="center"/>
    </xf>
    <xf numFmtId="0" fontId="8" fillId="10" borderId="10" applyAlignment="1" pivotButton="0" quotePrefix="0" xfId="0">
      <alignment horizontal="center"/>
    </xf>
    <xf numFmtId="0" fontId="8" fillId="9" borderId="16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5" borderId="10" applyAlignment="1" pivotButton="0" quotePrefix="0" xfId="0">
      <alignment horizontal="center"/>
    </xf>
    <xf numFmtId="0" fontId="8" fillId="6" borderId="15" applyAlignment="1" pivotButton="0" quotePrefix="0" xfId="0">
      <alignment horizontal="center"/>
    </xf>
    <xf numFmtId="0" fontId="7" fillId="8" borderId="14" pivotButton="0" quotePrefix="0" xfId="0"/>
    <xf numFmtId="0" fontId="8" fillId="0" borderId="17" applyAlignment="1" pivotButton="0" quotePrefix="0" xfId="0">
      <alignment horizontal="center"/>
    </xf>
    <xf numFmtId="0" fontId="8" fillId="9" borderId="14" pivotButton="0" quotePrefix="0" xfId="0"/>
    <xf numFmtId="0" fontId="8" fillId="5" borderId="18" pivotButton="0" quotePrefix="0" xfId="0"/>
    <xf numFmtId="0" fontId="8" fillId="5" borderId="19" pivotButton="0" quotePrefix="0" xfId="0"/>
    <xf numFmtId="0" fontId="7" fillId="5" borderId="15" applyAlignment="1" pivotButton="0" quotePrefix="0" xfId="0">
      <alignment horizontal="center"/>
    </xf>
    <xf numFmtId="0" fontId="7" fillId="6" borderId="10" applyAlignment="1" pivotButton="0" quotePrefix="0" xfId="0">
      <alignment horizontal="center"/>
    </xf>
    <xf numFmtId="0" fontId="8" fillId="11" borderId="10" applyAlignment="1" pivotButton="0" quotePrefix="0" xfId="0">
      <alignment horizontal="center"/>
    </xf>
    <xf numFmtId="2" fontId="8" fillId="11" borderId="10" applyAlignment="1" pivotButton="0" quotePrefix="0" xfId="0">
      <alignment horizontal="center"/>
    </xf>
    <xf numFmtId="0" fontId="8" fillId="12" borderId="10" applyAlignment="1" pivotButton="0" quotePrefix="0" xfId="0">
      <alignment horizontal="center"/>
    </xf>
    <xf numFmtId="2" fontId="8" fillId="12" borderId="10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13" fillId="11" borderId="10" applyAlignment="1" pivotButton="0" quotePrefix="0" xfId="0">
      <alignment horizontal="center"/>
    </xf>
    <xf numFmtId="2" fontId="13" fillId="11" borderId="10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8" fillId="8" borderId="14" applyAlignment="1" pivotButton="0" quotePrefix="0" xfId="0">
      <alignment horizontal="center"/>
    </xf>
    <xf numFmtId="0" fontId="17" fillId="0" borderId="10" applyAlignment="1" pivotButton="0" quotePrefix="0" xfId="0">
      <alignment horizontal="center" vertical="top" wrapText="1"/>
    </xf>
    <xf numFmtId="0" fontId="17" fillId="0" borderId="1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wrapText="1"/>
    </xf>
    <xf numFmtId="0" fontId="8" fillId="2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7" fillId="0" borderId="20" applyAlignment="1" pivotButton="0" quotePrefix="0" xfId="0">
      <alignment horizontal="center" vertical="top" wrapText="1"/>
    </xf>
    <xf numFmtId="0" fontId="17" fillId="0" borderId="20" applyAlignment="1" pivotButton="0" quotePrefix="0" xfId="0">
      <alignment horizontal="center" vertical="top"/>
    </xf>
    <xf numFmtId="0" fontId="8" fillId="0" borderId="20" applyAlignment="1" pivotButton="0" quotePrefix="0" xfId="0">
      <alignment horizontal="center"/>
    </xf>
    <xf numFmtId="0" fontId="7" fillId="0" borderId="21" applyAlignment="1" pivotButton="0" quotePrefix="0" xfId="0">
      <alignment horizontal="center"/>
    </xf>
    <xf numFmtId="0" fontId="7" fillId="0" borderId="22" applyAlignment="1" pivotButton="0" quotePrefix="0" xfId="0">
      <alignment wrapText="1"/>
    </xf>
    <xf numFmtId="0" fontId="7" fillId="0" borderId="25" applyAlignment="1" pivotButton="0" quotePrefix="0" xfId="0">
      <alignment horizontal="center"/>
    </xf>
    <xf numFmtId="0" fontId="8" fillId="0" borderId="26" applyAlignment="1" pivotButton="0" quotePrefix="0" xfId="0">
      <alignment horizontal="center"/>
    </xf>
    <xf numFmtId="0" fontId="8" fillId="0" borderId="27" applyAlignment="1" pivotButton="0" quotePrefix="0" xfId="0">
      <alignment horizontal="center"/>
    </xf>
    <xf numFmtId="0" fontId="8" fillId="0" borderId="28" applyAlignment="1" pivotButton="0" quotePrefix="0" xfId="0">
      <alignment horizontal="center"/>
    </xf>
    <xf numFmtId="0" fontId="18" fillId="0" borderId="26" applyAlignment="1" pivotButton="0" quotePrefix="0" xfId="0">
      <alignment horizontal="center"/>
    </xf>
    <xf numFmtId="0" fontId="18" fillId="0" borderId="27" applyAlignment="1" pivotButton="0" quotePrefix="0" xfId="0">
      <alignment horizontal="center"/>
    </xf>
    <xf numFmtId="0" fontId="18" fillId="0" borderId="29" applyAlignment="1" pivotButton="0" quotePrefix="0" xfId="0">
      <alignment horizontal="center"/>
    </xf>
    <xf numFmtId="0" fontId="8" fillId="0" borderId="26" applyAlignment="1" pivotButton="0" quotePrefix="0" xfId="0">
      <alignment horizontal="center" wrapText="1"/>
    </xf>
    <xf numFmtId="0" fontId="7" fillId="13" borderId="26" applyAlignment="1" pivotButton="0" quotePrefix="0" xfId="0">
      <alignment horizontal="center"/>
    </xf>
    <xf numFmtId="1" fontId="8" fillId="0" borderId="27" applyAlignment="1" pivotButton="0" quotePrefix="0" xfId="0">
      <alignment horizontal="center"/>
    </xf>
    <xf numFmtId="0" fontId="8" fillId="0" borderId="30" applyAlignment="1" pivotButton="0" quotePrefix="0" xfId="0">
      <alignment horizontal="center"/>
    </xf>
    <xf numFmtId="0" fontId="8" fillId="0" borderId="31" applyAlignment="1" pivotButton="0" quotePrefix="0" xfId="0">
      <alignment horizontal="center"/>
    </xf>
    <xf numFmtId="0" fontId="8" fillId="13" borderId="30" applyAlignment="1" pivotButton="0" quotePrefix="0" xfId="0">
      <alignment horizontal="center"/>
    </xf>
    <xf numFmtId="1" fontId="7" fillId="0" borderId="31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1" fontId="8" fillId="0" borderId="0" applyAlignment="1" pivotButton="0" quotePrefix="0" xfId="0">
      <alignment horizontal="center"/>
    </xf>
    <xf numFmtId="15" fontId="8" fillId="0" borderId="0" pivotButton="0" quotePrefix="0" xfId="0"/>
    <xf numFmtId="0" fontId="15" fillId="0" borderId="20" applyAlignment="1" pivotButton="0" quotePrefix="0" xfId="0">
      <alignment horizontal="center"/>
    </xf>
    <xf numFmtId="165" fontId="8" fillId="0" borderId="10" applyAlignment="1" pivotButton="0" quotePrefix="0" xfId="0">
      <alignment horizontal="center"/>
    </xf>
    <xf numFmtId="0" fontId="18" fillId="11" borderId="10" applyAlignment="1" pivotButton="0" quotePrefix="0" xfId="0">
      <alignment horizontal="center"/>
    </xf>
    <xf numFmtId="0" fontId="7" fillId="5" borderId="10" applyAlignment="1" pivotButton="0" quotePrefix="0" xfId="0">
      <alignment horizontal="center"/>
    </xf>
    <xf numFmtId="0" fontId="18" fillId="0" borderId="10" applyAlignment="1" pivotButton="0" quotePrefix="0" xfId="0">
      <alignment vertical="center"/>
    </xf>
    <xf numFmtId="0" fontId="8" fillId="0" borderId="10" applyAlignment="1" pivotButton="0" quotePrefix="0" xfId="0">
      <alignment wrapText="1"/>
    </xf>
    <xf numFmtId="0" fontId="7" fillId="8" borderId="10" pivotButton="0" quotePrefix="0" xfId="0"/>
    <xf numFmtId="0" fontId="8" fillId="8" borderId="10" pivotButton="0" quotePrefix="0" xfId="0"/>
    <xf numFmtId="0" fontId="8" fillId="0" borderId="10" applyAlignment="1" pivotButton="0" quotePrefix="0" xfId="0">
      <alignment horizontal="left"/>
    </xf>
    <xf numFmtId="0" fontId="8" fillId="0" borderId="10" applyAlignment="1" pivotButton="0" quotePrefix="0" xfId="0">
      <alignment horizontal="center" wrapText="1"/>
    </xf>
    <xf numFmtId="16" fontId="15" fillId="0" borderId="10" applyAlignment="1" pivotButton="0" quotePrefix="0" xfId="0">
      <alignment horizontal="center"/>
    </xf>
    <xf numFmtId="0" fontId="9" fillId="0" borderId="10" applyAlignment="1" pivotButton="0" quotePrefix="0" xfId="0">
      <alignment vertical="center"/>
    </xf>
    <xf numFmtId="0" fontId="18" fillId="0" borderId="17" applyAlignment="1" pivotButton="0" quotePrefix="0" xfId="0">
      <alignment vertical="center"/>
    </xf>
    <xf numFmtId="0" fontId="18" fillId="0" borderId="10" applyAlignment="1" pivotButton="0" quotePrefix="0" xfId="0">
      <alignment horizontal="center" vertical="center"/>
    </xf>
    <xf numFmtId="0" fontId="18" fillId="0" borderId="10" applyAlignment="1" pivotButton="0" quotePrefix="0" xfId="0">
      <alignment vertical="center" wrapText="1"/>
    </xf>
    <xf numFmtId="14" fontId="18" fillId="0" borderId="10" applyAlignment="1" pivotButton="0" quotePrefix="0" xfId="0">
      <alignment vertical="center"/>
    </xf>
    <xf numFmtId="0" fontId="15" fillId="5" borderId="10" applyAlignment="1" pivotButton="0" quotePrefix="0" xfId="0">
      <alignment horizontal="center"/>
    </xf>
    <xf numFmtId="16" fontId="18" fillId="0" borderId="10" applyAlignment="1" pivotButton="0" quotePrefix="0" xfId="0">
      <alignment vertical="center"/>
    </xf>
    <xf numFmtId="0" fontId="18" fillId="5" borderId="10" applyAlignment="1" pivotButton="0" quotePrefix="0" xfId="0">
      <alignment vertical="center"/>
    </xf>
    <xf numFmtId="0" fontId="8" fillId="9" borderId="32" applyAlignment="1" pivotButton="0" quotePrefix="0" xfId="0">
      <alignment horizontal="center"/>
    </xf>
    <xf numFmtId="0" fontId="18" fillId="5" borderId="14" applyAlignment="1" pivotButton="0" quotePrefix="0" xfId="0">
      <alignment vertical="center"/>
    </xf>
    <xf numFmtId="0" fontId="7" fillId="0" borderId="10" applyAlignment="1" pivotButton="0" quotePrefix="0" xfId="0">
      <alignment horizontal="center" vertical="top"/>
    </xf>
    <xf numFmtId="0" fontId="7" fillId="5" borderId="10" applyAlignment="1" pivotButton="0" quotePrefix="0" xfId="0">
      <alignment horizontal="center" vertical="top"/>
    </xf>
    <xf numFmtId="0" fontId="8" fillId="0" borderId="10" applyAlignment="1" pivotButton="0" quotePrefix="0" xfId="0">
      <alignment horizontal="center" vertical="top"/>
    </xf>
    <xf numFmtId="0" fontId="18" fillId="0" borderId="10" applyAlignment="1" pivotButton="0" quotePrefix="0" xfId="0">
      <alignment vertical="top" wrapText="1"/>
    </xf>
    <xf numFmtId="0" fontId="18" fillId="5" borderId="10" applyAlignment="1" pivotButton="0" quotePrefix="0" xfId="0">
      <alignment vertical="top"/>
    </xf>
    <xf numFmtId="0" fontId="18" fillId="0" borderId="10" applyAlignment="1" pivotButton="0" quotePrefix="0" xfId="0">
      <alignment vertical="top"/>
    </xf>
    <xf numFmtId="2" fontId="8" fillId="0" borderId="10" applyAlignment="1" pivotButton="0" quotePrefix="0" xfId="0">
      <alignment horizontal="center" vertical="top"/>
    </xf>
    <xf numFmtId="0" fontId="7" fillId="0" borderId="10" applyAlignment="1" pivotButton="0" quotePrefix="0" xfId="0">
      <alignment horizontal="left" vertical="top"/>
    </xf>
    <xf numFmtId="0" fontId="7" fillId="5" borderId="10" applyAlignment="1" pivotButton="0" quotePrefix="0" xfId="0">
      <alignment horizontal="left" vertical="top"/>
    </xf>
    <xf numFmtId="0" fontId="8" fillId="0" borderId="10" applyAlignment="1" pivotButton="0" quotePrefix="0" xfId="0">
      <alignment horizontal="left" vertical="top"/>
    </xf>
    <xf numFmtId="0" fontId="18" fillId="0" borderId="10" applyAlignment="1" pivotButton="0" quotePrefix="0" xfId="0">
      <alignment horizontal="left" vertical="top" wrapText="1"/>
    </xf>
    <xf numFmtId="0" fontId="18" fillId="5" borderId="10" applyAlignment="1" pivotButton="0" quotePrefix="0" xfId="0">
      <alignment horizontal="left" vertical="top"/>
    </xf>
    <xf numFmtId="0" fontId="9" fillId="14" borderId="10" applyAlignment="1" pivotButton="0" quotePrefix="0" xfId="0">
      <alignment vertical="center"/>
    </xf>
    <xf numFmtId="0" fontId="18" fillId="14" borderId="10" applyAlignment="1" pivotButton="0" quotePrefix="0" xfId="0">
      <alignment vertical="center"/>
    </xf>
    <xf numFmtId="16" fontId="9" fillId="5" borderId="10" applyAlignment="1" pivotButton="0" quotePrefix="0" xfId="0">
      <alignment horizontal="center"/>
    </xf>
    <xf numFmtId="0" fontId="7" fillId="0" borderId="10" applyAlignment="1" pivotButton="0" quotePrefix="0" xfId="0">
      <alignment horizontal="left"/>
    </xf>
    <xf numFmtId="0" fontId="7" fillId="5" borderId="10" applyAlignment="1" pivotButton="0" quotePrefix="0" xfId="0">
      <alignment horizontal="left"/>
    </xf>
    <xf numFmtId="0" fontId="9" fillId="15" borderId="10" applyAlignment="1" pivotButton="0" quotePrefix="0" xfId="0">
      <alignment vertical="center"/>
    </xf>
    <xf numFmtId="0" fontId="18" fillId="15" borderId="10" applyAlignment="1" pivotButton="0" quotePrefix="0" xfId="0">
      <alignment vertical="center"/>
    </xf>
    <xf numFmtId="0" fontId="9" fillId="0" borderId="10" applyAlignment="1" pivotButton="0" quotePrefix="0" xfId="0">
      <alignment wrapText="1"/>
    </xf>
    <xf numFmtId="0" fontId="18" fillId="5" borderId="10" pivotButton="0" quotePrefix="0" xfId="0"/>
    <xf numFmtId="0" fontId="18" fillId="0" borderId="10" pivotButton="0" quotePrefix="0" xfId="0"/>
    <xf numFmtId="0" fontId="7" fillId="14" borderId="10" applyAlignment="1" pivotButton="0" quotePrefix="0" xfId="0">
      <alignment horizontal="center"/>
    </xf>
    <xf numFmtId="0" fontId="9" fillId="0" borderId="10" pivotButton="0" quotePrefix="0" xfId="0"/>
    <xf numFmtId="0" fontId="7" fillId="8" borderId="10" applyAlignment="1" pivotButton="0" quotePrefix="0" xfId="0">
      <alignment horizontal="center" vertical="center"/>
    </xf>
    <xf numFmtId="0" fontId="18" fillId="0" borderId="10" applyAlignment="1" pivotButton="0" quotePrefix="0" xfId="0">
      <alignment horizontal="center"/>
    </xf>
    <xf numFmtId="0" fontId="18" fillId="0" borderId="10" applyAlignment="1" pivotButton="0" quotePrefix="0" xfId="0">
      <alignment horizontal="left"/>
    </xf>
    <xf numFmtId="0" fontId="7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8" fillId="0" borderId="10" applyAlignment="1" pivotButton="0" quotePrefix="0" xfId="0">
      <alignment vertical="center"/>
    </xf>
    <xf numFmtId="14" fontId="8" fillId="0" borderId="10" applyAlignment="1" pivotButton="0" quotePrefix="0" xfId="0">
      <alignment vertical="center"/>
    </xf>
    <xf numFmtId="14" fontId="8" fillId="0" borderId="0" applyAlignment="1" pivotButton="0" quotePrefix="0" xfId="0">
      <alignment vertical="center"/>
    </xf>
    <xf numFmtId="2" fontId="8" fillId="5" borderId="10" applyAlignment="1" pivotButton="0" quotePrefix="0" xfId="0">
      <alignment horizontal="center"/>
    </xf>
    <xf numFmtId="0" fontId="7" fillId="0" borderId="38" applyAlignment="1" pivotButton="0" quotePrefix="0" xfId="0">
      <alignment horizontal="center"/>
    </xf>
    <xf numFmtId="0" fontId="7" fillId="0" borderId="20" applyAlignment="1" pivotButton="0" quotePrefix="0" xfId="0">
      <alignment horizontal="center"/>
    </xf>
    <xf numFmtId="17" fontId="7" fillId="16" borderId="39" applyAlignment="1" pivotButton="0" quotePrefix="0" xfId="0">
      <alignment horizontal="center"/>
    </xf>
    <xf numFmtId="17" fontId="7" fillId="0" borderId="20" applyAlignment="1" pivotButton="0" quotePrefix="0" xfId="0">
      <alignment horizontal="center"/>
    </xf>
    <xf numFmtId="17" fontId="7" fillId="0" borderId="10" applyAlignment="1" pivotButton="0" quotePrefix="0" xfId="0">
      <alignment horizontal="center"/>
    </xf>
    <xf numFmtId="0" fontId="8" fillId="6" borderId="26" applyAlignment="1" pivotButton="0" quotePrefix="0" xfId="0">
      <alignment horizontal="center"/>
    </xf>
    <xf numFmtId="1" fontId="18" fillId="6" borderId="10" applyAlignment="1" pivotButton="0" quotePrefix="0" xfId="0">
      <alignment horizontal="center"/>
    </xf>
    <xf numFmtId="1" fontId="8" fillId="6" borderId="10" applyAlignment="1" pivotButton="0" quotePrefix="0" xfId="0">
      <alignment horizontal="center"/>
    </xf>
    <xf numFmtId="0" fontId="8" fillId="0" borderId="11" applyAlignment="1" pivotButton="0" quotePrefix="0" xfId="0">
      <alignment vertical="center"/>
    </xf>
    <xf numFmtId="0" fontId="8" fillId="17" borderId="10" applyAlignment="1" pivotButton="0" quotePrefix="0" xfId="0">
      <alignment horizontal="center"/>
    </xf>
    <xf numFmtId="0" fontId="8" fillId="17" borderId="26" applyAlignment="1" pivotButton="0" quotePrefix="0" xfId="0">
      <alignment horizontal="center"/>
    </xf>
    <xf numFmtId="1" fontId="8" fillId="17" borderId="10" applyAlignment="1" pivotButton="0" quotePrefix="0" xfId="0">
      <alignment horizontal="center"/>
    </xf>
    <xf numFmtId="1" fontId="8" fillId="16" borderId="10" applyAlignment="1" pivotButton="0" quotePrefix="0" xfId="0">
      <alignment horizontal="center"/>
    </xf>
    <xf numFmtId="15" fontId="8" fillId="0" borderId="0" applyAlignment="1" pivotButton="0" quotePrefix="0" xfId="0">
      <alignment horizontal="center"/>
    </xf>
    <xf numFmtId="0" fontId="18" fillId="6" borderId="26" applyAlignment="1" pivotButton="0" quotePrefix="0" xfId="0">
      <alignment horizontal="center"/>
    </xf>
    <xf numFmtId="0" fontId="18" fillId="6" borderId="10" applyAlignment="1" pivotButton="0" quotePrefix="0" xfId="0">
      <alignment horizontal="center"/>
    </xf>
    <xf numFmtId="0" fontId="18" fillId="17" borderId="10" applyAlignment="1" pivotButton="0" quotePrefix="0" xfId="0">
      <alignment horizontal="center"/>
    </xf>
    <xf numFmtId="2" fontId="8" fillId="17" borderId="10" applyAlignment="1" pivotButton="0" quotePrefix="0" xfId="0">
      <alignment horizontal="center"/>
    </xf>
    <xf numFmtId="0" fontId="8" fillId="6" borderId="15" applyAlignment="1" pivotButton="0" quotePrefix="0" xfId="0">
      <alignment vertical="center"/>
    </xf>
    <xf numFmtId="0" fontId="8" fillId="6" borderId="10" applyAlignment="1" pivotButton="0" quotePrefix="0" xfId="0">
      <alignment vertical="center"/>
    </xf>
    <xf numFmtId="0" fontId="8" fillId="6" borderId="40" applyAlignment="1" pivotButton="0" quotePrefix="0" xfId="0">
      <alignment horizontal="center"/>
    </xf>
    <xf numFmtId="0" fontId="8" fillId="6" borderId="39" applyAlignment="1" pivotButton="0" quotePrefix="0" xfId="0">
      <alignment horizontal="center"/>
    </xf>
    <xf numFmtId="1" fontId="8" fillId="6" borderId="39" applyAlignment="1" pivotButton="0" quotePrefix="0" xfId="0">
      <alignment horizontal="center"/>
    </xf>
    <xf numFmtId="2" fontId="8" fillId="6" borderId="39" applyAlignment="1" pivotButton="0" quotePrefix="0" xfId="0">
      <alignment horizontal="center"/>
    </xf>
    <xf numFmtId="0" fontId="7" fillId="18" borderId="10" applyAlignment="1" pivotButton="0" quotePrefix="0" xfId="0">
      <alignment horizontal="center"/>
    </xf>
    <xf numFmtId="0" fontId="8" fillId="18" borderId="10" applyAlignment="1" pivotButton="0" quotePrefix="0" xfId="0">
      <alignment horizontal="center"/>
    </xf>
    <xf numFmtId="1" fontId="8" fillId="18" borderId="10" applyAlignment="1" pivotButton="0" quotePrefix="0" xfId="0">
      <alignment horizontal="center"/>
    </xf>
    <xf numFmtId="1" fontId="8" fillId="18" borderId="41" applyAlignment="1" pivotButton="0" quotePrefix="0" xfId="0">
      <alignment horizontal="center"/>
    </xf>
    <xf numFmtId="1" fontId="8" fillId="0" borderId="10" applyAlignment="1" pivotButton="0" quotePrefix="0" xfId="0">
      <alignment horizontal="center"/>
    </xf>
    <xf numFmtId="0" fontId="7" fillId="5" borderId="14" applyAlignment="1" pivotButton="0" quotePrefix="0" xfId="0">
      <alignment horizontal="left" vertical="top" wrapText="1"/>
    </xf>
    <xf numFmtId="1" fontId="7" fillId="4" borderId="14" applyAlignment="1" pivotButton="0" quotePrefix="0" xfId="0">
      <alignment horizontal="center"/>
    </xf>
    <xf numFmtId="0" fontId="7" fillId="0" borderId="0" applyAlignment="1" pivotButton="0" quotePrefix="0" xfId="0">
      <alignment horizontal="center" vertical="top" wrapText="1"/>
    </xf>
    <xf numFmtId="0" fontId="7" fillId="19" borderId="10" applyAlignment="1" pivotButton="0" quotePrefix="0" xfId="0">
      <alignment horizontal="center"/>
    </xf>
    <xf numFmtId="0" fontId="8" fillId="19" borderId="10" applyAlignment="1" pivotButton="0" quotePrefix="0" xfId="0">
      <alignment horizontal="center"/>
    </xf>
    <xf numFmtId="15" fontId="8" fillId="0" borderId="0" applyAlignment="1" pivotButton="0" quotePrefix="0" xfId="0">
      <alignment vertical="center"/>
    </xf>
    <xf numFmtId="0" fontId="8" fillId="4" borderId="10" applyAlignment="1" pivotButton="0" quotePrefix="0" xfId="0">
      <alignment horizontal="center"/>
    </xf>
    <xf numFmtId="0" fontId="8" fillId="15" borderId="10" applyAlignment="1" pivotButton="0" quotePrefix="0" xfId="0">
      <alignment horizontal="center"/>
    </xf>
    <xf numFmtId="0" fontId="8" fillId="20" borderId="10" applyAlignment="1" pivotButton="0" quotePrefix="0" xfId="0">
      <alignment horizontal="center"/>
    </xf>
    <xf numFmtId="0" fontId="8" fillId="0" borderId="10" applyAlignment="1" pivotButton="0" quotePrefix="0" xfId="0">
      <alignment horizontal="right"/>
    </xf>
    <xf numFmtId="2" fontId="8" fillId="0" borderId="10" applyAlignment="1" pivotButton="0" quotePrefix="0" xfId="0">
      <alignment horizontal="right"/>
    </xf>
    <xf numFmtId="0" fontId="18" fillId="21" borderId="10" applyAlignment="1" pivotButton="0" quotePrefix="0" xfId="0">
      <alignment vertical="center"/>
    </xf>
    <xf numFmtId="14" fontId="8" fillId="21" borderId="10" applyAlignment="1" pivotButton="0" quotePrefix="0" xfId="0">
      <alignment vertical="center"/>
    </xf>
    <xf numFmtId="0" fontId="8" fillId="22" borderId="10" applyAlignment="1" pivotButton="0" quotePrefix="0" xfId="0">
      <alignment horizontal="center"/>
    </xf>
    <xf numFmtId="17" fontId="0" fillId="0" borderId="0" applyAlignment="1" pivotButton="0" quotePrefix="0" xfId="0">
      <alignment vertical="center"/>
    </xf>
    <xf numFmtId="0" fontId="13" fillId="17" borderId="26" applyAlignment="1" pivotButton="0" quotePrefix="0" xfId="0">
      <alignment horizontal="center"/>
    </xf>
    <xf numFmtId="0" fontId="8" fillId="6" borderId="10" applyAlignment="1" pivotButton="0" quotePrefix="0" xfId="0">
      <alignment horizontal="left"/>
    </xf>
    <xf numFmtId="0" fontId="13" fillId="17" borderId="10" applyAlignment="1" pivotButton="0" quotePrefix="0" xfId="0">
      <alignment horizontal="left"/>
    </xf>
    <xf numFmtId="0" fontId="18" fillId="6" borderId="10" applyAlignment="1" pivotButton="0" quotePrefix="0" xfId="0">
      <alignment horizontal="left"/>
    </xf>
    <xf numFmtId="0" fontId="8" fillId="6" borderId="39" applyAlignment="1" pivotButton="0" quotePrefix="0" xfId="0">
      <alignment horizontal="left"/>
    </xf>
    <xf numFmtId="0" fontId="8" fillId="23" borderId="10" applyAlignment="1" pivotButton="0" quotePrefix="0" xfId="0">
      <alignment vertical="center"/>
    </xf>
    <xf numFmtId="0" fontId="18" fillId="23" borderId="10" applyAlignment="1" pivotButton="0" quotePrefix="0" xfId="0">
      <alignment vertical="center"/>
    </xf>
    <xf numFmtId="0" fontId="9" fillId="5" borderId="10" pivotButton="0" quotePrefix="0" xfId="0"/>
    <xf numFmtId="0" fontId="19" fillId="0" borderId="0" applyAlignment="1" pivotButton="0" quotePrefix="0" xfId="0">
      <alignment vertical="center"/>
    </xf>
    <xf numFmtId="0" fontId="18" fillId="22" borderId="10" applyAlignment="1" pivotButton="0" quotePrefix="0" xfId="0">
      <alignment vertical="center"/>
    </xf>
    <xf numFmtId="2" fontId="11" fillId="0" borderId="1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0" fillId="24" borderId="10" applyAlignment="1" pivotButton="0" quotePrefix="0" xfId="0">
      <alignment horizontal="left"/>
    </xf>
    <xf numFmtId="0" fontId="11" fillId="24" borderId="10" applyAlignment="1" pivotButton="0" quotePrefix="0" xfId="0">
      <alignment horizontal="center"/>
    </xf>
    <xf numFmtId="0" fontId="20" fillId="24" borderId="10" applyAlignment="1" pivotButton="0" quotePrefix="0" xfId="0">
      <alignment horizontal="center"/>
    </xf>
    <xf numFmtId="0" fontId="0" fillId="23" borderId="0" applyAlignment="1" pivotButton="0" quotePrefix="0" xfId="0">
      <alignment vertical="center"/>
    </xf>
    <xf numFmtId="0" fontId="18" fillId="25" borderId="10" applyAlignment="1" pivotButton="0" quotePrefix="0" xfId="0">
      <alignment vertical="center"/>
    </xf>
    <xf numFmtId="2" fontId="8" fillId="0" borderId="15" applyAlignment="1" pivotButton="0" quotePrefix="0" xfId="0">
      <alignment horizontal="center"/>
    </xf>
    <xf numFmtId="2" fontId="11" fillId="0" borderId="15" applyAlignment="1" pivotButton="0" quotePrefix="0" xfId="0">
      <alignment horizontal="center"/>
    </xf>
    <xf numFmtId="0" fontId="8" fillId="0" borderId="15" applyAlignment="1" pivotButton="0" quotePrefix="0" xfId="0">
      <alignment horizontal="center"/>
    </xf>
    <xf numFmtId="0" fontId="8" fillId="0" borderId="32" applyAlignment="1" pivotButton="0" quotePrefix="0" xfId="0">
      <alignment horizontal="center"/>
    </xf>
    <xf numFmtId="2" fontId="8" fillId="0" borderId="39" applyAlignment="1" pivotButton="0" quotePrefix="0" xfId="0">
      <alignment horizontal="center"/>
    </xf>
    <xf numFmtId="0" fontId="8" fillId="0" borderId="44" applyAlignment="1" pivotButton="0" quotePrefix="0" xfId="0">
      <alignment horizontal="center"/>
    </xf>
    <xf numFmtId="0" fontId="0" fillId="0" borderId="43" applyAlignment="1" pivotButton="0" quotePrefix="0" xfId="0">
      <alignment vertical="center"/>
    </xf>
    <xf numFmtId="0" fontId="0" fillId="0" borderId="43" applyAlignment="1" pivotButton="0" quotePrefix="0" xfId="0">
      <alignment horizontal="center" vertical="center"/>
    </xf>
    <xf numFmtId="0" fontId="0" fillId="0" borderId="34" applyAlignment="1" pivotButton="0" quotePrefix="0" xfId="0">
      <alignment vertical="center"/>
    </xf>
    <xf numFmtId="0" fontId="7" fillId="26" borderId="43" applyAlignment="1" pivotButton="0" quotePrefix="0" xfId="0">
      <alignment horizontal="center"/>
    </xf>
    <xf numFmtId="0" fontId="8" fillId="6" borderId="43" applyAlignment="1" pivotButton="0" quotePrefix="0" xfId="0">
      <alignment horizontal="center"/>
    </xf>
    <xf numFmtId="0" fontId="19" fillId="0" borderId="43" applyAlignment="1" pivotButton="0" quotePrefix="0" xfId="0">
      <alignment vertical="center"/>
    </xf>
    <xf numFmtId="0" fontId="19" fillId="0" borderId="43" applyAlignment="1" pivotButton="0" quotePrefix="0" xfId="0">
      <alignment horizontal="center" vertical="center"/>
    </xf>
    <xf numFmtId="0" fontId="19" fillId="27" borderId="43" applyAlignment="1" pivotButton="0" quotePrefix="0" xfId="0">
      <alignment horizontal="center" vertical="center"/>
    </xf>
    <xf numFmtId="0" fontId="8" fillId="28" borderId="43" applyAlignment="1" pivotButton="0" quotePrefix="0" xfId="0">
      <alignment horizontal="center"/>
    </xf>
    <xf numFmtId="0" fontId="0" fillId="29" borderId="43" applyAlignment="1" pivotButton="0" quotePrefix="0" xfId="0">
      <alignment horizontal="center" vertical="center"/>
    </xf>
    <xf numFmtId="15" fontId="7" fillId="0" borderId="43" applyAlignment="1" pivotButton="0" quotePrefix="0" xfId="0">
      <alignment horizontal="center"/>
    </xf>
    <xf numFmtId="0" fontId="21" fillId="30" borderId="43" applyAlignment="1" pivotButton="0" quotePrefix="0" xfId="0">
      <alignment vertical="center"/>
    </xf>
    <xf numFmtId="15" fontId="7" fillId="0" borderId="45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21" fillId="0" borderId="43" applyAlignment="1" pivotButton="0" quotePrefix="0" xfId="0">
      <alignment vertical="center"/>
    </xf>
    <xf numFmtId="15" fontId="0" fillId="0" borderId="43" applyAlignment="1" pivotButton="0" quotePrefix="0" xfId="0">
      <alignment horizontal="center" vertical="center"/>
    </xf>
    <xf numFmtId="0" fontId="19" fillId="31" borderId="43" applyAlignment="1" pivotButton="0" quotePrefix="0" xfId="0">
      <alignment horizontal="center" vertical="center"/>
    </xf>
    <xf numFmtId="0" fontId="21" fillId="31" borderId="43" applyAlignment="1" pivotButton="0" quotePrefix="0" xfId="0">
      <alignment vertical="center"/>
    </xf>
    <xf numFmtId="0" fontId="19" fillId="29" borderId="43" applyAlignment="1" pivotButton="0" quotePrefix="0" xfId="0">
      <alignment horizontal="center" vertical="center"/>
    </xf>
    <xf numFmtId="0" fontId="21" fillId="26" borderId="43" applyAlignment="1" pivotButton="0" quotePrefix="0" xfId="0">
      <alignment vertical="center"/>
    </xf>
    <xf numFmtId="0" fontId="19" fillId="32" borderId="43" applyAlignment="1" pivotButton="0" quotePrefix="0" xfId="0">
      <alignment vertical="center"/>
    </xf>
    <xf numFmtId="0" fontId="0" fillId="32" borderId="43" applyAlignment="1" pivotButton="0" quotePrefix="0" xfId="0">
      <alignment vertical="center"/>
    </xf>
    <xf numFmtId="0" fontId="19" fillId="33" borderId="43" applyAlignment="1" pivotButton="0" quotePrefix="0" xfId="0">
      <alignment horizontal="center" vertical="center"/>
    </xf>
    <xf numFmtId="0" fontId="18" fillId="33" borderId="10" applyAlignment="1" pivotButton="0" quotePrefix="0" xfId="0">
      <alignment vertical="center"/>
    </xf>
    <xf numFmtId="0" fontId="15" fillId="0" borderId="15" applyAlignment="1" pivotButton="0" quotePrefix="0" xfId="0">
      <alignment horizontal="center"/>
    </xf>
    <xf numFmtId="0" fontId="18" fillId="0" borderId="39" pivotButton="0" quotePrefix="0" xfId="0"/>
    <xf numFmtId="0" fontId="18" fillId="0" borderId="44" applyAlignment="1" pivotButton="0" quotePrefix="0" xfId="0">
      <alignment vertical="center"/>
    </xf>
    <xf numFmtId="0" fontId="9" fillId="23" borderId="10" applyAlignment="1" pivotButton="0" quotePrefix="0" xfId="0">
      <alignment vertical="center"/>
    </xf>
    <xf numFmtId="0" fontId="18" fillId="23" borderId="39" pivotButton="0" quotePrefix="0" xfId="0"/>
    <xf numFmtId="0" fontId="0" fillId="23" borderId="43" applyAlignment="1" pivotButton="0" quotePrefix="0" xfId="0">
      <alignment vertical="center"/>
    </xf>
    <xf numFmtId="0" fontId="7" fillId="0" borderId="10" applyAlignment="1" pivotButton="0" quotePrefix="0" xfId="0">
      <alignment horizontal="center" wrapText="1"/>
    </xf>
    <xf numFmtId="0" fontId="7" fillId="0" borderId="10" applyAlignment="1" pivotButton="0" quotePrefix="0" xfId="0">
      <alignment horizontal="left" wrapText="1"/>
    </xf>
    <xf numFmtId="0" fontId="7" fillId="5" borderId="10" applyAlignment="1" pivotButton="0" quotePrefix="0" xfId="0">
      <alignment horizontal="left" wrapText="1"/>
    </xf>
    <xf numFmtId="0" fontId="0" fillId="22" borderId="0" applyAlignment="1" pivotButton="0" quotePrefix="0" xfId="0">
      <alignment vertical="center" wrapText="1"/>
    </xf>
    <xf numFmtId="0" fontId="9" fillId="5" borderId="10" applyAlignment="1" pivotButton="0" quotePrefix="0" xfId="0">
      <alignment wrapText="1"/>
    </xf>
    <xf numFmtId="0" fontId="22" fillId="0" borderId="0" pivotButton="0" quotePrefix="0" xfId="0"/>
    <xf numFmtId="0" fontId="23" fillId="0" borderId="10" applyAlignment="1" pivotButton="0" quotePrefix="0" xfId="0">
      <alignment horizontal="center"/>
    </xf>
    <xf numFmtId="2" fontId="23" fillId="0" borderId="10" applyAlignment="1" pivotButton="0" quotePrefix="0" xfId="0">
      <alignment horizontal="center"/>
    </xf>
    <xf numFmtId="0" fontId="23" fillId="0" borderId="0" pivotButton="0" quotePrefix="0" xfId="0"/>
    <xf numFmtId="0" fontId="22" fillId="0" borderId="10" pivotButton="0" quotePrefix="0" xfId="0"/>
    <xf numFmtId="0" fontId="23" fillId="0" borderId="11" applyAlignment="1" pivotButton="0" quotePrefix="0" xfId="0">
      <alignment horizontal="center"/>
    </xf>
    <xf numFmtId="0" fontId="7" fillId="34" borderId="10" applyAlignment="1" pivotButton="0" quotePrefix="0" xfId="0">
      <alignment horizontal="center"/>
    </xf>
    <xf numFmtId="0" fontId="0" fillId="22" borderId="43" applyAlignment="1" pivotButton="0" quotePrefix="0" xfId="0">
      <alignment horizontal="center" vertical="center"/>
    </xf>
    <xf numFmtId="0" fontId="18" fillId="0" borderId="43" applyAlignment="1" pivotButton="0" quotePrefix="0" xfId="0">
      <alignment vertical="center"/>
    </xf>
    <xf numFmtId="0" fontId="8" fillId="0" borderId="43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7" fillId="34" borderId="47" applyAlignment="1" pivotButton="0" quotePrefix="0" xfId="0">
      <alignment horizontal="center"/>
    </xf>
    <xf numFmtId="0" fontId="7" fillId="34" borderId="48" applyAlignment="1" pivotButton="0" quotePrefix="0" xfId="0">
      <alignment horizontal="center"/>
    </xf>
    <xf numFmtId="0" fontId="7" fillId="6" borderId="32" applyAlignment="1" pivotButton="0" quotePrefix="0" xfId="0">
      <alignment horizontal="center"/>
    </xf>
    <xf numFmtId="0" fontId="8" fillId="6" borderId="32" applyAlignment="1" pivotButton="0" quotePrefix="0" xfId="0">
      <alignment horizontal="center"/>
    </xf>
    <xf numFmtId="0" fontId="8" fillId="0" borderId="32" applyAlignment="1" pivotButton="0" quotePrefix="0" xfId="0">
      <alignment horizontal="center" wrapText="1"/>
    </xf>
    <xf numFmtId="0" fontId="7" fillId="0" borderId="49" applyAlignment="1" pivotButton="0" quotePrefix="0" xfId="0">
      <alignment horizontal="center" wrapText="1"/>
    </xf>
    <xf numFmtId="0" fontId="7" fillId="0" borderId="44" applyAlignment="1" pivotButton="0" quotePrefix="0" xfId="0">
      <alignment horizontal="center" wrapText="1"/>
    </xf>
    <xf numFmtId="0" fontId="7" fillId="0" borderId="44" applyAlignment="1" pivotButton="0" quotePrefix="0" xfId="0">
      <alignment horizontal="left" wrapText="1"/>
    </xf>
    <xf numFmtId="0" fontId="9" fillId="0" borderId="44" applyAlignment="1" pivotButton="0" quotePrefix="0" xfId="0">
      <alignment wrapText="1"/>
    </xf>
    <xf numFmtId="0" fontId="12" fillId="5" borderId="44" applyAlignment="1" pivotButton="0" quotePrefix="0" xfId="0">
      <alignment horizontal="center" vertical="center" wrapText="1"/>
    </xf>
    <xf numFmtId="0" fontId="8" fillId="23" borderId="10" applyAlignment="1" pivotButton="0" quotePrefix="0" xfId="0">
      <alignment horizontal="center"/>
    </xf>
    <xf numFmtId="0" fontId="25" fillId="0" borderId="50" pivotButton="0" quotePrefix="0" xfId="0"/>
    <xf numFmtId="0" fontId="25" fillId="0" borderId="43" applyAlignment="1" pivotButton="0" quotePrefix="0" xfId="0">
      <alignment vertical="center"/>
    </xf>
    <xf numFmtId="0" fontId="24" fillId="22" borderId="0" applyAlignment="1" pivotButton="0" quotePrefix="0" xfId="0">
      <alignment vertical="center"/>
    </xf>
    <xf numFmtId="0" fontId="9" fillId="34" borderId="47" applyAlignment="1" pivotButton="0" quotePrefix="0" xfId="0">
      <alignment horizontal="center"/>
    </xf>
    <xf numFmtId="0" fontId="9" fillId="34" borderId="48" applyAlignment="1" pivotButton="0" quotePrefix="0" xfId="0">
      <alignment horizontal="center"/>
    </xf>
    <xf numFmtId="0" fontId="5" fillId="0" borderId="43" applyAlignment="1" pivotButton="0" quotePrefix="0" xfId="0">
      <alignment vertical="center"/>
    </xf>
    <xf numFmtId="0" fontId="18" fillId="0" borderId="51" applyAlignment="1" pivotButton="0" quotePrefix="0" xfId="0">
      <alignment vertical="center"/>
    </xf>
    <xf numFmtId="0" fontId="9" fillId="34" borderId="43" applyAlignment="1" pivotButton="0" quotePrefix="0" xfId="0">
      <alignment horizontal="center"/>
    </xf>
    <xf numFmtId="0" fontId="8" fillId="35" borderId="10" applyAlignment="1" pivotButton="0" quotePrefix="0" xfId="0">
      <alignment horizontal="center"/>
    </xf>
    <xf numFmtId="0" fontId="25" fillId="35" borderId="43" pivotButton="0" quotePrefix="0" xfId="0"/>
    <xf numFmtId="0" fontId="0" fillId="35" borderId="0" applyAlignment="1" pivotButton="0" quotePrefix="0" xfId="0">
      <alignment vertical="center"/>
    </xf>
    <xf numFmtId="0" fontId="0" fillId="35" borderId="43" applyAlignment="1" pivotButton="0" quotePrefix="0" xfId="0">
      <alignment vertical="center"/>
    </xf>
    <xf numFmtId="0" fontId="18" fillId="0" borderId="17" pivotButton="0" quotePrefix="0" xfId="0"/>
    <xf numFmtId="0" fontId="9" fillId="34" borderId="46" applyAlignment="1" pivotButton="0" quotePrefix="0" xfId="0">
      <alignment horizontal="center"/>
    </xf>
    <xf numFmtId="0" fontId="18" fillId="0" borderId="46" applyAlignment="1" pivotButton="0" quotePrefix="0" xfId="0">
      <alignment vertical="center"/>
    </xf>
    <xf numFmtId="0" fontId="25" fillId="0" borderId="46" applyAlignment="1" pivotButton="0" quotePrefix="0" xfId="0">
      <alignment vertical="center"/>
    </xf>
    <xf numFmtId="0" fontId="18" fillId="0" borderId="52" pivotButton="0" quotePrefix="0" xfId="0"/>
    <xf numFmtId="0" fontId="8" fillId="0" borderId="49" applyAlignment="1" pivotButton="0" quotePrefix="0" xfId="0">
      <alignment horizontal="center"/>
    </xf>
    <xf numFmtId="2" fontId="8" fillId="0" borderId="44" applyAlignment="1" pivotButton="0" quotePrefix="0" xfId="0">
      <alignment horizontal="center"/>
    </xf>
    <xf numFmtId="0" fontId="7" fillId="0" borderId="43" applyAlignment="1" pivotButton="0" quotePrefix="0" xfId="0">
      <alignment horizontal="center" wrapText="1"/>
    </xf>
    <xf numFmtId="0" fontId="7" fillId="0" borderId="43" applyAlignment="1" pivotButton="0" quotePrefix="0" xfId="0">
      <alignment horizontal="left" wrapText="1"/>
    </xf>
    <xf numFmtId="0" fontId="8" fillId="0" borderId="43" applyAlignment="1" pivotButton="0" quotePrefix="0" xfId="0">
      <alignment horizontal="center"/>
    </xf>
    <xf numFmtId="2" fontId="8" fillId="0" borderId="43" applyAlignment="1" pivotButton="0" quotePrefix="0" xfId="0">
      <alignment horizontal="center"/>
    </xf>
    <xf numFmtId="0" fontId="18" fillId="0" borderId="43" applyAlignment="1" pivotButton="0" quotePrefix="0" xfId="0">
      <alignment horizontal="center"/>
    </xf>
    <xf numFmtId="0" fontId="8" fillId="0" borderId="43" applyAlignment="1" pivotButton="0" quotePrefix="0" xfId="0">
      <alignment horizontal="center" wrapText="1"/>
    </xf>
    <xf numFmtId="0" fontId="7" fillId="0" borderId="43" applyAlignment="1" pivotButton="0" quotePrefix="0" xfId="0">
      <alignment horizontal="center"/>
    </xf>
    <xf numFmtId="0" fontId="9" fillId="0" borderId="52" applyAlignment="1" pivotButton="0" quotePrefix="0" xfId="0">
      <alignment wrapText="1"/>
    </xf>
    <xf numFmtId="0" fontId="8" fillId="0" borderId="49" applyAlignment="1" pivotButton="0" quotePrefix="0" xfId="0">
      <alignment vertical="center"/>
    </xf>
    <xf numFmtId="0" fontId="8" fillId="0" borderId="44" applyAlignment="1" pivotButton="0" quotePrefix="0" xfId="0">
      <alignment vertical="center"/>
    </xf>
    <xf numFmtId="0" fontId="18" fillId="36" borderId="43" applyAlignment="1" pivotButton="0" quotePrefix="0" xfId="0">
      <alignment vertical="center"/>
    </xf>
    <xf numFmtId="0" fontId="4" fillId="0" borderId="43" applyAlignment="1" pivotButton="0" quotePrefix="0" xfId="0">
      <alignment vertical="center"/>
    </xf>
    <xf numFmtId="0" fontId="4" fillId="36" borderId="43" applyAlignment="1" pivotButton="0" quotePrefix="0" xfId="0">
      <alignment vertical="center"/>
    </xf>
    <xf numFmtId="0" fontId="3" fillId="0" borderId="43" applyAlignment="1" pivotButton="0" quotePrefix="0" xfId="0">
      <alignment vertical="center"/>
    </xf>
    <xf numFmtId="0" fontId="8" fillId="0" borderId="52" applyAlignment="1" pivotButton="0" quotePrefix="0" xfId="0">
      <alignment vertical="center"/>
    </xf>
    <xf numFmtId="0" fontId="8" fillId="0" borderId="17" applyAlignment="1" pivotButton="0" quotePrefix="0" xfId="0">
      <alignment vertical="center"/>
    </xf>
    <xf numFmtId="0" fontId="24" fillId="22" borderId="0" applyAlignment="1" pivotButton="0" quotePrefix="0" xfId="0">
      <alignment horizontal="center" vertical="center"/>
    </xf>
    <xf numFmtId="0" fontId="25" fillId="36" borderId="43" applyAlignment="1" pivotButton="0" quotePrefix="0" xfId="0">
      <alignment vertical="center"/>
    </xf>
    <xf numFmtId="0" fontId="2" fillId="0" borderId="43" applyAlignment="1" pivotButton="0" quotePrefix="0" xfId="0">
      <alignment vertical="center"/>
    </xf>
    <xf numFmtId="0" fontId="2" fillId="36" borderId="43" applyAlignment="1" pivotButton="0" quotePrefix="0" xfId="0">
      <alignment vertical="center"/>
    </xf>
    <xf numFmtId="0" fontId="8" fillId="0" borderId="11" applyAlignment="1" pivotButton="0" quotePrefix="0" xfId="0">
      <alignment horizontal="center"/>
    </xf>
    <xf numFmtId="0" fontId="11" fillId="0" borderId="12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8" fillId="6" borderId="11" applyAlignment="1" pivotButton="0" quotePrefix="0" xfId="0">
      <alignment horizontal="center"/>
    </xf>
    <xf numFmtId="0" fontId="7" fillId="0" borderId="23" applyAlignment="1" pivotButton="0" quotePrefix="0" xfId="0">
      <alignment horizontal="center"/>
    </xf>
    <xf numFmtId="0" fontId="11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8" fillId="9" borderId="11" applyAlignment="1" pivotButton="0" quotePrefix="0" xfId="0">
      <alignment horizontal="center"/>
    </xf>
    <xf numFmtId="0" fontId="7" fillId="15" borderId="11" applyAlignment="1" pivotButton="0" quotePrefix="0" xfId="0">
      <alignment horizontal="center"/>
    </xf>
    <xf numFmtId="0" fontId="7" fillId="14" borderId="11" applyAlignment="1" pivotButton="0" quotePrefix="0" xfId="0">
      <alignment horizontal="center"/>
    </xf>
    <xf numFmtId="0" fontId="8" fillId="5" borderId="33" applyAlignment="1" pivotButton="0" quotePrefix="0" xfId="0">
      <alignment horizontal="center" vertical="center"/>
    </xf>
    <xf numFmtId="0" fontId="11" fillId="0" borderId="34" applyAlignment="1" pivotButton="0" quotePrefix="0" xfId="0">
      <alignment vertical="center"/>
    </xf>
    <xf numFmtId="0" fontId="7" fillId="34" borderId="47" applyAlignment="1" pivotButton="0" quotePrefix="0" xfId="0">
      <alignment horizontal="center"/>
    </xf>
    <xf numFmtId="0" fontId="7" fillId="34" borderId="48" applyAlignment="1" pivotButton="0" quotePrefix="0" xfId="0">
      <alignment horizontal="center"/>
    </xf>
    <xf numFmtId="0" fontId="2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34" borderId="43" applyAlignment="1" pivotButton="0" quotePrefix="0" xfId="0">
      <alignment horizontal="center"/>
    </xf>
    <xf numFmtId="0" fontId="9" fillId="34" borderId="53" applyAlignment="1" pivotButton="0" quotePrefix="0" xfId="0">
      <alignment horizontal="center"/>
    </xf>
    <xf numFmtId="0" fontId="9" fillId="34" borderId="54" applyAlignment="1" pivotButton="0" quotePrefix="0" xfId="0">
      <alignment horizontal="center"/>
    </xf>
    <xf numFmtId="0" fontId="21" fillId="0" borderId="34" applyAlignment="1" pivotButton="0" quotePrefix="0" xfId="0">
      <alignment horizontal="center" vertical="center"/>
    </xf>
    <xf numFmtId="0" fontId="8" fillId="5" borderId="35" applyAlignment="1" pivotButton="0" quotePrefix="0" xfId="0">
      <alignment horizontal="center"/>
    </xf>
    <xf numFmtId="0" fontId="11" fillId="0" borderId="36" applyAlignment="1" pivotButton="0" quotePrefix="0" xfId="0">
      <alignment vertical="center"/>
    </xf>
    <xf numFmtId="0" fontId="11" fillId="0" borderId="37" applyAlignment="1" pivotButton="0" quotePrefix="0" xfId="0">
      <alignment vertical="center"/>
    </xf>
    <xf numFmtId="0" fontId="8" fillId="0" borderId="42" applyAlignment="1" pivotButton="0" quotePrefix="0" xfId="0">
      <alignment horizontal="center"/>
    </xf>
    <xf numFmtId="0" fontId="11" fillId="0" borderId="4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/>
    </xf>
    <xf numFmtId="0" fontId="1" fillId="0" borderId="43" applyAlignment="1" pivotButton="0" quotePrefix="0" xfId="0">
      <alignment vertical="center"/>
    </xf>
    <xf numFmtId="0" fontId="18" fillId="36" borderId="46" applyAlignment="1" pivotButton="0" quotePrefix="0" xfId="0">
      <alignment vertical="center"/>
    </xf>
    <xf numFmtId="0" fontId="2" fillId="0" borderId="46" applyAlignment="1" pivotButton="0" quotePrefix="0" xfId="0">
      <alignment vertical="center"/>
    </xf>
    <xf numFmtId="0" fontId="1" fillId="36" borderId="46" applyAlignment="1" pivotButton="0" quotePrefix="0" xfId="0">
      <alignment vertical="center"/>
    </xf>
    <xf numFmtId="0" fontId="2" fillId="36" borderId="46" applyAlignment="1" pivotButton="0" quotePrefix="0" xfId="0">
      <alignment vertical="center"/>
    </xf>
    <xf numFmtId="0" fontId="25" fillId="36" borderId="46" applyAlignment="1" pivotButton="0" quotePrefix="0" xfId="0">
      <alignment vertical="center"/>
    </xf>
    <xf numFmtId="0" fontId="9" fillId="34" borderId="55" applyAlignment="1" pivotButton="0" quotePrefix="0" xfId="0">
      <alignment horizontal="center"/>
    </xf>
    <xf numFmtId="0" fontId="9" fillId="34" borderId="56" applyAlignment="1" pivotButton="0" quotePrefix="0" xfId="0">
      <alignment horizontal="center"/>
    </xf>
    <xf numFmtId="0" fontId="0" fillId="0" borderId="0" pivotButton="0" quotePrefix="0" xfId="0"/>
    <xf numFmtId="0" fontId="0" fillId="0" borderId="12" pivotButton="0" quotePrefix="0" xfId="0"/>
    <xf numFmtId="0" fontId="0" fillId="0" borderId="32" pivotButton="0" quotePrefix="0" xfId="0"/>
    <xf numFmtId="0" fontId="8" fillId="0" borderId="34" applyAlignment="1" pivotButton="0" quotePrefix="0" xfId="0">
      <alignment horizontal="center"/>
    </xf>
    <xf numFmtId="0" fontId="0" fillId="0" borderId="24" pivotButton="0" quotePrefix="0" xfId="0"/>
    <xf numFmtId="0" fontId="7" fillId="0" borderId="34" applyAlignment="1" pivotButton="0" quotePrefix="0" xfId="0">
      <alignment horizontal="center"/>
    </xf>
    <xf numFmtId="0" fontId="7" fillId="15" borderId="10" applyAlignment="1" pivotButton="0" quotePrefix="0" xfId="0">
      <alignment horizontal="center"/>
    </xf>
    <xf numFmtId="0" fontId="8" fillId="5" borderId="34" applyAlignment="1" pivotButton="0" quotePrefix="0" xfId="0">
      <alignment horizontal="center" vertical="center"/>
    </xf>
    <xf numFmtId="0" fontId="7" fillId="34" borderId="60" applyAlignment="1" pivotButton="0" quotePrefix="0" xfId="0">
      <alignment horizontal="center"/>
    </xf>
    <xf numFmtId="0" fontId="19" fillId="0" borderId="34" applyAlignment="1" pivotButton="0" quotePrefix="0" xfId="0">
      <alignment horizontal="center" vertical="center"/>
    </xf>
    <xf numFmtId="0" fontId="9" fillId="34" borderId="63" applyAlignment="1" pivotButton="0" quotePrefix="0" xfId="0">
      <alignment horizontal="center"/>
    </xf>
    <xf numFmtId="0" fontId="0" fillId="0" borderId="37" pivotButton="0" quotePrefix="0" xfId="0"/>
    <xf numFmtId="0" fontId="0" fillId="0" borderId="42" pivotButton="0" quotePrefix="0" xfId="0"/>
    <xf numFmtId="0" fontId="8" fillId="0" borderId="34" applyAlignment="1" pivotButton="0" quotePrefix="0" xfId="0">
      <alignment vertical="center"/>
    </xf>
    <xf numFmtId="0" fontId="8" fillId="0" borderId="34" applyAlignment="1" pivotButton="0" quotePrefix="0" xfId="0">
      <alignment horizontal="center" vertical="center"/>
    </xf>
  </cellXfs>
  <cellStyles count="1">
    <cellStyle name="Normal" xfId="0" builtinId="0"/>
  </cellStyles>
  <dxfs count="79"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rgb="FFC55A11"/>
          <bgColor theme="5" tint="0.3999755851924192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bottom" wrapText="1"/>
      <border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border outline="0">
        <bottom style="thin">
          <color rgb="FF000000"/>
        </bottom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bottom" wrapText="1"/>
      <border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border outline="0">
        <bottom style="thin">
          <color rgb="FF000000"/>
        </bottom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bottom" wrapText="1"/>
      <border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border outline="0">
        <bottom style="thin">
          <color rgb="FF000000"/>
        </bottom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bottom" wrapText="1"/>
      <border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border outline="0">
        <bottom style="thin">
          <color rgb="FF000000"/>
        </bottom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bottom" wrapText="1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styles" Target="styles.xml" Id="rId76" /><Relationship Type="http://schemas.openxmlformats.org/officeDocument/2006/relationships/theme" Target="theme/theme1.xml" Id="rId77" /></Relationships>
</file>

<file path=xl/tables/table1.xml><?xml version="1.0" encoding="utf-8"?>
<table xmlns="http://schemas.openxmlformats.org/spreadsheetml/2006/main" id="1" name="Table1" displayName="Table1" ref="A1:M24" headerRowCount="1" totalsRowShown="0" headerRowDxfId="63" dataDxfId="61" headerRowBorderDxfId="62" tableBorderDxfId="60">
  <tableColumns count="13">
    <tableColumn id="1" name="Flat Numbers" dataDxfId="59"/>
    <tableColumn id="2" name="Previous Meter Reading" dataDxfId="58"/>
    <tableColumn id="3" name="Current Meter Reading"/>
    <tableColumn id="4" name="Total Units"/>
    <tableColumn id="5" name="Water Bill" dataDxfId="57"/>
    <tableColumn id="6" name="Common Maintanence" dataDxfId="56"/>
    <tableColumn id="7" name="Total Maintenance" dataDxfId="55"/>
    <tableColumn id="8" name="Garbage Amount" dataDxfId="54"/>
    <tableColumn id="9" name="Topay " dataDxfId="53"/>
    <tableColumn id="10" name="Receive Amount" dataDxfId="52"/>
    <tableColumn id="11" name="Payment Status" dataDxfId="51"/>
    <tableColumn id="12" name="Balance amount (nov)-25 After Expendatures" dataDxfId="50"/>
    <tableColumn id="13" name="15784" dataDxfId="4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4" displayName="Table14" ref="A1:M24" headerRowCount="1" totalsRowShown="0" headerRowDxfId="48" dataDxfId="46" headerRowBorderDxfId="47" tableBorderDxfId="45">
  <tableColumns count="13">
    <tableColumn id="1" name="Flat Numbers" dataDxfId="44"/>
    <tableColumn id="2" name="Previous Meter Reading" dataDxfId="43"/>
    <tableColumn id="3" name="Current Meter Reading"/>
    <tableColumn id="4" name="Total Units"/>
    <tableColumn id="5" name="Water Bill" dataDxfId="42"/>
    <tableColumn id="6" name="Common Maintanence" dataDxfId="41"/>
    <tableColumn id="7" name="Total Maintenance" dataDxfId="40"/>
    <tableColumn id="8" name="Garbage Amount" dataDxfId="39"/>
    <tableColumn id="9" name="Topay " dataDxfId="38"/>
    <tableColumn id="10" name="Receive Amount" dataDxfId="37"/>
    <tableColumn id="11" name="Payment Status" dataDxfId="36"/>
    <tableColumn id="12" name="Balance amount (nov)-25 COD: 31-12-2025" dataDxfId="35"/>
    <tableColumn id="13" name="19301" dataDxfId="3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143" displayName="Table143" ref="A1:M24" headerRowCount="1" totalsRowShown="0" headerRowDxfId="33" dataDxfId="31" headerRowBorderDxfId="32" tableBorderDxfId="30">
  <tableColumns count="13">
    <tableColumn id="1" name="Flat Numbers" dataDxfId="29"/>
    <tableColumn id="2" name="Previous Meter Reading" dataDxfId="28"/>
    <tableColumn id="3" name="Current Meter Reading"/>
    <tableColumn id="4" name="Total Units"/>
    <tableColumn id="5" name="Water Bill" dataDxfId="27"/>
    <tableColumn id="6" name="Common Maintanence" dataDxfId="26"/>
    <tableColumn id="7" name="Total Maintenance" dataDxfId="25"/>
    <tableColumn id="8" name="Garbage Amount" dataDxfId="24"/>
    <tableColumn id="9" name="Topay " dataDxfId="23"/>
    <tableColumn id="10" name="Receive Amount" dataDxfId="22"/>
    <tableColumn id="11" name="Payment Status" dataDxfId="21"/>
    <tableColumn id="12" name="Balance amount (jan)-26 COD: 31-01-2026" dataDxfId="20"/>
    <tableColumn id="13" name="17199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435" displayName="Table1435" ref="A1:M24" headerRowCount="1" totalsRowShown="0" headerRowDxfId="78" dataDxfId="76" headerRowBorderDxfId="77" tableBorderDxfId="75">
  <tableColumns count="13">
    <tableColumn id="1" name="Flat Numbers" dataDxfId="74"/>
    <tableColumn id="2" name="Previous Meter Reading" dataDxfId="73"/>
    <tableColumn id="3" name="Current Meter Reading"/>
    <tableColumn id="4" name="Total Units"/>
    <tableColumn id="5" name="Water Bill" dataDxfId="72"/>
    <tableColumn id="6" name="Common Maintanence" dataDxfId="71"/>
    <tableColumn id="7" name="Total Maintenance" dataDxfId="70"/>
    <tableColumn id="8" name="Garbage Amount" dataDxfId="69"/>
    <tableColumn id="9" name="Topay " dataDxfId="68"/>
    <tableColumn id="10" name="Receive Amount" dataDxfId="67"/>
    <tableColumn id="11" name="Payment Status" dataDxfId="66"/>
    <tableColumn id="12" name="Balance amount (Feb)-26 COD: 28-02-2026" dataDxfId="65"/>
    <tableColumn id="13" name="14470" dataDxfId="6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14356" displayName="Table14356" ref="A1:M24" headerRowCount="1" totalsRowShown="0" headerRowDxfId="18" dataDxfId="17" headerRowBorderDxfId="15" tableBorderDxfId="16">
  <tableColumns count="13">
    <tableColumn id="1" name="Flat Numbers" dataDxfId="14"/>
    <tableColumn id="2" name="Previous Meter Reading" dataDxfId="13"/>
    <tableColumn id="3" name="Current Meter Reading"/>
    <tableColumn id="4" name="Total Units"/>
    <tableColumn id="5" name="Water Bill" dataDxfId="12"/>
    <tableColumn id="6" name="Common Maintanence" dataDxfId="11"/>
    <tableColumn id="7" name="Total Maintenance" dataDxfId="10"/>
    <tableColumn id="8" name="Garbage Amount" dataDxfId="9"/>
    <tableColumn id="9" name="Topay " dataDxfId="8"/>
    <tableColumn id="10" name="Receive Amount" dataDxfId="7"/>
    <tableColumn id="11" name="Payment Status" dataDxfId="6"/>
    <tableColumn id="12" name="Balance amount (Mar)-26 COD: 31-03-2026" dataDxfId="5"/>
    <tableColumn id="13" name="14470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P8:R16" headerRowCount="1" totalsRowShown="0" headerRowDxfId="0" headerRowBorderDxfId="2" tableBorderDxfId="3">
  <tableColumns count="3">
    <tableColumn id="1" name="April Month Expenditures"/>
    <tableColumn id="2" name="Amount" dataDxfId="1"/>
    <tableColumn id="3" name="Statu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8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9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0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1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45"/>
  <sheetViews>
    <sheetView topLeftCell="BRC1" workbookViewId="0">
      <selection activeCell="A1" sqref="A1"/>
    </sheetView>
  </sheetViews>
  <sheetFormatPr baseColWidth="8" defaultColWidth="14.42578125" defaultRowHeight="15" customHeight="1"/>
  <cols>
    <col width="9.5703125" customWidth="1" style="366" min="1" max="1"/>
    <col width="8.42578125" customWidth="1" style="366" min="2" max="2"/>
    <col width="22.140625" customWidth="1" style="366" min="3" max="3"/>
    <col width="9" customWidth="1" style="366" min="4" max="4"/>
    <col width="10.7109375" customWidth="1" style="366" min="5" max="5"/>
    <col width="10.140625" customWidth="1" style="366" min="6" max="6"/>
    <col width="14.140625" customWidth="1" style="366" min="7" max="7"/>
    <col width="9.5703125" customWidth="1" style="366" min="8" max="8"/>
    <col width="22.140625" customWidth="1" style="366" min="9" max="9"/>
    <col width="9" customWidth="1" style="366" min="10" max="10"/>
  </cols>
  <sheetData>
    <row r="2" ht="15" customHeight="1" s="366">
      <c r="A2" s="1" t="inlineStr">
        <is>
          <t>Collection</t>
        </is>
      </c>
      <c r="F2" s="1" t="inlineStr">
        <is>
          <t>Expendature</t>
        </is>
      </c>
    </row>
    <row r="4" ht="15" customHeight="1" s="366">
      <c r="A4" s="2" t="inlineStr">
        <is>
          <t>Name</t>
        </is>
      </c>
      <c r="B4" s="3" t="inlineStr">
        <is>
          <t>Flat no</t>
        </is>
      </c>
      <c r="C4" s="3" t="inlineStr">
        <is>
          <t>date</t>
        </is>
      </c>
      <c r="D4" s="4" t="inlineStr">
        <is>
          <t>amount</t>
        </is>
      </c>
      <c r="G4" s="5" t="inlineStr">
        <is>
          <t>Item</t>
        </is>
      </c>
      <c r="H4" s="5" t="inlineStr">
        <is>
          <t>Quantity</t>
        </is>
      </c>
      <c r="I4" s="5" t="inlineStr">
        <is>
          <t>date</t>
        </is>
      </c>
      <c r="J4" s="5" t="inlineStr">
        <is>
          <t>amount</t>
        </is>
      </c>
    </row>
    <row r="5" ht="15" customHeight="1" s="366">
      <c r="A5" s="6" t="inlineStr">
        <is>
          <t>sheshu</t>
        </is>
      </c>
      <c r="B5" s="7" t="n">
        <v>303</v>
      </c>
      <c r="C5" s="8" t="n">
        <v>44018</v>
      </c>
      <c r="D5" s="9" t="n">
        <v>500</v>
      </c>
      <c r="G5" s="10" t="inlineStr">
        <is>
          <t>dust bin</t>
        </is>
      </c>
      <c r="H5" s="10" t="n">
        <v>2</v>
      </c>
      <c r="I5" s="8" t="n">
        <v>43987</v>
      </c>
      <c r="J5" s="10" t="n">
        <v>600</v>
      </c>
    </row>
    <row r="6" ht="15" customHeight="1" s="366">
      <c r="A6" s="6" t="inlineStr">
        <is>
          <t>Ram kumar</t>
        </is>
      </c>
      <c r="B6" s="7" t="n">
        <v>202</v>
      </c>
      <c r="C6" s="8" t="n">
        <v>44018</v>
      </c>
      <c r="D6" s="9" t="n">
        <v>500</v>
      </c>
      <c r="G6" s="10" t="inlineStr">
        <is>
          <t>mop stick</t>
        </is>
      </c>
      <c r="H6" s="10" t="n">
        <v>1</v>
      </c>
      <c r="I6" s="8" t="n">
        <v>43992</v>
      </c>
      <c r="J6" s="10" t="n">
        <v>100</v>
      </c>
    </row>
    <row r="7" ht="15" customHeight="1" s="366">
      <c r="A7" s="6" t="inlineStr">
        <is>
          <t>mahesh</t>
        </is>
      </c>
      <c r="B7" s="7" t="inlineStr">
        <is>
          <t>G4</t>
        </is>
      </c>
      <c r="C7" s="8" t="n">
        <v>44018</v>
      </c>
      <c r="D7" s="9" t="n">
        <v>500</v>
      </c>
      <c r="G7" s="10" t="inlineStr">
        <is>
          <t>sanitisation</t>
        </is>
      </c>
      <c r="H7" s="10" t="n"/>
      <c r="I7" s="8" t="n">
        <v>43995</v>
      </c>
      <c r="J7" s="10" t="n">
        <v>400</v>
      </c>
    </row>
    <row r="8" ht="15" customHeight="1" s="366">
      <c r="A8" s="6" t="inlineStr">
        <is>
          <t>jagadish</t>
        </is>
      </c>
      <c r="B8" s="7" t="inlineStr">
        <is>
          <t>G3</t>
        </is>
      </c>
      <c r="C8" s="8" t="n">
        <v>44018</v>
      </c>
      <c r="D8" s="9" t="n">
        <v>500</v>
      </c>
      <c r="G8" s="10" t="inlineStr">
        <is>
          <t>Garbage people</t>
        </is>
      </c>
      <c r="H8" s="10" t="n"/>
      <c r="I8" s="8" t="n">
        <v>44004</v>
      </c>
      <c r="J8" s="10" t="n">
        <v>250</v>
      </c>
    </row>
    <row r="9" ht="15" customHeight="1" s="366">
      <c r="A9" s="6" t="inlineStr">
        <is>
          <t>Naveen</t>
        </is>
      </c>
      <c r="B9" s="7" t="n">
        <v>102</v>
      </c>
      <c r="C9" s="8" t="n">
        <v>43999</v>
      </c>
      <c r="D9" s="9" t="n">
        <v>500</v>
      </c>
      <c r="G9" s="10" t="inlineStr">
        <is>
          <t>Book/marker</t>
        </is>
      </c>
      <c r="H9" s="10" t="n">
        <v>1</v>
      </c>
      <c r="I9" s="8" t="n">
        <v>44010</v>
      </c>
      <c r="J9" s="10" t="n">
        <v>55</v>
      </c>
    </row>
    <row r="21" ht="15" customHeight="1" s="366">
      <c r="A21" s="11" t="inlineStr">
        <is>
          <t>Total</t>
        </is>
      </c>
      <c r="B21" s="12" t="n"/>
      <c r="C21" s="12" t="n"/>
      <c r="D21" s="13">
        <f>SUM(D5:D20)</f>
        <v/>
      </c>
      <c r="G21" s="10" t="inlineStr">
        <is>
          <t>Total</t>
        </is>
      </c>
      <c r="H21" s="10" t="n"/>
      <c r="I21" s="10" t="n"/>
      <c r="J21" s="10">
        <f>SUM(J5:J19)</f>
        <v/>
      </c>
    </row>
    <row r="22" ht="15.75" customHeight="1" s="366"/>
    <row r="23" ht="15.75" customHeight="1" s="366"/>
    <row r="24" ht="15.75" customHeight="1" s="366">
      <c r="D24" s="14" t="inlineStr">
        <is>
          <t xml:space="preserve">Balance </t>
        </is>
      </c>
      <c r="E24" s="14" t="n"/>
      <c r="F24" s="14" t="n"/>
      <c r="G24" s="14">
        <f>D21-J21</f>
        <v/>
      </c>
    </row>
    <row r="25" ht="15.75" customHeight="1" s="366"/>
    <row r="26" ht="15.75" customHeight="1" s="366">
      <c r="A26" s="1" t="inlineStr">
        <is>
          <t>Maintanence</t>
        </is>
      </c>
    </row>
    <row r="27" ht="15.75" customHeight="1" s="366"/>
    <row r="28" ht="15.75" customHeight="1" s="366">
      <c r="A28" s="2" t="inlineStr">
        <is>
          <t>Name</t>
        </is>
      </c>
      <c r="B28" s="3" t="inlineStr">
        <is>
          <t>Flat no</t>
        </is>
      </c>
      <c r="C28" s="3" t="inlineStr">
        <is>
          <t>date</t>
        </is>
      </c>
      <c r="D28" s="4" t="inlineStr">
        <is>
          <t>amount</t>
        </is>
      </c>
    </row>
    <row r="29" ht="15.75" customHeight="1" s="366">
      <c r="A29" s="6" t="inlineStr">
        <is>
          <t>sheshu</t>
        </is>
      </c>
      <c r="B29" s="7" t="n">
        <v>303</v>
      </c>
      <c r="C29" s="8" t="n">
        <v>44018</v>
      </c>
      <c r="D29" s="9" t="n">
        <v>0</v>
      </c>
    </row>
    <row r="30" ht="15.75" customHeight="1" s="366">
      <c r="A30" s="6" t="inlineStr">
        <is>
          <t>Ram kumar</t>
        </is>
      </c>
      <c r="B30" s="7" t="n">
        <v>202</v>
      </c>
      <c r="C30" s="8" t="n">
        <v>44018</v>
      </c>
      <c r="D30" s="9" t="n">
        <v>1000</v>
      </c>
    </row>
    <row r="31" ht="15.75" customHeight="1" s="366">
      <c r="A31" s="6" t="inlineStr">
        <is>
          <t>mahesh</t>
        </is>
      </c>
      <c r="B31" s="7" t="inlineStr">
        <is>
          <t>G4</t>
        </is>
      </c>
      <c r="C31" s="8" t="n">
        <v>44018</v>
      </c>
      <c r="D31" s="9" t="n">
        <v>1000</v>
      </c>
    </row>
    <row r="32" ht="15.75" customHeight="1" s="366">
      <c r="A32" s="6" t="inlineStr">
        <is>
          <t>jagadish</t>
        </is>
      </c>
      <c r="B32" s="7" t="inlineStr">
        <is>
          <t>G3</t>
        </is>
      </c>
      <c r="C32" s="8" t="n">
        <v>44018</v>
      </c>
      <c r="D32" s="9" t="n">
        <v>1000</v>
      </c>
      <c r="F32" s="15" t="inlineStr">
        <is>
          <t>Total Balance</t>
        </is>
      </c>
      <c r="G32" s="15">
        <f>G24+D45</f>
        <v/>
      </c>
    </row>
    <row r="45" ht="15.75" customHeight="1" s="366">
      <c r="A45" s="11" t="inlineStr">
        <is>
          <t>Total</t>
        </is>
      </c>
      <c r="B45" s="12" t="n"/>
      <c r="C45" s="12" t="n"/>
      <c r="D45" s="13">
        <f>SUM(D29:D44)</f>
        <v/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8"/>
  <sheetViews>
    <sheetView workbookViewId="0">
      <selection activeCell="A1" sqref="A1"/>
    </sheetView>
  </sheetViews>
  <sheetFormatPr baseColWidth="8" defaultColWidth="14.42578125" defaultRowHeight="15" customHeight="1"/>
  <cols>
    <col width="11" customWidth="1" style="366" min="1" max="1"/>
    <col width="7.5703125" customWidth="1" style="366" min="2" max="6"/>
  </cols>
  <sheetData>
    <row r="2" ht="15" customHeight="1" s="366">
      <c r="A2" s="1" t="inlineStr">
        <is>
          <t>Bottels Cost</t>
        </is>
      </c>
      <c r="B2" s="1" t="n">
        <v>4390</v>
      </c>
    </row>
    <row r="3" ht="15" customHeight="1" s="366">
      <c r="A3" s="1" t="inlineStr">
        <is>
          <t>Stuff</t>
        </is>
      </c>
      <c r="B3" s="1" t="n">
        <v>220</v>
      </c>
    </row>
    <row r="4" ht="15" customHeight="1" s="366">
      <c r="A4" s="1" t="inlineStr">
        <is>
          <t>Soft Drinks</t>
        </is>
      </c>
      <c r="B4" s="1" t="n">
        <v>320</v>
      </c>
    </row>
    <row r="5" ht="15" customHeight="1" s="366">
      <c r="A5" s="1" t="inlineStr">
        <is>
          <t>Chicken</t>
        </is>
      </c>
      <c r="B5" s="1" t="n">
        <v>300</v>
      </c>
    </row>
    <row r="7" ht="15" customHeight="1" s="366">
      <c r="A7" s="1" t="inlineStr">
        <is>
          <t>total</t>
        </is>
      </c>
      <c r="B7" s="1">
        <f>SUM(B2:B6)</f>
        <v/>
      </c>
    </row>
    <row r="10" ht="15" customHeight="1" s="366">
      <c r="A10" s="16" t="inlineStr">
        <is>
          <t>Name</t>
        </is>
      </c>
      <c r="B10" s="16" t="inlineStr">
        <is>
          <t>Share</t>
        </is>
      </c>
    </row>
    <row r="11" ht="15" customHeight="1" s="366">
      <c r="A11" s="17" t="inlineStr">
        <is>
          <t>Sheshu</t>
        </is>
      </c>
      <c r="B11" s="18">
        <f>ROUND(5230/6,2)</f>
        <v/>
      </c>
    </row>
    <row r="12" ht="15" customHeight="1" s="366">
      <c r="A12" s="10" t="inlineStr">
        <is>
          <t>Ram kumar</t>
        </is>
      </c>
      <c r="B12" s="18">
        <f>ROUND(5230/6,2)</f>
        <v/>
      </c>
    </row>
    <row r="13" ht="15" customHeight="1" s="366">
      <c r="A13" s="17" t="inlineStr">
        <is>
          <t>Mahesh</t>
        </is>
      </c>
      <c r="B13" s="18">
        <f>ROUND(5230/6,2)</f>
        <v/>
      </c>
    </row>
    <row r="14" ht="15" customHeight="1" s="366">
      <c r="A14" s="10" t="inlineStr">
        <is>
          <t>Jagadish</t>
        </is>
      </c>
      <c r="B14" s="18">
        <f>ROUND(5230/6,2)</f>
        <v/>
      </c>
      <c r="C14" s="1">
        <f>871.67-540</f>
        <v/>
      </c>
    </row>
    <row r="15" ht="15" customHeight="1" s="366">
      <c r="A15" s="17" t="inlineStr">
        <is>
          <t>Peddi rau</t>
        </is>
      </c>
      <c r="B15" s="18">
        <f>ROUND(5230/6,2)</f>
        <v/>
      </c>
    </row>
    <row r="16" ht="15" customHeight="1" s="366">
      <c r="A16" s="10" t="inlineStr">
        <is>
          <t>Uma Mahesh</t>
        </is>
      </c>
      <c r="B16" s="18">
        <f>ROUND(5230/6,2)</f>
        <v/>
      </c>
    </row>
    <row r="18" ht="15" customHeight="1" s="366">
      <c r="B18" s="1">
        <f>SUM(B11:B17)</f>
        <v/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57"/>
  <sheetViews>
    <sheetView workbookViewId="0">
      <selection activeCell="A1" sqref="A1"/>
    </sheetView>
  </sheetViews>
  <sheetFormatPr baseColWidth="8" defaultColWidth="14.42578125" defaultRowHeight="15" customHeight="1"/>
  <cols>
    <col width="21.5703125" customWidth="1" style="366" min="1" max="1"/>
    <col width="22.140625" customWidth="1" style="366" min="2" max="2"/>
    <col width="26.7109375" customWidth="1" style="366" min="3" max="3"/>
    <col width="15.7109375" customWidth="1" style="366" min="4" max="4"/>
    <col width="16.85546875" customWidth="1" style="366" min="5" max="5"/>
    <col width="22.140625" customWidth="1" style="366" min="6" max="6"/>
    <col width="8.7109375" customWidth="1" style="366" min="7" max="7"/>
    <col width="24.7109375" customWidth="1" style="366" min="8" max="8"/>
    <col width="21.85546875" customWidth="1" style="366" min="9" max="9"/>
    <col width="9" customWidth="1" style="366" min="10" max="10"/>
  </cols>
  <sheetData>
    <row r="2" ht="15" customHeight="1" s="366">
      <c r="C2" s="19" t="inlineStr">
        <is>
          <t>Last month Balance</t>
        </is>
      </c>
      <c r="D2" s="19" t="n">
        <v>4095</v>
      </c>
      <c r="H2" s="19" t="inlineStr">
        <is>
          <t xml:space="preserve">Total Balance </t>
        </is>
      </c>
      <c r="I2" s="19">
        <f>I22+E53+D2+J22-D22</f>
        <v/>
      </c>
    </row>
    <row r="3" ht="15" customHeight="1" s="366">
      <c r="A3" s="1" t="inlineStr">
        <is>
          <t>Expendature</t>
        </is>
      </c>
    </row>
    <row r="4" ht="15" customHeight="1" s="366">
      <c r="F4" s="1" t="inlineStr">
        <is>
          <t>Maintanence</t>
        </is>
      </c>
    </row>
    <row r="5" ht="15" customHeight="1" s="366">
      <c r="A5" s="5" t="inlineStr">
        <is>
          <t>Item</t>
        </is>
      </c>
      <c r="B5" s="5" t="inlineStr">
        <is>
          <t>Quantity</t>
        </is>
      </c>
      <c r="C5" s="5" t="inlineStr">
        <is>
          <t>date</t>
        </is>
      </c>
      <c r="D5" s="5" t="inlineStr">
        <is>
          <t>amount</t>
        </is>
      </c>
    </row>
    <row r="6" ht="15" customHeight="1" s="366">
      <c r="A6" s="10" t="inlineStr">
        <is>
          <t>Transform Fuse</t>
        </is>
      </c>
      <c r="B6" s="10" t="n"/>
      <c r="C6" s="8" t="n">
        <v>44014</v>
      </c>
      <c r="D6" s="10" t="n">
        <v>300</v>
      </c>
      <c r="F6" s="2" t="inlineStr">
        <is>
          <t>Name</t>
        </is>
      </c>
      <c r="G6" s="3" t="inlineStr">
        <is>
          <t>Flat no</t>
        </is>
      </c>
      <c r="H6" s="3" t="inlineStr">
        <is>
          <t>date</t>
        </is>
      </c>
      <c r="I6" s="4" t="inlineStr">
        <is>
          <t>Advanceamount</t>
        </is>
      </c>
      <c r="J6" s="3" t="inlineStr">
        <is>
          <t>JUly Maintanence</t>
        </is>
      </c>
    </row>
    <row r="7" ht="15" customHeight="1" s="366">
      <c r="A7" s="10" t="inlineStr">
        <is>
          <t>Garbage collection people</t>
        </is>
      </c>
      <c r="B7" s="10" t="n"/>
      <c r="C7" s="8" t="n">
        <v>44018</v>
      </c>
      <c r="D7" s="10" t="n">
        <v>250</v>
      </c>
      <c r="E7" s="1" t="inlineStr">
        <is>
          <t>250 Cash Paid</t>
        </is>
      </c>
      <c r="F7" s="6" t="inlineStr">
        <is>
          <t>Sheshu</t>
        </is>
      </c>
      <c r="G7" s="7" t="n">
        <v>303</v>
      </c>
      <c r="H7" s="8" t="n">
        <v>44020</v>
      </c>
      <c r="I7" s="9" t="n">
        <v>600</v>
      </c>
      <c r="J7" s="1" t="n">
        <v>2000</v>
      </c>
    </row>
    <row r="8" ht="15" customHeight="1" s="366">
      <c r="A8" s="10" t="inlineStr">
        <is>
          <t>Manjeera tank</t>
        </is>
      </c>
      <c r="B8" s="10" t="n"/>
      <c r="C8" s="8" t="n">
        <v>44014</v>
      </c>
      <c r="D8" s="1" t="n">
        <v>550</v>
      </c>
      <c r="F8" s="6" t="inlineStr">
        <is>
          <t>Ram kumar</t>
        </is>
      </c>
      <c r="G8" s="7" t="n">
        <v>202</v>
      </c>
      <c r="H8" s="8" t="n">
        <v>44020</v>
      </c>
      <c r="I8" s="9" t="n">
        <v>600</v>
      </c>
      <c r="J8" s="1" t="n">
        <v>1000</v>
      </c>
    </row>
    <row r="9" ht="15" customHeight="1" s="366">
      <c r="A9" s="10" t="inlineStr">
        <is>
          <t>brom stick</t>
        </is>
      </c>
      <c r="B9" s="10" t="n"/>
      <c r="C9" s="8" t="n">
        <v>44019</v>
      </c>
      <c r="D9" s="10" t="n">
        <v>100</v>
      </c>
      <c r="E9" s="1" t="inlineStr">
        <is>
          <t>100 Cash Paid</t>
        </is>
      </c>
      <c r="F9" s="6" t="inlineStr">
        <is>
          <t>Mahesh</t>
        </is>
      </c>
      <c r="G9" s="7" t="inlineStr">
        <is>
          <t>G4</t>
        </is>
      </c>
      <c r="H9" s="8" t="n">
        <v>44029</v>
      </c>
      <c r="I9" s="9" t="n">
        <v>600</v>
      </c>
      <c r="J9" s="1" t="n">
        <v>1000</v>
      </c>
    </row>
    <row r="10" ht="15" customHeight="1" s="366">
      <c r="A10" s="10" t="inlineStr">
        <is>
          <t>Builder amount</t>
        </is>
      </c>
      <c r="B10" s="10" t="n"/>
      <c r="C10" s="8" t="n">
        <v>44020</v>
      </c>
      <c r="D10" s="10" t="n">
        <v>6887</v>
      </c>
      <c r="F10" s="6" t="inlineStr">
        <is>
          <t>Jagadish</t>
        </is>
      </c>
      <c r="G10" s="7" t="inlineStr">
        <is>
          <t>G3</t>
        </is>
      </c>
      <c r="H10" s="8" t="n">
        <v>44018</v>
      </c>
      <c r="I10" s="9" t="n">
        <v>250</v>
      </c>
      <c r="J10" s="1" t="n">
        <v>1000</v>
      </c>
    </row>
    <row r="11" ht="15" customHeight="1" s="366">
      <c r="A11" s="10" t="inlineStr">
        <is>
          <t>Manjeera  bill Pay</t>
        </is>
      </c>
      <c r="B11" s="10" t="n"/>
      <c r="C11" s="8" t="n">
        <v>44027</v>
      </c>
      <c r="D11" s="10" t="n">
        <v>2044</v>
      </c>
      <c r="F11" s="6" t="inlineStr">
        <is>
          <t>Naveen/Peddi raju</t>
        </is>
      </c>
      <c r="G11" s="7" t="n">
        <v>102</v>
      </c>
      <c r="H11" s="8" t="n">
        <v>44034</v>
      </c>
      <c r="I11" s="9" t="n">
        <v>600</v>
      </c>
      <c r="J11" s="1" t="n">
        <v>500</v>
      </c>
    </row>
    <row r="12" ht="15" customHeight="1" s="366">
      <c r="A12" s="10" t="inlineStr">
        <is>
          <t>Muggu pindi</t>
        </is>
      </c>
      <c r="B12" s="10" t="n"/>
      <c r="C12" s="8" t="n">
        <v>44034</v>
      </c>
      <c r="D12" s="10" t="n">
        <v>50</v>
      </c>
      <c r="F12" s="6" t="inlineStr">
        <is>
          <t>subbaRao (Land Owner)</t>
        </is>
      </c>
      <c r="G12" s="7" t="inlineStr">
        <is>
          <t>R.All</t>
        </is>
      </c>
      <c r="H12" s="8" t="n">
        <v>44018</v>
      </c>
      <c r="I12" s="9" t="n">
        <v>4800</v>
      </c>
    </row>
    <row r="13" ht="15" customHeight="1" s="366">
      <c r="A13" s="10" t="inlineStr">
        <is>
          <t>Watchman Advance</t>
        </is>
      </c>
      <c r="B13" s="10" t="n"/>
      <c r="C13" s="20" t="n">
        <v>44042</v>
      </c>
      <c r="D13" s="10" t="n">
        <v>2000</v>
      </c>
      <c r="F13" s="6" t="inlineStr">
        <is>
          <t>Uma Mahesh</t>
        </is>
      </c>
      <c r="G13" s="7" t="n">
        <v>104</v>
      </c>
      <c r="H13" s="8" t="n">
        <v>44022</v>
      </c>
      <c r="I13" s="9" t="n">
        <v>600</v>
      </c>
    </row>
    <row r="22" ht="15.75" customHeight="1" s="366">
      <c r="A22" s="10" t="inlineStr">
        <is>
          <t>Total</t>
        </is>
      </c>
      <c r="B22" s="10" t="n"/>
      <c r="C22" s="10" t="n"/>
      <c r="D22" s="10">
        <f>SUM(D6:D20)</f>
        <v/>
      </c>
      <c r="F22" s="11" t="inlineStr">
        <is>
          <t>Total</t>
        </is>
      </c>
      <c r="G22" s="12" t="n"/>
      <c r="H22" s="12" t="n"/>
      <c r="I22" s="13">
        <f>SUM(I7:I21)</f>
        <v/>
      </c>
      <c r="J22" s="1">
        <f>SUBTOTAL(109,J7:J21)</f>
        <v/>
      </c>
    </row>
    <row r="23" ht="15.75" customHeight="1" s="366">
      <c r="F23" s="14" t="n"/>
      <c r="G23" s="14" t="n"/>
    </row>
    <row r="24" ht="15.75" customHeight="1" s="366"/>
    <row r="25" ht="15.75" customHeight="1" s="366">
      <c r="A25" s="15" t="inlineStr">
        <is>
          <t>Water Bill</t>
        </is>
      </c>
    </row>
    <row r="26" ht="15.75" customHeight="1" s="366"/>
    <row r="27" ht="15.75" customHeight="1" s="366">
      <c r="C27" s="1" t="inlineStr">
        <is>
          <t>No of Tankers in prevoius Month</t>
        </is>
      </c>
      <c r="D27" s="15" t="n">
        <v>3</v>
      </c>
      <c r="G27" s="29" t="inlineStr">
        <is>
          <t>Current Month Tankers</t>
        </is>
      </c>
      <c r="H27" s="367" t="n"/>
      <c r="I27" s="367" t="n"/>
      <c r="J27" s="368" t="n"/>
    </row>
    <row r="28" ht="15.75" customHeight="1" s="366">
      <c r="C28" s="1" t="inlineStr">
        <is>
          <t>Each Tank Cost</t>
        </is>
      </c>
      <c r="D28" s="15" t="n">
        <v>1200</v>
      </c>
      <c r="G28" s="22" t="inlineStr">
        <is>
          <t>S.No</t>
        </is>
      </c>
      <c r="H28" s="22" t="inlineStr">
        <is>
          <t>Date</t>
        </is>
      </c>
      <c r="I28" s="22" t="inlineStr">
        <is>
          <t>No Ltrs</t>
        </is>
      </c>
      <c r="J28" s="22" t="inlineStr">
        <is>
          <t>Cost</t>
        </is>
      </c>
    </row>
    <row r="29" ht="15.75" customHeight="1" s="366">
      <c r="C29" s="1" t="inlineStr">
        <is>
          <t>Each Tank Capacty</t>
        </is>
      </c>
      <c r="D29" s="1" t="n">
        <v>10000</v>
      </c>
      <c r="G29" s="22" t="n">
        <v>1</v>
      </c>
      <c r="H29" s="23" t="n">
        <v>44014</v>
      </c>
      <c r="I29" s="22" t="n">
        <v>10000</v>
      </c>
      <c r="J29" s="22" t="n">
        <v>1200</v>
      </c>
    </row>
    <row r="30" ht="15.75" customHeight="1" s="366">
      <c r="C30" s="15" t="inlineStr">
        <is>
          <t>Total Water Tank Bill</t>
        </is>
      </c>
      <c r="D30" s="15">
        <f>D28*D27</f>
        <v/>
      </c>
      <c r="G30" s="22" t="n">
        <v>2</v>
      </c>
      <c r="H30" s="24" t="n">
        <v>44015</v>
      </c>
      <c r="I30" s="22" t="n">
        <v>5000</v>
      </c>
      <c r="J30" s="22" t="n">
        <v>550</v>
      </c>
    </row>
    <row r="31" ht="15.75" customHeight="1" s="366">
      <c r="F31" s="15" t="n"/>
      <c r="G31" s="15" t="n"/>
    </row>
    <row r="32" ht="15.75" customHeight="1" s="366">
      <c r="C32" s="15" t="inlineStr">
        <is>
          <t>Manjeera Bill</t>
        </is>
      </c>
      <c r="D32" s="15" t="n">
        <v>2044</v>
      </c>
    </row>
    <row r="34" ht="15.75" customHeight="1" s="366">
      <c r="A34" s="369" t="inlineStr">
        <is>
          <t>Meeter Readings as on July 2, 2020  around 5 PM</t>
        </is>
      </c>
      <c r="E34" s="26" t="n"/>
      <c r="F34" s="26" t="n"/>
    </row>
    <row r="35" ht="15.75" customHeight="1" s="366"/>
    <row r="36" ht="15.75" customHeight="1" s="366">
      <c r="A36" s="27" t="inlineStr">
        <is>
          <t>Flat Number</t>
        </is>
      </c>
      <c r="B36" s="27" t="inlineStr">
        <is>
          <t>Curret Meter Reading</t>
        </is>
      </c>
      <c r="C36" s="27" t="inlineStr">
        <is>
          <t>Total Units</t>
        </is>
      </c>
      <c r="D36" s="28" t="inlineStr">
        <is>
          <t>Cost wth manjeera</t>
        </is>
      </c>
    </row>
    <row r="37" ht="15.75" customHeight="1" s="366">
      <c r="A37" s="29" t="inlineStr">
        <is>
          <t>G1</t>
        </is>
      </c>
      <c r="B37" s="30" t="n">
        <v>0.7</v>
      </c>
      <c r="C37" s="22">
        <f>B37*1000</f>
        <v/>
      </c>
      <c r="D37" s="31">
        <f>ROUND(C37*C55,0)</f>
        <v/>
      </c>
      <c r="E37" s="1" t="inlineStr">
        <is>
          <t>PAID</t>
        </is>
      </c>
      <c r="G37" s="1" t="n">
        <v>53</v>
      </c>
    </row>
    <row r="38" ht="15.75" customHeight="1" s="366">
      <c r="A38" s="29" t="inlineStr">
        <is>
          <t>G2</t>
        </is>
      </c>
      <c r="B38" s="30" t="n">
        <v>0.37</v>
      </c>
      <c r="C38" s="22">
        <f>B38*1000</f>
        <v/>
      </c>
      <c r="D38" s="31">
        <f>ROUND(C38*C55,0)</f>
        <v/>
      </c>
      <c r="E38" s="1" t="inlineStr">
        <is>
          <t>PAID</t>
        </is>
      </c>
      <c r="G38" s="1" t="n">
        <v>28</v>
      </c>
    </row>
    <row r="39" ht="15.75" customHeight="1" s="366">
      <c r="A39" s="32" t="inlineStr">
        <is>
          <t>G3</t>
        </is>
      </c>
      <c r="B39" s="33" t="n">
        <v>14.68</v>
      </c>
      <c r="C39" s="34">
        <f>B39*1000</f>
        <v/>
      </c>
      <c r="D39" s="34">
        <f>ROUND(C39*C55,0)</f>
        <v/>
      </c>
      <c r="E39" s="1" t="inlineStr">
        <is>
          <t>PAID</t>
        </is>
      </c>
      <c r="G39" s="1" t="n">
        <v>29</v>
      </c>
    </row>
    <row r="40" ht="15.75" customHeight="1" s="366">
      <c r="A40" s="32" t="inlineStr">
        <is>
          <t>G4</t>
        </is>
      </c>
      <c r="B40" s="33" t="n">
        <v>8.699999999999999</v>
      </c>
      <c r="C40" s="34">
        <f>B40*1000</f>
        <v/>
      </c>
      <c r="D40" s="34">
        <f>ROUND(C40*C55,0)</f>
        <v/>
      </c>
      <c r="E40" s="1" t="inlineStr">
        <is>
          <t>PAID</t>
        </is>
      </c>
      <c r="G40" s="1" t="n">
        <v>31</v>
      </c>
    </row>
    <row r="41" ht="15.75" customHeight="1" s="366">
      <c r="A41" s="29" t="n">
        <v>101</v>
      </c>
      <c r="B41" s="30" t="n">
        <v>0.38</v>
      </c>
      <c r="C41" s="22">
        <f>B41*1000</f>
        <v/>
      </c>
      <c r="D41" s="31">
        <f>ROUND(C41*C55,0)</f>
        <v/>
      </c>
      <c r="E41" s="1" t="inlineStr">
        <is>
          <t>PAID</t>
        </is>
      </c>
      <c r="G41" s="1" t="n">
        <v>110</v>
      </c>
    </row>
    <row r="42" ht="15.75" customHeight="1" s="366">
      <c r="A42" s="32" t="n">
        <v>102</v>
      </c>
      <c r="B42" s="33" t="n">
        <v>7.85</v>
      </c>
      <c r="C42" s="34">
        <f>B42*1000</f>
        <v/>
      </c>
      <c r="D42" s="34">
        <f>ROUND(C42*C55,0)</f>
        <v/>
      </c>
      <c r="E42" s="1" t="inlineStr">
        <is>
          <t>PAID</t>
        </is>
      </c>
      <c r="G42" s="1" t="n">
        <v>32</v>
      </c>
    </row>
    <row r="43" ht="15.75" customHeight="1" s="366">
      <c r="A43" s="29" t="n">
        <v>103</v>
      </c>
      <c r="B43" s="30" t="n">
        <v>0.4</v>
      </c>
      <c r="C43" s="22">
        <f>B43*1000</f>
        <v/>
      </c>
      <c r="D43" s="31">
        <f>ROUND(C43*C55,0)</f>
        <v/>
      </c>
      <c r="E43" s="1" t="inlineStr">
        <is>
          <t>PAID</t>
        </is>
      </c>
      <c r="G43" s="1" t="n">
        <v>32</v>
      </c>
    </row>
    <row r="44" ht="15.75" customHeight="1" s="366">
      <c r="A44" s="32" t="n">
        <v>104</v>
      </c>
      <c r="B44" s="33" t="n">
        <v>4.39</v>
      </c>
      <c r="C44" s="34">
        <f>B44*1000</f>
        <v/>
      </c>
      <c r="D44" s="34">
        <f>ROUND(C44*C55,0)</f>
        <v/>
      </c>
      <c r="E44" s="1" t="inlineStr">
        <is>
          <t>PAID</t>
        </is>
      </c>
      <c r="G44" s="1" t="n">
        <v>28</v>
      </c>
    </row>
    <row r="45" ht="15.75" customHeight="1" s="366">
      <c r="A45" s="29" t="n">
        <v>201</v>
      </c>
      <c r="B45" s="30" t="n">
        <v>1.44</v>
      </c>
      <c r="C45" s="22">
        <f>B45*1000</f>
        <v/>
      </c>
      <c r="D45" s="31">
        <f>ROUND(C45*C55,0)</f>
        <v/>
      </c>
      <c r="E45" s="1" t="inlineStr">
        <is>
          <t>PAID</t>
        </is>
      </c>
      <c r="G45" s="1" t="n">
        <v>29</v>
      </c>
    </row>
    <row r="46" ht="15.75" customHeight="1" s="366">
      <c r="A46" s="32" t="n">
        <v>202</v>
      </c>
      <c r="B46" s="33" t="n">
        <v>10.19</v>
      </c>
      <c r="C46" s="34">
        <f>B46*1000</f>
        <v/>
      </c>
      <c r="D46" s="34">
        <f>ROUND(C46*C55,0)</f>
        <v/>
      </c>
      <c r="E46" s="1" t="inlineStr">
        <is>
          <t>PAID</t>
        </is>
      </c>
      <c r="G46" s="1" t="n">
        <v>41</v>
      </c>
    </row>
    <row r="47" ht="15.75" customHeight="1" s="366">
      <c r="A47" s="29" t="n">
        <v>203</v>
      </c>
      <c r="B47" s="30" t="n">
        <v>0.42</v>
      </c>
      <c r="C47" s="22">
        <f>B47*1000</f>
        <v/>
      </c>
      <c r="D47" s="31">
        <f>ROUND(C47*C55,0)</f>
        <v/>
      </c>
      <c r="E47" s="1" t="inlineStr">
        <is>
          <t>PAID</t>
        </is>
      </c>
      <c r="F47" s="1" t="inlineStr">
        <is>
          <t>Water bill for others flats</t>
        </is>
      </c>
      <c r="G47" s="1">
        <f>SUM(G37:G46)</f>
        <v/>
      </c>
    </row>
    <row r="48" ht="15.75" customHeight="1" s="366">
      <c r="A48" s="29" t="n">
        <v>204</v>
      </c>
      <c r="B48" s="30" t="n">
        <v>0.42</v>
      </c>
      <c r="C48" s="22">
        <f>B48*1000</f>
        <v/>
      </c>
      <c r="D48" s="31">
        <f>ROUND(C48*C55,0)</f>
        <v/>
      </c>
      <c r="E48" s="1" t="inlineStr">
        <is>
          <t>PAID</t>
        </is>
      </c>
      <c r="F48" s="1" t="inlineStr">
        <is>
          <t>Advance for Bilder share</t>
        </is>
      </c>
      <c r="G48" s="1" t="n">
        <v>1200</v>
      </c>
    </row>
    <row r="49" ht="15.75" customHeight="1" s="366">
      <c r="A49" s="29" t="n">
        <v>301</v>
      </c>
      <c r="B49" s="30" t="n">
        <v>0.37</v>
      </c>
      <c r="C49" s="22">
        <f>B49*1000</f>
        <v/>
      </c>
      <c r="D49" s="31">
        <f>ROUND(C49*C55,0)</f>
        <v/>
      </c>
      <c r="E49" s="1" t="inlineStr">
        <is>
          <t>PAID</t>
        </is>
      </c>
      <c r="G49" s="1">
        <f>SUM(G47,G48)</f>
        <v/>
      </c>
    </row>
    <row r="50" ht="15.75" customHeight="1" s="366">
      <c r="A50" s="29" t="n">
        <v>302</v>
      </c>
      <c r="B50" s="30" t="n">
        <v>0.38</v>
      </c>
      <c r="C50" s="22">
        <f>B50*1000</f>
        <v/>
      </c>
      <c r="D50" s="31">
        <f>ROUND(C50*C55,0)</f>
        <v/>
      </c>
      <c r="E50" s="1" t="inlineStr">
        <is>
          <t>PAID</t>
        </is>
      </c>
      <c r="F50" s="1" t="inlineStr">
        <is>
          <t>give to builder amount</t>
        </is>
      </c>
      <c r="G50" s="1">
        <f>8500-1613</f>
        <v/>
      </c>
    </row>
    <row r="51" ht="15.75" customHeight="1" s="366">
      <c r="A51" s="32" t="n">
        <v>303</v>
      </c>
      <c r="B51" s="33" t="n">
        <v>22.67</v>
      </c>
      <c r="C51" s="34">
        <f>B51*1000</f>
        <v/>
      </c>
      <c r="D51" s="34">
        <f>ROUND(C51*C55,0)</f>
        <v/>
      </c>
      <c r="E51" s="1" t="inlineStr">
        <is>
          <t>PAID</t>
        </is>
      </c>
    </row>
    <row r="52" ht="15.75" customHeight="1" s="366">
      <c r="A52" s="29" t="n">
        <v>304</v>
      </c>
      <c r="B52" s="30" t="n">
        <v>0.54</v>
      </c>
      <c r="C52" s="22">
        <f>B52*1000</f>
        <v/>
      </c>
      <c r="D52" s="31">
        <f>ROUND(C52*C55,0)</f>
        <v/>
      </c>
      <c r="E52" s="1" t="inlineStr">
        <is>
          <t>PAID</t>
        </is>
      </c>
    </row>
    <row r="53" ht="15.75" customHeight="1" s="366">
      <c r="A53" s="22" t="inlineStr">
        <is>
          <t>Watch Man</t>
        </is>
      </c>
      <c r="B53" s="22" t="n"/>
      <c r="C53" s="22" t="n"/>
      <c r="D53" s="27">
        <f>SUM(D37:D52)</f>
        <v/>
      </c>
      <c r="E53" s="15">
        <f>SUMIF(E37:E52,"PAID",D37:D52)</f>
        <v/>
      </c>
    </row>
    <row r="54" ht="15.75" customHeight="1" s="366">
      <c r="A54" s="22" t="n"/>
      <c r="B54" s="22" t="inlineStr">
        <is>
          <t>Total Usage Units</t>
        </is>
      </c>
      <c r="C54" s="22">
        <f>SUM(C37:C53)</f>
        <v/>
      </c>
      <c r="D54" s="22" t="n"/>
    </row>
    <row r="55" ht="15.75" customHeight="1" s="366">
      <c r="A55" s="22" t="n"/>
      <c r="B55" s="22" t="inlineStr">
        <is>
          <t>per Lt Cost With Manira</t>
        </is>
      </c>
      <c r="C55" s="22">
        <f>5644/73900</f>
        <v/>
      </c>
      <c r="D55" s="22" t="n"/>
    </row>
    <row r="56" ht="15.75" customHeight="1" s="366">
      <c r="A56" s="22" t="n"/>
      <c r="B56" s="22" t="n"/>
      <c r="C56" s="22" t="n"/>
      <c r="D56" s="22" t="n"/>
    </row>
    <row r="57" ht="15.75" customHeight="1" s="366">
      <c r="A57" s="22" t="inlineStr">
        <is>
          <t>Total Water Bill Wth Manjeera</t>
        </is>
      </c>
      <c r="B57" s="30" t="inlineStr">
        <is>
          <t>3600 + 2044 = 5644</t>
        </is>
      </c>
      <c r="C57" s="22" t="n"/>
      <c r="D57" s="22" t="n"/>
    </row>
  </sheetData>
  <mergeCells count="2">
    <mergeCell ref="A34:D34"/>
    <mergeCell ref="G27:J2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H1" sqref="H1"/>
    </sheetView>
  </sheetViews>
  <sheetFormatPr baseColWidth="8" defaultColWidth="14.42578125" defaultRowHeight="15" customHeight="1"/>
  <cols>
    <col width="13" customWidth="1" style="366" min="1" max="1"/>
    <col width="19.28515625" customWidth="1" style="366" min="2" max="2"/>
    <col width="23.28515625" customWidth="1" style="366" min="3" max="3"/>
    <col width="10.7109375" customWidth="1" style="366" min="4" max="4"/>
    <col width="15.7109375" customWidth="1" style="366" min="5" max="5"/>
    <col width="18.28515625" customWidth="1" style="366" min="6" max="6"/>
    <col width="16.140625" customWidth="1" style="366" min="7" max="7"/>
    <col width="7.5703125" customWidth="1" style="366" min="8" max="8"/>
  </cols>
  <sheetData>
    <row r="1" ht="15" customHeight="1" s="366">
      <c r="A1" s="1" t="inlineStr">
        <is>
          <t>Maintanence</t>
        </is>
      </c>
      <c r="G1" s="35" t="inlineStr">
        <is>
          <t>Last Month Balance</t>
        </is>
      </c>
      <c r="H1" s="266">
        <f>July_2020!I2</f>
        <v/>
      </c>
    </row>
    <row r="3" ht="15" customHeight="1" s="366">
      <c r="A3" s="27" t="inlineStr">
        <is>
          <t>Flat Number</t>
        </is>
      </c>
      <c r="B3" s="27" t="inlineStr">
        <is>
          <t>Previous Meter Reading</t>
        </is>
      </c>
      <c r="C3" s="27" t="inlineStr">
        <is>
          <t>Curret Meter Reading</t>
        </is>
      </c>
      <c r="D3" s="27" t="inlineStr">
        <is>
          <t>Total Units</t>
        </is>
      </c>
      <c r="E3" s="37" t="inlineStr">
        <is>
          <t>Water Bill</t>
        </is>
      </c>
      <c r="F3" s="22" t="inlineStr">
        <is>
          <t>CommonMaintanence</t>
        </is>
      </c>
      <c r="G3" s="22" t="inlineStr">
        <is>
          <t>Total to Pay</t>
        </is>
      </c>
    </row>
    <row r="4" ht="15" customHeight="1" s="366">
      <c r="A4" s="29" t="inlineStr">
        <is>
          <t>G1</t>
        </is>
      </c>
      <c r="B4" s="30" t="n">
        <v>0.7</v>
      </c>
      <c r="C4" s="30" t="n">
        <v>0.89</v>
      </c>
      <c r="D4" s="22">
        <f>(C4-B4)*1000</f>
        <v/>
      </c>
      <c r="E4" s="38">
        <f>ROUND(D4*D22,0)</f>
        <v/>
      </c>
      <c r="F4" s="22" t="n">
        <v>600</v>
      </c>
      <c r="G4" s="22">
        <f>SUM(E4:F4)</f>
        <v/>
      </c>
    </row>
    <row r="5" ht="15" customHeight="1" s="366">
      <c r="A5" s="29" t="inlineStr">
        <is>
          <t>G2</t>
        </is>
      </c>
      <c r="B5" s="30" t="n">
        <v>0.37</v>
      </c>
      <c r="C5" s="30" t="n">
        <v>0.37</v>
      </c>
      <c r="D5" s="22">
        <f>(C5-B5)*1000</f>
        <v/>
      </c>
      <c r="E5" s="38">
        <f>ROUND(D5*D22,0)</f>
        <v/>
      </c>
      <c r="F5" s="22" t="n">
        <v>600</v>
      </c>
      <c r="G5" s="22">
        <f>SUM(E5:F5)</f>
        <v/>
      </c>
    </row>
    <row r="6" ht="15" customHeight="1" s="366">
      <c r="A6" s="32" t="inlineStr">
        <is>
          <t>G3</t>
        </is>
      </c>
      <c r="B6" s="33" t="n">
        <v>14.68</v>
      </c>
      <c r="C6" s="33" t="n">
        <v>25.25</v>
      </c>
      <c r="D6" s="22">
        <f>(C6-B6)*1000</f>
        <v/>
      </c>
      <c r="E6" s="39">
        <f>ROUND(D6*D22,0)</f>
        <v/>
      </c>
      <c r="F6" s="34" t="n">
        <v>600</v>
      </c>
      <c r="G6" s="34">
        <f>SUM(E6:F6)</f>
        <v/>
      </c>
      <c r="H6" s="1" t="inlineStr">
        <is>
          <t>paid</t>
        </is>
      </c>
    </row>
    <row r="7" ht="15" customHeight="1" s="366">
      <c r="A7" s="32" t="inlineStr">
        <is>
          <t>G4</t>
        </is>
      </c>
      <c r="B7" s="33" t="n">
        <v>8.699999999999999</v>
      </c>
      <c r="C7" s="33" t="n">
        <v>16.82</v>
      </c>
      <c r="D7" s="22">
        <f>(C7-B7)*1000</f>
        <v/>
      </c>
      <c r="E7" s="39">
        <f>ROUND(D7*D22,0)</f>
        <v/>
      </c>
      <c r="F7" s="39" t="n">
        <v>600</v>
      </c>
      <c r="G7" s="39">
        <f>SUM(E7:F7)</f>
        <v/>
      </c>
      <c r="H7" s="1" t="inlineStr">
        <is>
          <t>paid</t>
        </is>
      </c>
    </row>
    <row r="8" ht="15" customHeight="1" s="366">
      <c r="A8" s="29" t="n">
        <v>101</v>
      </c>
      <c r="B8" s="30" t="n">
        <v>0.38</v>
      </c>
      <c r="C8" s="30" t="n">
        <v>0.38</v>
      </c>
      <c r="D8" s="22">
        <f>(C8-B8)*1000</f>
        <v/>
      </c>
      <c r="E8" s="38">
        <f>ROUND(D8*D22,0)</f>
        <v/>
      </c>
      <c r="F8" s="22" t="n">
        <v>600</v>
      </c>
      <c r="G8" s="22">
        <f>SUM(E8:F8)</f>
        <v/>
      </c>
    </row>
    <row r="9" ht="15" customHeight="1" s="366">
      <c r="A9" s="32" t="n">
        <v>102</v>
      </c>
      <c r="B9" s="33" t="n">
        <v>7.85</v>
      </c>
      <c r="C9" s="33" t="n">
        <v>16.67</v>
      </c>
      <c r="D9" s="22">
        <f>(C9-B9)*1000</f>
        <v/>
      </c>
      <c r="E9" s="39">
        <f>ROUND(D9*D22,0)</f>
        <v/>
      </c>
      <c r="F9" s="34" t="n">
        <v>600</v>
      </c>
      <c r="G9" s="34">
        <f>SUM(E9:F9)</f>
        <v/>
      </c>
      <c r="H9" s="1" t="inlineStr">
        <is>
          <t>paid</t>
        </is>
      </c>
    </row>
    <row r="10" ht="15" customHeight="1" s="366">
      <c r="A10" s="29" t="n">
        <v>103</v>
      </c>
      <c r="B10" s="30" t="n">
        <v>0.4</v>
      </c>
      <c r="C10" s="30" t="n">
        <v>0.4</v>
      </c>
      <c r="D10" s="22">
        <f>(C10-B10)*1000</f>
        <v/>
      </c>
      <c r="E10" s="38">
        <f>ROUND(D10*D22,0)</f>
        <v/>
      </c>
      <c r="F10" s="22" t="n">
        <v>600</v>
      </c>
      <c r="G10" s="22">
        <f>SUM(E10:F10)</f>
        <v/>
      </c>
    </row>
    <row r="11" ht="15" customHeight="1" s="366">
      <c r="A11" s="32" t="n">
        <v>104</v>
      </c>
      <c r="B11" s="33" t="n">
        <v>4.39</v>
      </c>
      <c r="C11" s="33" t="n">
        <v>4.77</v>
      </c>
      <c r="D11" s="22">
        <f>(C11-B11)*1000</f>
        <v/>
      </c>
      <c r="E11" s="39">
        <f>ROUND(D11*D22,0)</f>
        <v/>
      </c>
      <c r="F11" s="34" t="n">
        <v>600</v>
      </c>
      <c r="G11" s="34">
        <f>SUM(E11:F11)</f>
        <v/>
      </c>
      <c r="H11" s="1" t="inlineStr">
        <is>
          <t>paid</t>
        </is>
      </c>
    </row>
    <row r="12" ht="15" customHeight="1" s="366">
      <c r="A12" s="29" t="n">
        <v>201</v>
      </c>
      <c r="B12" s="30" t="n">
        <v>1.44</v>
      </c>
      <c r="C12" s="30" t="n">
        <v>1.46</v>
      </c>
      <c r="D12" s="22">
        <f>(C12-B12)*1000</f>
        <v/>
      </c>
      <c r="E12" s="38">
        <f>ROUND(D12*D22,0)</f>
        <v/>
      </c>
      <c r="F12" s="22" t="n">
        <v>600</v>
      </c>
      <c r="G12" s="22">
        <f>SUM(E12:F12)</f>
        <v/>
      </c>
    </row>
    <row r="13" ht="15" customHeight="1" s="366">
      <c r="A13" s="32" t="n">
        <v>202</v>
      </c>
      <c r="B13" s="33" t="n">
        <v>10.19</v>
      </c>
      <c r="C13" s="33" t="n">
        <v>17.7</v>
      </c>
      <c r="D13" s="22">
        <f>(C13-B13)*1000</f>
        <v/>
      </c>
      <c r="E13" s="39">
        <f>ROUND(D13*D22,0)</f>
        <v/>
      </c>
      <c r="F13" s="34" t="n">
        <v>600</v>
      </c>
      <c r="G13" s="34">
        <f>SUM(E13:F13)</f>
        <v/>
      </c>
      <c r="H13" s="1" t="inlineStr">
        <is>
          <t>paid</t>
        </is>
      </c>
    </row>
    <row r="14" ht="15" customHeight="1" s="366">
      <c r="A14" s="29" t="n">
        <v>203</v>
      </c>
      <c r="B14" s="30" t="n">
        <v>0.42</v>
      </c>
      <c r="C14" s="30" t="n">
        <v>0.42</v>
      </c>
      <c r="D14" s="22">
        <f>(C14-B14)*1000</f>
        <v/>
      </c>
      <c r="E14" s="38">
        <f>ROUND(D14*D22,0)</f>
        <v/>
      </c>
      <c r="F14" s="22" t="n">
        <v>600</v>
      </c>
      <c r="G14" s="22">
        <f>SUM(E14:F14)</f>
        <v/>
      </c>
    </row>
    <row r="15" ht="15" customHeight="1" s="366">
      <c r="A15" s="29" t="n">
        <v>204</v>
      </c>
      <c r="B15" s="30" t="n">
        <v>0.42</v>
      </c>
      <c r="C15" s="30" t="n">
        <v>0.42</v>
      </c>
      <c r="D15" s="22">
        <f>(C15-B15)*1000</f>
        <v/>
      </c>
      <c r="E15" s="38">
        <f>ROUND(D15*D22,0)</f>
        <v/>
      </c>
      <c r="F15" s="22" t="n">
        <v>600</v>
      </c>
      <c r="G15" s="22">
        <f>SUM(E15:F15)</f>
        <v/>
      </c>
    </row>
    <row r="16" ht="15" customHeight="1" s="366">
      <c r="A16" s="29" t="n">
        <v>301</v>
      </c>
      <c r="B16" s="30" t="n">
        <v>0.37</v>
      </c>
      <c r="C16" s="30" t="n">
        <v>0.37</v>
      </c>
      <c r="D16" s="22">
        <f>(C16-B16)*1000</f>
        <v/>
      </c>
      <c r="E16" s="38">
        <f>ROUND(D16*D22,0)</f>
        <v/>
      </c>
      <c r="F16" s="22" t="n">
        <v>600</v>
      </c>
      <c r="G16" s="22">
        <f>SUM(E16:F16)</f>
        <v/>
      </c>
    </row>
    <row r="17" ht="15" customHeight="1" s="366">
      <c r="A17" s="29" t="n">
        <v>302</v>
      </c>
      <c r="B17" s="30" t="n">
        <v>0.38</v>
      </c>
      <c r="C17" s="30" t="n">
        <v>0.38</v>
      </c>
      <c r="D17" s="22">
        <f>(C17-B17)*1000</f>
        <v/>
      </c>
      <c r="E17" s="38">
        <f>ROUND(D17*D22,0)</f>
        <v/>
      </c>
      <c r="F17" s="22" t="n">
        <v>600</v>
      </c>
      <c r="G17" s="22">
        <f>SUM(E17:F17)</f>
        <v/>
      </c>
    </row>
    <row r="18" ht="15" customHeight="1" s="366">
      <c r="A18" s="32" t="n">
        <v>303</v>
      </c>
      <c r="B18" s="33" t="n">
        <v>22.67</v>
      </c>
      <c r="C18" s="33" t="n">
        <v>39.83</v>
      </c>
      <c r="D18" s="22">
        <f>(C18-B18)*1000</f>
        <v/>
      </c>
      <c r="E18" s="39">
        <f>ROUND(D18*D22,0)</f>
        <v/>
      </c>
      <c r="F18" s="34" t="n">
        <v>600</v>
      </c>
      <c r="G18" s="34">
        <f>SUM(E18:F18)</f>
        <v/>
      </c>
      <c r="H18" s="1" t="inlineStr">
        <is>
          <t>paid</t>
        </is>
      </c>
    </row>
    <row r="19" ht="15" customHeight="1" s="366">
      <c r="A19" s="29" t="n">
        <v>304</v>
      </c>
      <c r="B19" s="30" t="n">
        <v>0.54</v>
      </c>
      <c r="C19" s="30" t="n">
        <v>0.55</v>
      </c>
      <c r="D19" s="22">
        <f>(C19-B19)*1000</f>
        <v/>
      </c>
      <c r="E19" s="38">
        <f>ROUND(D19*D22,0)</f>
        <v/>
      </c>
      <c r="F19" s="22" t="n">
        <v>600</v>
      </c>
      <c r="G19" s="22">
        <f>SUM(E19:F19)</f>
        <v/>
      </c>
    </row>
    <row r="20" ht="15" customHeight="1" s="366">
      <c r="A20" s="22" t="n"/>
      <c r="B20" s="22" t="n"/>
      <c r="C20" s="22" t="n"/>
      <c r="D20" s="22" t="n"/>
      <c r="E20" s="40">
        <f>SUM(E4:E19)</f>
        <v/>
      </c>
      <c r="F20" s="27">
        <f>SUM(F4:F19)</f>
        <v/>
      </c>
      <c r="G20" s="27">
        <f>SUM(E20:F20)</f>
        <v/>
      </c>
    </row>
    <row r="21" ht="15" customHeight="1" s="366">
      <c r="A21" s="22" t="n"/>
      <c r="B21" s="22" t="inlineStr">
        <is>
          <t>Total Usage Units</t>
        </is>
      </c>
      <c r="C21" s="22" t="n"/>
      <c r="D21" s="22">
        <f>SUM(D4:D20)</f>
        <v/>
      </c>
      <c r="E21" s="41" t="n"/>
      <c r="F21" s="22" t="n"/>
      <c r="G21" s="22" t="n"/>
    </row>
    <row r="22" ht="15.75" customHeight="1" s="366">
      <c r="A22" s="22" t="n"/>
      <c r="B22" s="22" t="inlineStr">
        <is>
          <t>per Lt Cost With Manjira</t>
        </is>
      </c>
      <c r="C22" s="22" t="n"/>
      <c r="D22" s="22">
        <f>B25/D21</f>
        <v/>
      </c>
      <c r="E22" s="41" t="n"/>
      <c r="F22" s="22" t="n"/>
      <c r="G22" s="22" t="n"/>
    </row>
    <row r="23" ht="15.75" customHeight="1" s="366">
      <c r="A23" s="22" t="n"/>
      <c r="B23" s="22" t="n"/>
      <c r="C23" s="22" t="n"/>
      <c r="D23" s="22" t="n"/>
      <c r="E23" s="41" t="n"/>
      <c r="F23" s="22" t="n"/>
      <c r="G23" s="22" t="n"/>
    </row>
    <row r="24" ht="15.75" customHeight="1" s="366">
      <c r="A24" s="22" t="n"/>
      <c r="B24" s="22" t="n"/>
      <c r="C24" s="22" t="n"/>
      <c r="D24" s="22" t="n"/>
      <c r="E24" s="41" t="n"/>
      <c r="F24" s="22" t="n"/>
      <c r="G24" s="22" t="n"/>
    </row>
    <row r="25" ht="15.75" customHeight="1" s="366">
      <c r="A25" s="22" t="inlineStr">
        <is>
          <t>Total Water Bill</t>
        </is>
      </c>
      <c r="B25" s="30" t="n">
        <v>3244</v>
      </c>
      <c r="C25" s="30" t="n"/>
      <c r="D25" s="22" t="n"/>
      <c r="E25" s="41" t="n"/>
      <c r="F25" s="22" t="n"/>
      <c r="G25" s="22" t="n"/>
    </row>
    <row r="26" ht="15.75" customHeight="1" s="366">
      <c r="A26" s="22" t="n"/>
      <c r="B26" s="30" t="n"/>
      <c r="C26" s="30" t="n"/>
      <c r="D26" s="22" t="n"/>
      <c r="E26" s="41" t="n"/>
      <c r="F26" s="22" t="n"/>
      <c r="G26" s="22" t="n"/>
    </row>
    <row r="27" ht="15.75" customHeight="1" s="366"/>
    <row r="28" ht="15.75" customHeight="1" s="366"/>
    <row r="29" ht="15.75" customHeight="1" s="366">
      <c r="A29" s="1" t="inlineStr">
        <is>
          <t>EXPENDITURE</t>
        </is>
      </c>
    </row>
    <row r="30" ht="15.75" customHeight="1" s="366"/>
    <row r="31" ht="15.75" customHeight="1" s="366"/>
    <row r="32" ht="15.75" customHeight="1" s="366">
      <c r="A32" s="5" t="inlineStr">
        <is>
          <t>Item</t>
        </is>
      </c>
      <c r="B32" s="5" t="inlineStr">
        <is>
          <t>Quantity</t>
        </is>
      </c>
      <c r="C32" s="5" t="inlineStr">
        <is>
          <t>date</t>
        </is>
      </c>
      <c r="D32" s="5" t="inlineStr">
        <is>
          <t>amount</t>
        </is>
      </c>
    </row>
    <row r="33" ht="15.75" customHeight="1" s="366">
      <c r="A33" s="10" t="inlineStr">
        <is>
          <t>Watch man salary</t>
        </is>
      </c>
      <c r="B33" s="10" t="n"/>
      <c r="C33" s="8" t="n">
        <v>44046</v>
      </c>
      <c r="D33" s="10" t="n">
        <v>4000</v>
      </c>
    </row>
    <row r="34" ht="15.75" customHeight="1" s="366">
      <c r="A34" s="10" t="inlineStr">
        <is>
          <t>sanitizer stand with lock</t>
        </is>
      </c>
      <c r="B34" s="10" t="n"/>
      <c r="C34" s="8" t="n">
        <v>44051</v>
      </c>
      <c r="D34" s="10" t="n">
        <v>1550</v>
      </c>
    </row>
    <row r="35" ht="15.75" customHeight="1" s="366">
      <c r="A35" s="10" t="inlineStr">
        <is>
          <t>sanitizer liquid</t>
        </is>
      </c>
      <c r="B35" s="10" t="n"/>
      <c r="C35" s="8" t="n">
        <v>44051</v>
      </c>
      <c r="D35" s="1" t="n">
        <v>900</v>
      </c>
    </row>
    <row r="36" ht="15.75" customHeight="1" s="366">
      <c r="A36" s="10" t="inlineStr">
        <is>
          <t>Garbage colleaction</t>
        </is>
      </c>
      <c r="B36" s="10" t="n"/>
      <c r="C36" s="8" t="n">
        <v>44054</v>
      </c>
      <c r="D36" s="10" t="n">
        <v>250</v>
      </c>
    </row>
    <row r="37" ht="15.75" customHeight="1" s="366">
      <c r="A37" s="10" t="inlineStr">
        <is>
          <t>Power bill</t>
        </is>
      </c>
      <c r="B37" s="10" t="n"/>
      <c r="C37" s="8" t="n">
        <v>44059</v>
      </c>
      <c r="D37" s="10" t="n">
        <v>2353</v>
      </c>
      <c r="F37" s="1" t="inlineStr">
        <is>
          <t>Final Balance</t>
        </is>
      </c>
      <c r="G37" s="1">
        <f>H1+D70-D49</f>
        <v/>
      </c>
    </row>
    <row r="38" ht="15.75" customHeight="1" s="366">
      <c r="A38" s="10" t="inlineStr">
        <is>
          <t>drinage water issues</t>
        </is>
      </c>
      <c r="B38" s="10" t="n"/>
      <c r="C38" s="8" t="n">
        <v>44066</v>
      </c>
      <c r="D38" s="10" t="n">
        <v>400</v>
      </c>
    </row>
    <row r="39" ht="15.75" customHeight="1" s="366">
      <c r="A39" s="10" t="inlineStr">
        <is>
          <t>cheepuru</t>
        </is>
      </c>
      <c r="B39" s="10" t="n"/>
      <c r="C39" s="8" t="n">
        <v>44069</v>
      </c>
      <c r="D39" s="10" t="n">
        <v>100</v>
      </c>
    </row>
    <row r="40" ht="15.75" customHeight="1" s="366">
      <c r="A40" s="10" t="inlineStr">
        <is>
          <t>Water bill</t>
        </is>
      </c>
      <c r="B40" s="10" t="n"/>
      <c r="C40" s="8" t="n">
        <v>44074</v>
      </c>
      <c r="D40" s="10" t="n">
        <v>2044</v>
      </c>
    </row>
    <row r="49" ht="15.75" customHeight="1" s="366">
      <c r="A49" s="10" t="inlineStr">
        <is>
          <t>Total</t>
        </is>
      </c>
      <c r="B49" s="10" t="n"/>
      <c r="C49" s="10" t="n"/>
      <c r="D49" s="10">
        <f>SUM(D33:D47)</f>
        <v/>
      </c>
    </row>
    <row r="50" ht="15.75" customHeight="1" s="366"/>
    <row r="51" ht="15.75" customHeight="1" s="366"/>
    <row r="52" ht="15.75" customHeight="1" s="366">
      <c r="A52" s="1" t="inlineStr">
        <is>
          <t>Maintanence</t>
        </is>
      </c>
    </row>
    <row r="53" ht="15.75" customHeight="1" s="366"/>
    <row r="54" ht="15.75" customHeight="1" s="366">
      <c r="A54" s="2" t="inlineStr">
        <is>
          <t>Name</t>
        </is>
      </c>
      <c r="B54" s="3" t="inlineStr">
        <is>
          <t>Flat no</t>
        </is>
      </c>
      <c r="C54" s="3" t="inlineStr">
        <is>
          <t>date</t>
        </is>
      </c>
      <c r="D54" s="3" t="inlineStr">
        <is>
          <t>Augest Maintanence</t>
        </is>
      </c>
    </row>
    <row r="55" ht="15.75" customHeight="1" s="366">
      <c r="A55" s="6" t="inlineStr">
        <is>
          <t>Sheshu</t>
        </is>
      </c>
      <c r="B55" s="7" t="n">
        <v>303</v>
      </c>
      <c r="C55" s="8" t="n">
        <v>44020</v>
      </c>
      <c r="D55" s="1" t="n">
        <v>1655</v>
      </c>
    </row>
    <row r="56" ht="15.75" customHeight="1" s="366">
      <c r="A56" s="6" t="inlineStr">
        <is>
          <t>Ram kumar</t>
        </is>
      </c>
      <c r="B56" s="7" t="n">
        <v>202</v>
      </c>
      <c r="C56" s="8" t="n">
        <v>44020</v>
      </c>
      <c r="D56" s="1" t="n">
        <v>1062</v>
      </c>
    </row>
    <row r="57" ht="15.75" customHeight="1" s="366">
      <c r="A57" s="6" t="inlineStr">
        <is>
          <t>Mahesh</t>
        </is>
      </c>
      <c r="B57" s="7" t="inlineStr">
        <is>
          <t>G4</t>
        </is>
      </c>
      <c r="C57" s="8" t="n">
        <v>44029</v>
      </c>
      <c r="D57" s="1" t="n">
        <v>1100</v>
      </c>
    </row>
    <row r="58" ht="15.75" customHeight="1" s="366">
      <c r="A58" s="6" t="inlineStr">
        <is>
          <t>Jagadish</t>
        </is>
      </c>
      <c r="B58" s="7" t="inlineStr">
        <is>
          <t>G3</t>
        </is>
      </c>
      <c r="C58" s="8" t="n">
        <v>44018</v>
      </c>
      <c r="D58" s="1" t="n">
        <v>1250</v>
      </c>
    </row>
    <row r="59" ht="15.75" customHeight="1" s="366">
      <c r="A59" s="6" t="inlineStr">
        <is>
          <t>Naveen/Peddi raju</t>
        </is>
      </c>
      <c r="B59" s="7" t="n">
        <v>102</v>
      </c>
      <c r="C59" s="8" t="n">
        <v>44034</v>
      </c>
      <c r="D59" s="1" t="n">
        <v>1150</v>
      </c>
    </row>
    <row r="60" ht="15.75" customHeight="1" s="366">
      <c r="A60" s="6" t="inlineStr">
        <is>
          <t>subbaRao (Land Owner)</t>
        </is>
      </c>
      <c r="B60" s="7" t="inlineStr">
        <is>
          <t>R.All</t>
        </is>
      </c>
      <c r="C60" s="8" t="n">
        <v>44018</v>
      </c>
      <c r="D60" s="1" t="n">
        <v>4800</v>
      </c>
    </row>
    <row r="61" ht="15.75" customHeight="1" s="366">
      <c r="A61" s="6" t="inlineStr">
        <is>
          <t>Uma Mahesh</t>
        </is>
      </c>
      <c r="B61" s="7" t="n">
        <v>104</v>
      </c>
      <c r="C61" s="8" t="n">
        <v>44022</v>
      </c>
      <c r="D61" s="1" t="n">
        <v>623</v>
      </c>
    </row>
    <row r="62" ht="15.75" customHeight="1" s="366">
      <c r="A62" s="6" t="inlineStr">
        <is>
          <t>builders</t>
        </is>
      </c>
      <c r="B62" s="7" t="n"/>
      <c r="C62" s="10" t="n"/>
      <c r="D62" s="1" t="n">
        <v>1200</v>
      </c>
    </row>
    <row r="70" ht="15.75" customHeight="1" s="366">
      <c r="A70" s="11" t="inlineStr">
        <is>
          <t>Total</t>
        </is>
      </c>
      <c r="B70" s="12" t="n"/>
      <c r="C70" s="12" t="n"/>
      <c r="D70" s="1">
        <f>SUBTOTAL(109,D55:D69)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0"/>
  <sheetViews>
    <sheetView workbookViewId="0">
      <selection activeCell="A12" sqref="A12:C12"/>
    </sheetView>
  </sheetViews>
  <sheetFormatPr baseColWidth="8" defaultColWidth="14.42578125" defaultRowHeight="15" customHeight="1"/>
  <cols>
    <col width="12.85546875" customWidth="1" style="366" min="1" max="1"/>
    <col width="19.85546875" customWidth="1" style="366" min="2" max="2"/>
    <col width="25.7109375" customWidth="1" style="366" min="3" max="3"/>
    <col width="10.42578125" customWidth="1" style="366" min="4" max="4"/>
    <col width="8.7109375" customWidth="1" style="366" min="5" max="5"/>
    <col width="18.28515625" customWidth="1" style="366" min="6" max="6"/>
    <col width="16" customWidth="1" style="366" min="7" max="7"/>
    <col width="23.28515625" customWidth="1" style="366" min="8" max="8"/>
    <col width="7.5703125" customWidth="1" style="366" min="9" max="9"/>
  </cols>
  <sheetData>
    <row r="1" ht="15" customHeight="1" s="366">
      <c r="A1" s="1" t="inlineStr">
        <is>
          <t>Maintanence</t>
        </is>
      </c>
      <c r="G1" s="35" t="inlineStr">
        <is>
          <t>Last Month Balance</t>
        </is>
      </c>
      <c r="H1" s="1">
        <f>August_2020!G37</f>
        <v/>
      </c>
    </row>
    <row r="3" ht="15" customHeight="1" s="366">
      <c r="A3" s="27" t="inlineStr">
        <is>
          <t>Flat Number</t>
        </is>
      </c>
      <c r="B3" s="27" t="inlineStr">
        <is>
          <t>Previous Meter Reading</t>
        </is>
      </c>
      <c r="C3" s="27" t="inlineStr">
        <is>
          <t>Curret Meter Reading</t>
        </is>
      </c>
      <c r="D3" s="27" t="inlineStr">
        <is>
          <t>Total Units</t>
        </is>
      </c>
      <c r="E3" s="37" t="inlineStr">
        <is>
          <t>Water Bill</t>
        </is>
      </c>
      <c r="F3" s="22" t="inlineStr">
        <is>
          <t>CommonMaintanence</t>
        </is>
      </c>
      <c r="G3" s="22" t="inlineStr">
        <is>
          <t>Total to Pay</t>
        </is>
      </c>
    </row>
    <row r="4" ht="15" customHeight="1" s="366">
      <c r="A4" s="29" t="inlineStr">
        <is>
          <t>G1</t>
        </is>
      </c>
      <c r="B4" s="30" t="n">
        <v>0.89</v>
      </c>
      <c r="C4" s="30" t="n">
        <v>0.89</v>
      </c>
      <c r="D4" s="22">
        <f>(C4-B4)*1000</f>
        <v/>
      </c>
      <c r="E4" s="38">
        <f>ROUND(D4*D22,0)</f>
        <v/>
      </c>
      <c r="F4" s="22" t="n">
        <v>600</v>
      </c>
      <c r="G4" s="22">
        <f>SUM(E4:F4)</f>
        <v/>
      </c>
    </row>
    <row r="5" ht="15" customHeight="1" s="366">
      <c r="A5" s="29" t="inlineStr">
        <is>
          <t>G2</t>
        </is>
      </c>
      <c r="B5" s="30" t="n">
        <v>0.37</v>
      </c>
      <c r="C5" s="30" t="n">
        <v>0.37</v>
      </c>
      <c r="D5" s="22">
        <f>(C5-B5)*1000</f>
        <v/>
      </c>
      <c r="E5" s="38">
        <f>ROUND(D5*D22,0)</f>
        <v/>
      </c>
      <c r="F5" s="22" t="n">
        <v>600</v>
      </c>
      <c r="G5" s="22">
        <f>SUM(E5:F5)</f>
        <v/>
      </c>
    </row>
    <row r="6" ht="15" customHeight="1" s="366">
      <c r="A6" s="32" t="inlineStr">
        <is>
          <t>G3</t>
        </is>
      </c>
      <c r="B6" s="33" t="n">
        <v>25.25</v>
      </c>
      <c r="C6" s="33" t="n">
        <v>35.79</v>
      </c>
      <c r="D6" s="22">
        <f>(C6-B6)*1000</f>
        <v/>
      </c>
      <c r="E6" s="39">
        <f>ROUND(D6*D22,0)</f>
        <v/>
      </c>
      <c r="F6" s="34" t="n">
        <v>600</v>
      </c>
      <c r="G6" s="34">
        <f>SUM(E6:F6)</f>
        <v/>
      </c>
      <c r="H6" s="1" t="inlineStr">
        <is>
          <t>Paid</t>
        </is>
      </c>
    </row>
    <row r="7" ht="15" customHeight="1" s="366">
      <c r="A7" s="32" t="inlineStr">
        <is>
          <t>G4</t>
        </is>
      </c>
      <c r="B7" s="33" t="n">
        <v>16.82</v>
      </c>
      <c r="C7" s="33" t="n">
        <v>25</v>
      </c>
      <c r="D7" s="22">
        <f>(C7-B7)*1000</f>
        <v/>
      </c>
      <c r="E7" s="39">
        <f>ROUND(D7*D22,0)</f>
        <v/>
      </c>
      <c r="F7" s="39" t="n">
        <v>600</v>
      </c>
      <c r="G7" s="39">
        <f>SUM(E7:F7)</f>
        <v/>
      </c>
      <c r="H7" s="1" t="inlineStr">
        <is>
          <t>Paid</t>
        </is>
      </c>
    </row>
    <row r="8" ht="15" customHeight="1" s="366">
      <c r="A8" s="29" t="n">
        <v>101</v>
      </c>
      <c r="B8" s="30" t="n">
        <v>0.38</v>
      </c>
      <c r="C8" s="30" t="n">
        <v>0.38</v>
      </c>
      <c r="D8" s="22">
        <f>(C8-B8)*1000</f>
        <v/>
      </c>
      <c r="E8" s="38">
        <f>ROUND(D8*D22,0)</f>
        <v/>
      </c>
      <c r="F8" s="22" t="n">
        <v>600</v>
      </c>
      <c r="G8" s="22">
        <f>SUM(E8:F8)</f>
        <v/>
      </c>
    </row>
    <row r="9" ht="15" customHeight="1" s="366">
      <c r="A9" s="32" t="n">
        <v>102</v>
      </c>
      <c r="B9" s="33" t="n">
        <v>16.67</v>
      </c>
      <c r="C9" s="33" t="n">
        <v>23.99</v>
      </c>
      <c r="D9" s="22">
        <f>(C9-B9)*1000</f>
        <v/>
      </c>
      <c r="E9" s="39">
        <f>ROUND(D9*D22,0)</f>
        <v/>
      </c>
      <c r="F9" s="34" t="n">
        <v>600</v>
      </c>
      <c r="G9" s="34">
        <f>SUM(E9:F9)</f>
        <v/>
      </c>
      <c r="H9" s="1" t="inlineStr">
        <is>
          <t>Paid</t>
        </is>
      </c>
    </row>
    <row r="10" ht="15" customHeight="1" s="366">
      <c r="A10" s="29" t="n">
        <v>103</v>
      </c>
      <c r="B10" s="30" t="n">
        <v>0.4</v>
      </c>
      <c r="C10" s="30" t="n">
        <v>0.4</v>
      </c>
      <c r="D10" s="22">
        <f>(C10-B10)*1000</f>
        <v/>
      </c>
      <c r="E10" s="38">
        <f>ROUND(D10*D22,0)</f>
        <v/>
      </c>
      <c r="F10" s="22" t="n">
        <v>600</v>
      </c>
      <c r="G10" s="22">
        <f>SUM(E10:F10)</f>
        <v/>
      </c>
    </row>
    <row r="11" ht="15" customHeight="1" s="366">
      <c r="A11" s="32" t="n">
        <v>104</v>
      </c>
      <c r="B11" s="33" t="n">
        <v>4.77</v>
      </c>
      <c r="C11" s="33" t="n">
        <v>4.77</v>
      </c>
      <c r="D11" s="22">
        <f>(C11-B11)*1000</f>
        <v/>
      </c>
      <c r="E11" s="39">
        <f>ROUND(D11*D22,0)</f>
        <v/>
      </c>
      <c r="F11" s="34" t="n">
        <v>600</v>
      </c>
      <c r="G11" s="34">
        <f>SUM(E11:F11)</f>
        <v/>
      </c>
      <c r="H11" s="1" t="inlineStr">
        <is>
          <t>Paid</t>
        </is>
      </c>
    </row>
    <row r="12" ht="15" customHeight="1" s="366">
      <c r="A12" s="267" t="n">
        <v>201</v>
      </c>
      <c r="B12" s="268" t="n">
        <v>1.46</v>
      </c>
      <c r="C12" s="268" t="n">
        <v>1.53</v>
      </c>
      <c r="D12" s="22">
        <f>(C12-B12)*1000</f>
        <v/>
      </c>
      <c r="E12" s="38">
        <f>ROUND(D12*D22,0)</f>
        <v/>
      </c>
      <c r="F12" s="22" t="n">
        <v>600</v>
      </c>
      <c r="G12" s="22">
        <f>SUM(E12:F12)</f>
        <v/>
      </c>
    </row>
    <row r="13" ht="15" customHeight="1" s="366">
      <c r="A13" s="32" t="n">
        <v>202</v>
      </c>
      <c r="B13" s="33" t="n">
        <v>17.7</v>
      </c>
      <c r="C13" s="33" t="n">
        <v>22.01</v>
      </c>
      <c r="D13" s="22">
        <f>(C13-B13)*1000</f>
        <v/>
      </c>
      <c r="E13" s="39">
        <f>ROUND(D13*D22,0)</f>
        <v/>
      </c>
      <c r="F13" s="34" t="n">
        <v>600</v>
      </c>
      <c r="G13" s="34">
        <f>SUM(E13:F13)</f>
        <v/>
      </c>
      <c r="H13" s="1" t="inlineStr">
        <is>
          <t>Paid</t>
        </is>
      </c>
    </row>
    <row r="14" ht="15" customHeight="1" s="366">
      <c r="A14" s="29" t="n">
        <v>203</v>
      </c>
      <c r="B14" s="30" t="n">
        <v>0.42</v>
      </c>
      <c r="C14" s="30" t="n">
        <v>0.43</v>
      </c>
      <c r="D14" s="22">
        <f>(C14-B14)*1000</f>
        <v/>
      </c>
      <c r="E14" s="38">
        <f>ROUND(D14*D22,0)</f>
        <v/>
      </c>
      <c r="F14" s="22" t="n">
        <v>600</v>
      </c>
      <c r="G14" s="22">
        <f>SUM(E14:F14)</f>
        <v/>
      </c>
    </row>
    <row r="15" ht="15" customHeight="1" s="366">
      <c r="A15" s="29" t="n">
        <v>204</v>
      </c>
      <c r="B15" s="30" t="n">
        <v>0.42</v>
      </c>
      <c r="C15" s="30" t="n">
        <v>0.42</v>
      </c>
      <c r="D15" s="22">
        <f>(C15-B15)*1000</f>
        <v/>
      </c>
      <c r="E15" s="38">
        <f>ROUND(D15*D22,0)</f>
        <v/>
      </c>
      <c r="F15" s="22" t="n">
        <v>600</v>
      </c>
      <c r="G15" s="22">
        <f>SUM(E15:F15)</f>
        <v/>
      </c>
    </row>
    <row r="16" ht="15" customHeight="1" s="366">
      <c r="A16" s="29" t="n">
        <v>301</v>
      </c>
      <c r="B16" s="30" t="n">
        <v>0.37</v>
      </c>
      <c r="C16" s="30" t="n">
        <v>0.38</v>
      </c>
      <c r="D16" s="22">
        <f>(C16-B16)*1000</f>
        <v/>
      </c>
      <c r="E16" s="38">
        <f>ROUND(D16*D22,0)</f>
        <v/>
      </c>
      <c r="F16" s="22" t="n">
        <v>600</v>
      </c>
      <c r="G16" s="22">
        <f>SUM(E16:F16)</f>
        <v/>
      </c>
    </row>
    <row r="17" ht="15" customHeight="1" s="366">
      <c r="A17" s="29" t="n">
        <v>302</v>
      </c>
      <c r="B17" s="30" t="n">
        <v>0.38</v>
      </c>
      <c r="C17" s="30" t="n">
        <v>0.38</v>
      </c>
      <c r="D17" s="22">
        <f>(C17-B17)*1000</f>
        <v/>
      </c>
      <c r="E17" s="38">
        <f>ROUND(D17*D22,0)</f>
        <v/>
      </c>
      <c r="F17" s="22" t="n">
        <v>600</v>
      </c>
      <c r="G17" s="22">
        <f>SUM(E17:F17)</f>
        <v/>
      </c>
    </row>
    <row r="18" ht="15" customHeight="1" s="366">
      <c r="A18" s="32" t="n">
        <v>303</v>
      </c>
      <c r="B18" s="33" t="n">
        <v>39.83</v>
      </c>
      <c r="C18" s="33" t="n">
        <v>57.15</v>
      </c>
      <c r="D18" s="22">
        <f>(C18-B18)*1000</f>
        <v/>
      </c>
      <c r="E18" s="39">
        <f>ROUND(D18*D22,0)</f>
        <v/>
      </c>
      <c r="F18" s="34" t="n">
        <v>600</v>
      </c>
      <c r="G18" s="34">
        <f>SUM(E18:F18)</f>
        <v/>
      </c>
      <c r="H18" s="1" t="inlineStr">
        <is>
          <t>Paid</t>
        </is>
      </c>
    </row>
    <row r="19" ht="15" customHeight="1" s="366">
      <c r="A19" s="29" t="n">
        <v>304</v>
      </c>
      <c r="B19" s="30" t="n">
        <v>0.55</v>
      </c>
      <c r="C19" s="30" t="n">
        <v>0.59</v>
      </c>
      <c r="D19" s="22">
        <f>(C19-B19)*1000</f>
        <v/>
      </c>
      <c r="E19" s="38">
        <f>ROUND(D19*D22,0)</f>
        <v/>
      </c>
      <c r="F19" s="22" t="n">
        <v>600</v>
      </c>
      <c r="G19" s="22">
        <f>SUM(E19:F19)</f>
        <v/>
      </c>
    </row>
    <row r="20" ht="15" customHeight="1" s="366">
      <c r="A20" s="22" t="n"/>
      <c r="B20" s="22" t="n"/>
      <c r="C20" s="22" t="n"/>
      <c r="D20" s="22" t="n"/>
      <c r="E20" s="40">
        <f>SUM(E4:E19)</f>
        <v/>
      </c>
      <c r="F20" s="27">
        <f>SUM(F4:F19)</f>
        <v/>
      </c>
      <c r="G20" s="27">
        <f>SUM(E20:F20)</f>
        <v/>
      </c>
    </row>
    <row r="21" ht="15" customHeight="1" s="366">
      <c r="A21" s="22" t="n"/>
      <c r="B21" s="22" t="inlineStr">
        <is>
          <t>Total Usage Units</t>
        </is>
      </c>
      <c r="C21" s="22" t="n"/>
      <c r="D21" s="22">
        <f>SUM(D4:D20)</f>
        <v/>
      </c>
      <c r="E21" s="41" t="n"/>
      <c r="F21" s="22" t="n"/>
      <c r="G21" s="22" t="n"/>
    </row>
    <row r="22" ht="15.75" customHeight="1" s="366">
      <c r="A22" s="22" t="n"/>
      <c r="B22" s="22" t="inlineStr">
        <is>
          <t>per Lt Cost With Manjira</t>
        </is>
      </c>
      <c r="C22" s="22" t="n"/>
      <c r="D22" s="22">
        <f>B25/D21</f>
        <v/>
      </c>
      <c r="E22" s="41" t="n"/>
      <c r="F22" s="22" t="n"/>
      <c r="G22" s="22" t="n"/>
    </row>
    <row r="23" ht="15.75" customHeight="1" s="366">
      <c r="A23" s="22" t="n"/>
      <c r="B23" s="22" t="n"/>
      <c r="C23" s="22" t="n"/>
      <c r="D23" s="22" t="n"/>
      <c r="E23" s="41" t="n"/>
      <c r="F23" s="22" t="n"/>
      <c r="G23" s="22" t="n"/>
    </row>
    <row r="24" ht="15.75" customHeight="1" s="366">
      <c r="A24" s="22" t="n"/>
      <c r="B24" s="22" t="n"/>
      <c r="C24" s="22" t="n"/>
      <c r="D24" s="22" t="n"/>
      <c r="E24" s="41" t="n"/>
      <c r="F24" s="22" t="n"/>
      <c r="G24" s="22" t="n"/>
    </row>
    <row r="25" ht="15.75" customHeight="1" s="366">
      <c r="A25" s="22" t="inlineStr">
        <is>
          <t>Total Water Bill</t>
        </is>
      </c>
      <c r="B25" s="30" t="n">
        <v>2044</v>
      </c>
      <c r="C25" s="30" t="n"/>
      <c r="D25" s="22" t="n"/>
      <c r="E25" s="41" t="n"/>
      <c r="F25" s="22" t="n"/>
      <c r="G25" s="22" t="n"/>
    </row>
    <row r="26" ht="15.75" customHeight="1" s="366">
      <c r="A26" s="22" t="n"/>
      <c r="B26" s="30" t="n"/>
      <c r="C26" s="30" t="n"/>
      <c r="D26" s="22" t="n"/>
      <c r="E26" s="41" t="n"/>
      <c r="F26" s="22" t="n"/>
      <c r="G26" s="22" t="n"/>
    </row>
    <row r="27" ht="15.75" customHeight="1" s="366"/>
    <row r="28" ht="15.75" customHeight="1" s="366"/>
    <row r="29" ht="15.75" customHeight="1" s="366"/>
    <row r="30" ht="15.75" customHeight="1" s="366">
      <c r="A30" s="2" t="inlineStr">
        <is>
          <t>Name</t>
        </is>
      </c>
      <c r="B30" s="3" t="inlineStr">
        <is>
          <t>Flat no</t>
        </is>
      </c>
      <c r="C30" s="3" t="inlineStr">
        <is>
          <t>date</t>
        </is>
      </c>
      <c r="D30" s="3" t="inlineStr">
        <is>
          <t>Augest Maintanence</t>
        </is>
      </c>
      <c r="F30" s="5" t="inlineStr">
        <is>
          <t>Item</t>
        </is>
      </c>
      <c r="G30" s="5" t="inlineStr">
        <is>
          <t>Quantity</t>
        </is>
      </c>
      <c r="H30" s="5" t="inlineStr">
        <is>
          <t>date</t>
        </is>
      </c>
      <c r="I30" s="5" t="inlineStr">
        <is>
          <t>amount</t>
        </is>
      </c>
    </row>
    <row r="31" ht="15.75" customHeight="1" s="366">
      <c r="A31" s="6" t="inlineStr">
        <is>
          <t>Sheshu</t>
        </is>
      </c>
      <c r="B31" s="7" t="n">
        <v>303</v>
      </c>
      <c r="C31" s="8" t="n">
        <v>44080</v>
      </c>
      <c r="D31" s="1" t="n">
        <v>1341</v>
      </c>
      <c r="F31" s="10" t="inlineStr">
        <is>
          <t>Watch man salary</t>
        </is>
      </c>
      <c r="G31" s="10" t="n"/>
      <c r="H31" s="8" t="n">
        <v>44079</v>
      </c>
      <c r="I31" s="10" t="n">
        <v>6000</v>
      </c>
    </row>
    <row r="32" ht="15.75" customHeight="1" s="366">
      <c r="A32" s="6" t="inlineStr">
        <is>
          <t>Ram kumar</t>
        </is>
      </c>
      <c r="B32" s="7" t="n">
        <v>202</v>
      </c>
      <c r="C32" s="8" t="n">
        <v>44080</v>
      </c>
      <c r="D32" s="1" t="n">
        <v>784</v>
      </c>
      <c r="F32" s="10" t="inlineStr">
        <is>
          <t>Bleaching powder</t>
        </is>
      </c>
      <c r="G32" s="10" t="n">
        <v>2</v>
      </c>
      <c r="H32" s="8" t="n">
        <v>44080</v>
      </c>
      <c r="I32" s="10" t="n">
        <v>50</v>
      </c>
    </row>
    <row r="33" ht="15.75" customHeight="1" s="366">
      <c r="A33" s="6" t="inlineStr">
        <is>
          <t>Mahesh</t>
        </is>
      </c>
      <c r="B33" s="7" t="inlineStr">
        <is>
          <t>G4</t>
        </is>
      </c>
      <c r="C33" s="8" t="n">
        <v>44076</v>
      </c>
      <c r="D33" s="1" t="n">
        <v>950</v>
      </c>
      <c r="F33" s="10" t="inlineStr">
        <is>
          <t>Garbage collection people</t>
        </is>
      </c>
      <c r="G33" s="10" t="n"/>
      <c r="H33" s="8" t="n">
        <v>44081</v>
      </c>
      <c r="I33" s="1" t="n">
        <v>300</v>
      </c>
    </row>
    <row r="34" ht="15.75" customHeight="1" s="366">
      <c r="A34" s="6" t="inlineStr">
        <is>
          <t>Jagadish</t>
        </is>
      </c>
      <c r="B34" s="7" t="inlineStr">
        <is>
          <t>G3</t>
        </is>
      </c>
      <c r="C34" s="8" t="n">
        <v>44087</v>
      </c>
      <c r="D34" s="1" t="n">
        <v>1051</v>
      </c>
      <c r="F34" s="10" t="inlineStr">
        <is>
          <t>Water taner</t>
        </is>
      </c>
      <c r="G34" s="10" t="n">
        <v>1</v>
      </c>
      <c r="H34" s="8" t="n">
        <v>44087</v>
      </c>
      <c r="I34" s="10" t="n">
        <v>1200</v>
      </c>
    </row>
    <row r="35" ht="15.75" customHeight="1" s="366">
      <c r="A35" s="6" t="inlineStr">
        <is>
          <t>Naveen/Peddi raju</t>
        </is>
      </c>
      <c r="B35" s="7" t="n">
        <v>102</v>
      </c>
      <c r="C35" s="8" t="n">
        <v>44080</v>
      </c>
      <c r="D35" s="1" t="n">
        <v>920</v>
      </c>
      <c r="F35" s="10" t="inlineStr">
        <is>
          <t>bulbs</t>
        </is>
      </c>
      <c r="G35" s="10" t="n">
        <v>6</v>
      </c>
      <c r="H35" s="8" t="n">
        <v>44090</v>
      </c>
      <c r="I35" s="10" t="n">
        <v>600</v>
      </c>
    </row>
    <row r="36" ht="15.75" customHeight="1" s="366">
      <c r="A36" s="6" t="inlineStr">
        <is>
          <t>subbaRao (Land Owner)</t>
        </is>
      </c>
      <c r="B36" s="7" t="inlineStr">
        <is>
          <t>R.All</t>
        </is>
      </c>
      <c r="C36" s="8" t="n"/>
      <c r="F36" s="10" t="inlineStr">
        <is>
          <t>locks</t>
        </is>
      </c>
      <c r="G36" s="10" t="n">
        <v>2</v>
      </c>
      <c r="H36" s="8" t="n"/>
      <c r="I36" s="10" t="n">
        <v>280</v>
      </c>
    </row>
    <row r="37" ht="15.75" customHeight="1" s="366">
      <c r="A37" s="6" t="inlineStr">
        <is>
          <t>Uma Mahesh</t>
        </is>
      </c>
      <c r="B37" s="7" t="n">
        <v>104</v>
      </c>
      <c r="C37" s="8" t="n">
        <v>44087</v>
      </c>
      <c r="D37" s="1" t="n">
        <v>600</v>
      </c>
      <c r="F37" s="10" t="inlineStr">
        <is>
          <t>majeera bill</t>
        </is>
      </c>
      <c r="G37" s="10" t="n"/>
      <c r="H37" s="8" t="n">
        <v>44104</v>
      </c>
      <c r="I37" s="10" t="n">
        <v>2044</v>
      </c>
    </row>
    <row r="38" ht="15.75" customHeight="1" s="366">
      <c r="A38" s="6" t="inlineStr">
        <is>
          <t>builders</t>
        </is>
      </c>
      <c r="B38" s="7" t="n"/>
      <c r="C38" s="8" t="n">
        <v>44086</v>
      </c>
      <c r="D38" s="1" t="n">
        <v>1200</v>
      </c>
      <c r="F38" s="10" t="inlineStr">
        <is>
          <t xml:space="preserve">water tanker </t>
        </is>
      </c>
      <c r="G38" s="10" t="n"/>
      <c r="H38" s="8" t="n"/>
      <c r="I38" s="10" t="n">
        <v>1000</v>
      </c>
    </row>
    <row r="39" ht="15.75" customHeight="1" s="366">
      <c r="A39" s="6" t="n"/>
      <c r="B39" s="7" t="n"/>
      <c r="C39" s="10" t="n"/>
      <c r="F39" s="10" t="n"/>
      <c r="G39" s="10" t="n"/>
      <c r="H39" s="10" t="n"/>
      <c r="I39" s="10" t="inlineStr">
        <is>
          <t>=</t>
        </is>
      </c>
    </row>
    <row r="40" ht="15.75" customHeight="1" s="366">
      <c r="A40" s="6" t="n"/>
      <c r="B40" s="7" t="n"/>
      <c r="C40" s="10" t="n"/>
      <c r="F40" s="10" t="n"/>
      <c r="G40" s="10" t="n"/>
      <c r="H40" s="10" t="n"/>
      <c r="I40" s="10" t="n"/>
    </row>
    <row r="41" ht="15.75" customHeight="1" s="366">
      <c r="A41" s="6" t="n"/>
      <c r="B41" s="10" t="n"/>
      <c r="C41" s="10" t="n"/>
      <c r="F41" s="10" t="n"/>
      <c r="G41" s="10" t="n"/>
      <c r="H41" s="10" t="n"/>
      <c r="I41" s="10" t="n"/>
    </row>
    <row r="42" ht="15.75" customHeight="1" s="366">
      <c r="A42" s="6" t="n"/>
      <c r="B42" s="10" t="n"/>
      <c r="C42" s="10" t="n"/>
      <c r="F42" s="10" t="n"/>
      <c r="G42" s="10" t="n"/>
      <c r="H42" s="10" t="n"/>
      <c r="I42" s="10" t="n"/>
    </row>
    <row r="43" ht="15.75" customHeight="1" s="366">
      <c r="A43" s="6" t="n"/>
      <c r="B43" s="10" t="n"/>
      <c r="C43" s="10" t="n"/>
      <c r="F43" s="10" t="n"/>
      <c r="G43" s="10" t="n"/>
      <c r="H43" s="10" t="n"/>
      <c r="I43" s="10" t="n"/>
    </row>
    <row r="44" ht="15.75" customHeight="1" s="366">
      <c r="A44" s="6" t="n"/>
      <c r="B44" s="10" t="n"/>
      <c r="C44" s="10" t="n"/>
      <c r="F44" s="10" t="n"/>
      <c r="G44" s="10" t="n"/>
      <c r="H44" s="10" t="n"/>
      <c r="I44" s="10" t="n"/>
    </row>
    <row r="45" ht="15.75" customHeight="1" s="366">
      <c r="A45" s="6" t="n"/>
      <c r="B45" s="10" t="n"/>
      <c r="C45" s="10" t="n"/>
      <c r="F45" s="10" t="n"/>
      <c r="G45" s="10" t="n"/>
      <c r="H45" s="10" t="n"/>
      <c r="I45" s="10" t="n"/>
    </row>
    <row r="46" ht="15.75" customHeight="1" s="366">
      <c r="A46" s="11" t="inlineStr">
        <is>
          <t>Total</t>
        </is>
      </c>
      <c r="B46" s="12" t="n"/>
      <c r="C46" s="12" t="n"/>
      <c r="D46" s="1">
        <f>SUBTOTAL(109,D31:D45)</f>
        <v/>
      </c>
      <c r="F46" s="10" t="n"/>
      <c r="G46" s="10" t="n"/>
      <c r="H46" s="10" t="n"/>
      <c r="I46" s="10" t="n"/>
    </row>
    <row r="47" ht="15.75" customHeight="1" s="366">
      <c r="F47" s="10" t="inlineStr">
        <is>
          <t>Total</t>
        </is>
      </c>
      <c r="G47" s="10" t="n"/>
      <c r="H47" s="10" t="n"/>
      <c r="I47" s="10">
        <f>SUM(I31:I45)</f>
        <v/>
      </c>
    </row>
    <row r="756" ht="15.75" customHeight="1" s="366">
      <c r="A756" s="1" t="inlineStr">
        <is>
          <t>]]]]]]</t>
        </is>
      </c>
    </row>
    <row r="810" ht="15.75" customHeight="1" s="366">
      <c r="A810" s="42" t="inlineStr">
        <is>
          <t>|\</t>
        </is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2" sqref="A12:C12"/>
    </sheetView>
  </sheetViews>
  <sheetFormatPr baseColWidth="8" defaultColWidth="14.42578125" defaultRowHeight="15" customHeight="1"/>
  <cols>
    <col width="13.28515625" customWidth="1" style="366" min="1" max="1"/>
    <col width="19.28515625" customWidth="1" style="366" min="2" max="2"/>
    <col width="18" customWidth="1" style="366" min="3" max="3"/>
    <col width="12.85546875" customWidth="1" style="366" min="4" max="4"/>
    <col width="13.28515625" customWidth="1" style="366" min="5" max="5"/>
    <col width="18.7109375" customWidth="1" style="366" min="6" max="6"/>
    <col width="15.42578125" customWidth="1" style="366" min="7" max="7"/>
    <col width="7.5703125" customWidth="1" style="366" min="8" max="8"/>
  </cols>
  <sheetData>
    <row r="1" ht="15" customHeight="1" s="366">
      <c r="A1" s="1" t="inlineStr">
        <is>
          <t>Maintanence</t>
        </is>
      </c>
      <c r="G1" s="43" t="inlineStr">
        <is>
          <t>Last Month Balance</t>
        </is>
      </c>
      <c r="H1" s="1" t="n">
        <v>7721</v>
      </c>
    </row>
    <row r="3" ht="15" customHeight="1" s="366">
      <c r="A3" s="27" t="inlineStr">
        <is>
          <t>Flat Number</t>
        </is>
      </c>
      <c r="B3" s="27" t="inlineStr">
        <is>
          <t>Previous Meter Reading</t>
        </is>
      </c>
      <c r="C3" s="27" t="inlineStr">
        <is>
          <t>Curret Meter Reading</t>
        </is>
      </c>
      <c r="D3" s="27" t="inlineStr">
        <is>
          <t>Total Units</t>
        </is>
      </c>
      <c r="E3" s="37" t="inlineStr">
        <is>
          <t>Water Bill</t>
        </is>
      </c>
      <c r="F3" s="22" t="inlineStr">
        <is>
          <t>CommonMaintanence</t>
        </is>
      </c>
      <c r="G3" s="22" t="inlineStr">
        <is>
          <t>Total to Pay</t>
        </is>
      </c>
    </row>
    <row r="4" ht="15" customHeight="1" s="366">
      <c r="A4" s="29" t="inlineStr">
        <is>
          <t>G1</t>
        </is>
      </c>
      <c r="B4" s="30" t="n">
        <v>0.89</v>
      </c>
      <c r="C4" s="30" t="n">
        <v>0.9</v>
      </c>
      <c r="D4" s="44">
        <f>(C4-B4)*1000</f>
        <v/>
      </c>
      <c r="E4" s="38">
        <f>ROUND(D4*D22,0)</f>
        <v/>
      </c>
      <c r="F4" s="22" t="n">
        <v>600</v>
      </c>
      <c r="G4" s="22">
        <f>SUM(E4:F4)</f>
        <v/>
      </c>
    </row>
    <row r="5" ht="15" customHeight="1" s="366">
      <c r="A5" s="29" t="inlineStr">
        <is>
          <t>G2</t>
        </is>
      </c>
      <c r="B5" s="30" t="n">
        <v>0.37</v>
      </c>
      <c r="C5" s="30" t="n">
        <v>0.37</v>
      </c>
      <c r="D5" s="22">
        <f>(C5-B5)*1000</f>
        <v/>
      </c>
      <c r="E5" s="38">
        <f>ROUND(D5*D22,0)</f>
        <v/>
      </c>
      <c r="F5" s="22" t="n">
        <v>600</v>
      </c>
      <c r="G5" s="22">
        <f>SUM(E5:F5)</f>
        <v/>
      </c>
    </row>
    <row r="6" ht="15" customHeight="1" s="366">
      <c r="A6" s="32" t="inlineStr">
        <is>
          <t>G3</t>
        </is>
      </c>
      <c r="B6" s="33" t="n">
        <v>35.79</v>
      </c>
      <c r="C6" s="33" t="n">
        <v>45.95</v>
      </c>
      <c r="D6" s="22">
        <f>(C6-B6)*1000</f>
        <v/>
      </c>
      <c r="E6" s="39">
        <f>ROUND(D6*D22,0)</f>
        <v/>
      </c>
      <c r="F6" s="34" t="n">
        <v>600</v>
      </c>
      <c r="G6" s="34">
        <f>SUM(E6:F6)</f>
        <v/>
      </c>
    </row>
    <row r="7" ht="15" customHeight="1" s="366">
      <c r="A7" s="32" t="inlineStr">
        <is>
          <t>G4</t>
        </is>
      </c>
      <c r="B7" s="33" t="n">
        <v>25</v>
      </c>
      <c r="C7" s="33" t="n">
        <v>33.13</v>
      </c>
      <c r="D7" s="22">
        <f>(C7-B7)*1000</f>
        <v/>
      </c>
      <c r="E7" s="39">
        <f>ROUND(D7*D22,0)</f>
        <v/>
      </c>
      <c r="F7" s="39" t="n">
        <v>600</v>
      </c>
      <c r="G7" s="39">
        <f>SUM(E7:F7)</f>
        <v/>
      </c>
    </row>
    <row r="8" ht="15" customHeight="1" s="366">
      <c r="A8" s="29" t="n">
        <v>101</v>
      </c>
      <c r="B8" s="30" t="n">
        <v>0.38</v>
      </c>
      <c r="C8" s="30" t="n">
        <v>0.38</v>
      </c>
      <c r="D8" s="22">
        <f>(C8-B8)*1000</f>
        <v/>
      </c>
      <c r="E8" s="38">
        <f>ROUND(D8*D22,0)</f>
        <v/>
      </c>
      <c r="F8" s="22" t="n">
        <v>600</v>
      </c>
      <c r="G8" s="22">
        <f>SUM(E8:F8)</f>
        <v/>
      </c>
    </row>
    <row r="9" ht="15" customHeight="1" s="366">
      <c r="A9" s="32" t="n">
        <v>102</v>
      </c>
      <c r="B9" s="33" t="n">
        <v>23.99</v>
      </c>
      <c r="C9" s="33" t="n">
        <v>35.75</v>
      </c>
      <c r="D9" s="22">
        <f>(C9-B9)*1000</f>
        <v/>
      </c>
      <c r="E9" s="39">
        <f>ROUND(D9*D22,0)</f>
        <v/>
      </c>
      <c r="F9" s="34" t="n">
        <v>600</v>
      </c>
      <c r="G9" s="34">
        <f>SUM(E9:F9)</f>
        <v/>
      </c>
    </row>
    <row r="10" ht="15" customHeight="1" s="366">
      <c r="A10" s="29" t="n">
        <v>103</v>
      </c>
      <c r="B10" s="30" t="n">
        <v>0.4</v>
      </c>
      <c r="C10" s="30" t="n">
        <v>0.4</v>
      </c>
      <c r="D10" s="22">
        <f>(C10-B10)*1000</f>
        <v/>
      </c>
      <c r="E10" s="38">
        <f>ROUND(D10*D22,0)</f>
        <v/>
      </c>
      <c r="F10" s="22" t="n">
        <v>600</v>
      </c>
      <c r="G10" s="22">
        <f>SUM(E10:F10)</f>
        <v/>
      </c>
    </row>
    <row r="11" ht="15" customHeight="1" s="366">
      <c r="A11" s="32" t="n">
        <v>104</v>
      </c>
      <c r="B11" s="33" t="n">
        <v>4.77</v>
      </c>
      <c r="C11" s="33" t="n">
        <v>4.85</v>
      </c>
      <c r="D11" s="22">
        <f>(C11-B11)*1000</f>
        <v/>
      </c>
      <c r="E11" s="39">
        <f>ROUND(D11*D22,0)</f>
        <v/>
      </c>
      <c r="F11" s="34" t="n">
        <v>600</v>
      </c>
      <c r="G11" s="34">
        <f>SUM(E11:F11)</f>
        <v/>
      </c>
    </row>
    <row r="12" ht="15" customHeight="1" s="366">
      <c r="A12" s="267" t="n">
        <v>201</v>
      </c>
      <c r="B12" s="268" t="n">
        <v>1.53</v>
      </c>
      <c r="C12" s="268" t="n">
        <v>1.53</v>
      </c>
      <c r="D12" s="22">
        <f>(C12-B12)*1000</f>
        <v/>
      </c>
      <c r="E12" s="38">
        <f>ROUND(D12*D22,0)</f>
        <v/>
      </c>
      <c r="F12" s="22" t="n">
        <v>600</v>
      </c>
      <c r="G12" s="22">
        <f>SUM(E12:F12)</f>
        <v/>
      </c>
    </row>
    <row r="13" ht="15" customHeight="1" s="366">
      <c r="A13" s="32" t="n">
        <v>202</v>
      </c>
      <c r="B13" s="33" t="n">
        <v>22.01</v>
      </c>
      <c r="C13" s="33" t="n">
        <v>30.43</v>
      </c>
      <c r="D13" s="22">
        <f>(C13-B13)*1000</f>
        <v/>
      </c>
      <c r="E13" s="39">
        <f>ROUND(D13*D22,0)</f>
        <v/>
      </c>
      <c r="F13" s="34" t="n">
        <v>600</v>
      </c>
      <c r="G13" s="34">
        <f>SUM(E13:F13)</f>
        <v/>
      </c>
    </row>
    <row r="14" ht="15" customHeight="1" s="366">
      <c r="A14" s="29" t="n">
        <v>203</v>
      </c>
      <c r="B14" s="30" t="n">
        <v>0.43</v>
      </c>
      <c r="C14" s="30" t="n">
        <v>0.43</v>
      </c>
      <c r="D14" s="22">
        <f>(C14-B14)*1000</f>
        <v/>
      </c>
      <c r="E14" s="38">
        <f>ROUND(D14*D22,0)</f>
        <v/>
      </c>
      <c r="F14" s="22" t="n">
        <v>600</v>
      </c>
      <c r="G14" s="22">
        <f>SUM(E14:F14)</f>
        <v/>
      </c>
    </row>
    <row r="15" ht="15" customHeight="1" s="366">
      <c r="A15" s="29" t="n">
        <v>204</v>
      </c>
      <c r="B15" s="30" t="n">
        <v>0.42</v>
      </c>
      <c r="C15" s="30" t="n">
        <v>0.42</v>
      </c>
      <c r="D15" s="22">
        <f>(C15-B15)*1000</f>
        <v/>
      </c>
      <c r="E15" s="38">
        <f>ROUND(D15*D22,0)</f>
        <v/>
      </c>
      <c r="F15" s="22" t="n">
        <v>600</v>
      </c>
      <c r="G15" s="22">
        <f>SUM(E15:F15)</f>
        <v/>
      </c>
    </row>
    <row r="16" ht="15" customHeight="1" s="366">
      <c r="A16" s="29" t="n">
        <v>301</v>
      </c>
      <c r="B16" s="30" t="n">
        <v>0.38</v>
      </c>
      <c r="C16" s="30" t="n">
        <v>0.38</v>
      </c>
      <c r="D16" s="22">
        <f>(C16-B16)*1000</f>
        <v/>
      </c>
      <c r="E16" s="38">
        <f>ROUND(D16*D22,0)</f>
        <v/>
      </c>
      <c r="F16" s="22" t="n">
        <v>600</v>
      </c>
      <c r="G16" s="22">
        <f>SUM(E16:F16)</f>
        <v/>
      </c>
    </row>
    <row r="17" ht="15" customHeight="1" s="366">
      <c r="A17" s="29" t="n">
        <v>302</v>
      </c>
      <c r="B17" s="30" t="n">
        <v>0.38</v>
      </c>
      <c r="C17" s="30" t="n">
        <v>0.38</v>
      </c>
      <c r="D17" s="22">
        <f>(C17-B17)*1000</f>
        <v/>
      </c>
      <c r="E17" s="38">
        <f>ROUND(D17*D22,0)</f>
        <v/>
      </c>
      <c r="F17" s="22" t="n">
        <v>600</v>
      </c>
      <c r="G17" s="22">
        <f>SUM(E17:F17)</f>
        <v/>
      </c>
    </row>
    <row r="18" ht="15" customHeight="1" s="366">
      <c r="A18" s="32" t="n">
        <v>303</v>
      </c>
      <c r="B18" s="33" t="n">
        <v>57.15</v>
      </c>
      <c r="C18" s="33" t="n">
        <v>74.59999999999999</v>
      </c>
      <c r="D18" s="22">
        <f>(C18-B18)*1000</f>
        <v/>
      </c>
      <c r="E18" s="39">
        <f>ROUND(D18*D22,0)</f>
        <v/>
      </c>
      <c r="F18" s="34" t="n">
        <v>600</v>
      </c>
      <c r="G18" s="34">
        <f>SUM(E18:F18)</f>
        <v/>
      </c>
    </row>
    <row r="19" ht="15" customHeight="1" s="366">
      <c r="A19" s="29" t="n">
        <v>304</v>
      </c>
      <c r="B19" s="30" t="n">
        <v>0.59</v>
      </c>
      <c r="C19" s="30" t="n">
        <v>0.59</v>
      </c>
      <c r="D19" s="22">
        <f>(C19-B19)*1000</f>
        <v/>
      </c>
      <c r="E19" s="38">
        <f>ROUND(D19*D22,0)</f>
        <v/>
      </c>
      <c r="F19" s="22" t="n">
        <v>600</v>
      </c>
      <c r="G19" s="22">
        <f>SUM(E19:F19)</f>
        <v/>
      </c>
    </row>
    <row r="20" ht="15" customHeight="1" s="366">
      <c r="A20" s="22" t="n"/>
      <c r="B20" s="22" t="n"/>
      <c r="C20" s="22" t="n"/>
      <c r="D20" s="22" t="n"/>
      <c r="E20" s="40">
        <f>SUM(E4:E19)</f>
        <v/>
      </c>
      <c r="F20" s="27">
        <f>SUM(F4:F19)</f>
        <v/>
      </c>
      <c r="G20" s="27">
        <f>SUM(E20:F20)</f>
        <v/>
      </c>
    </row>
    <row r="21" ht="15" customHeight="1" s="366">
      <c r="A21" s="22" t="n"/>
      <c r="B21" s="22" t="inlineStr">
        <is>
          <t>Total Usage Units</t>
        </is>
      </c>
      <c r="C21" s="22" t="n"/>
      <c r="D21" s="44">
        <f>SUM(D4:D20)</f>
        <v/>
      </c>
      <c r="E21" s="41" t="n"/>
      <c r="F21" s="22" t="n"/>
      <c r="G21" s="22" t="n"/>
    </row>
    <row r="22" ht="15.75" customHeight="1" s="366">
      <c r="A22" s="22" t="n"/>
      <c r="B22" s="22" t="inlineStr">
        <is>
          <t>per Lt Cost With Manjira</t>
        </is>
      </c>
      <c r="C22" s="22" t="n"/>
      <c r="D22" s="22">
        <f>B25/D21</f>
        <v/>
      </c>
      <c r="E22" s="41" t="n"/>
      <c r="F22" s="22" t="n"/>
      <c r="G22" s="22" t="n"/>
    </row>
    <row r="23" ht="15.75" customHeight="1" s="366">
      <c r="A23" s="22" t="n"/>
      <c r="B23" s="22" t="n"/>
      <c r="C23" s="22" t="n"/>
      <c r="D23" s="22" t="n"/>
      <c r="E23" s="41" t="n"/>
      <c r="F23" s="22" t="n"/>
      <c r="G23" s="22" t="n"/>
    </row>
    <row r="24" ht="15.75" customHeight="1" s="366">
      <c r="A24" s="22" t="n"/>
      <c r="B24" s="22" t="n"/>
      <c r="C24" s="22" t="n"/>
      <c r="D24" s="22" t="n"/>
      <c r="E24" s="41" t="n"/>
      <c r="F24" s="22" t="n"/>
      <c r="G24" s="22" t="n"/>
    </row>
    <row r="25" ht="15.75" customHeight="1" s="366">
      <c r="A25" s="22" t="inlineStr">
        <is>
          <t>Total Water Bill</t>
        </is>
      </c>
      <c r="B25" s="30" t="n">
        <v>4244</v>
      </c>
      <c r="C25" s="30" t="n"/>
      <c r="D25" s="22" t="n"/>
      <c r="E25" s="41" t="n"/>
      <c r="F25" s="22" t="n"/>
      <c r="G25" s="22" t="n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2" sqref="A12:C12"/>
    </sheetView>
  </sheetViews>
  <sheetFormatPr baseColWidth="8" defaultColWidth="14.42578125" defaultRowHeight="15" customHeight="1"/>
  <cols>
    <col width="13.42578125" customWidth="1" style="366" min="1" max="1"/>
    <col width="20.42578125" customWidth="1" style="366" min="2" max="2"/>
    <col width="17.85546875" customWidth="1" style="366" min="3" max="3"/>
    <col width="9.85546875" customWidth="1" style="366" min="4" max="4"/>
    <col width="9.28515625" customWidth="1" style="366" min="5" max="5"/>
    <col width="16" customWidth="1" style="366" min="6" max="6"/>
    <col width="22.42578125" customWidth="1" style="366" min="7" max="7"/>
  </cols>
  <sheetData>
    <row r="1" ht="15" customHeight="1" s="366">
      <c r="A1" s="1" t="inlineStr">
        <is>
          <t>Maintanence</t>
        </is>
      </c>
      <c r="F1" s="43" t="inlineStr">
        <is>
          <t>Last Month Balance</t>
        </is>
      </c>
      <c r="G1" s="1" t="inlineStr">
        <is>
          <t>5154+1200(owners pending)</t>
        </is>
      </c>
    </row>
    <row r="3" ht="15" customHeight="1" s="366">
      <c r="A3" s="27" t="inlineStr">
        <is>
          <t>Flat Number</t>
        </is>
      </c>
      <c r="B3" s="27" t="inlineStr">
        <is>
          <t>Previous Meter Reading</t>
        </is>
      </c>
      <c r="C3" s="27" t="inlineStr">
        <is>
          <t>Curret Meter Reading</t>
        </is>
      </c>
      <c r="D3" s="27" t="inlineStr">
        <is>
          <t>Total Units</t>
        </is>
      </c>
      <c r="E3" s="37" t="inlineStr">
        <is>
          <t>Water Bill</t>
        </is>
      </c>
      <c r="F3" s="22" t="inlineStr">
        <is>
          <t>CommonMaintanence</t>
        </is>
      </c>
      <c r="G3" s="22" t="inlineStr">
        <is>
          <t>Total to Pay</t>
        </is>
      </c>
    </row>
    <row r="4" ht="15" customHeight="1" s="366">
      <c r="A4" s="29" t="inlineStr">
        <is>
          <t>G1</t>
        </is>
      </c>
      <c r="B4" s="30" t="n">
        <v>0.9</v>
      </c>
      <c r="C4" s="30" t="n">
        <v>0.9</v>
      </c>
      <c r="D4" s="44">
        <f>(C4-B4)*1000</f>
        <v/>
      </c>
      <c r="E4" s="38">
        <f>ROUND(D4*D22,0)</f>
        <v/>
      </c>
      <c r="F4" s="22" t="n">
        <v>600</v>
      </c>
      <c r="G4" s="22">
        <f>SUM(E4:F4)</f>
        <v/>
      </c>
    </row>
    <row r="5" ht="15" customHeight="1" s="366">
      <c r="A5" s="29" t="inlineStr">
        <is>
          <t>G2</t>
        </is>
      </c>
      <c r="B5" s="30" t="n">
        <v>0.37</v>
      </c>
      <c r="C5" s="30" t="n">
        <v>0.37</v>
      </c>
      <c r="D5" s="22">
        <f>(C5-B5)*1000</f>
        <v/>
      </c>
      <c r="E5" s="38">
        <f>ROUND(D5*D22,0)</f>
        <v/>
      </c>
      <c r="F5" s="22" t="n">
        <v>600</v>
      </c>
      <c r="G5" s="22">
        <f>SUM(E5:F5)</f>
        <v/>
      </c>
    </row>
    <row r="6" ht="15" customHeight="1" s="366">
      <c r="A6" s="32" t="inlineStr">
        <is>
          <t>G3</t>
        </is>
      </c>
      <c r="B6" s="33" t="n">
        <v>45.95</v>
      </c>
      <c r="C6" s="33" t="n">
        <v>55.43</v>
      </c>
      <c r="D6" s="22">
        <f>(C6-B6)*1000</f>
        <v/>
      </c>
      <c r="E6" s="39">
        <f>ROUND(D6*D22,0)</f>
        <v/>
      </c>
      <c r="F6" s="34" t="n">
        <v>600</v>
      </c>
      <c r="G6" s="34">
        <f>SUM(E6:F6)</f>
        <v/>
      </c>
    </row>
    <row r="7" ht="15" customHeight="1" s="366">
      <c r="A7" s="32" t="inlineStr">
        <is>
          <t>G4</t>
        </is>
      </c>
      <c r="B7" s="33" t="n">
        <v>33.13</v>
      </c>
      <c r="C7" s="33" t="n">
        <v>41.08</v>
      </c>
      <c r="D7" s="22">
        <f>(C7-B7)*1000</f>
        <v/>
      </c>
      <c r="E7" s="39">
        <f>ROUND(D7*D22,0)</f>
        <v/>
      </c>
      <c r="F7" s="39" t="n">
        <v>600</v>
      </c>
      <c r="G7" s="39">
        <f>SUM(E7:F7)</f>
        <v/>
      </c>
    </row>
    <row r="8" ht="15" customHeight="1" s="366">
      <c r="A8" s="29" t="n">
        <v>101</v>
      </c>
      <c r="B8" s="30" t="n">
        <v>0.38</v>
      </c>
      <c r="C8" s="30" t="n">
        <v>0.38</v>
      </c>
      <c r="D8" s="22">
        <f>(C8-B8)*1000</f>
        <v/>
      </c>
      <c r="E8" s="38">
        <f>ROUND(D8*D22,0)</f>
        <v/>
      </c>
      <c r="F8" s="22" t="n">
        <v>600</v>
      </c>
      <c r="G8" s="22">
        <f>SUM(E8:F8)</f>
        <v/>
      </c>
    </row>
    <row r="9" ht="15" customHeight="1" s="366">
      <c r="A9" s="32" t="n">
        <v>102</v>
      </c>
      <c r="B9" s="33" t="n">
        <v>35.75</v>
      </c>
      <c r="C9" s="33" t="n">
        <v>46.38</v>
      </c>
      <c r="D9" s="22">
        <f>(C9-B9)*1000</f>
        <v/>
      </c>
      <c r="E9" s="39">
        <f>ROUND(D9*D22,0)</f>
        <v/>
      </c>
      <c r="F9" s="34" t="n">
        <v>600</v>
      </c>
      <c r="G9" s="34">
        <f>SUM(E9:F9)</f>
        <v/>
      </c>
    </row>
    <row r="10" ht="15" customHeight="1" s="366">
      <c r="A10" s="29" t="n">
        <v>103</v>
      </c>
      <c r="B10" s="30" t="n">
        <v>0.4</v>
      </c>
      <c r="C10" s="30" t="n">
        <v>0.54</v>
      </c>
      <c r="D10" s="22">
        <f>(C10-B10)*1000</f>
        <v/>
      </c>
      <c r="E10" s="38">
        <f>ROUND(D10*D22,0)</f>
        <v/>
      </c>
      <c r="F10" s="22" t="n">
        <v>600</v>
      </c>
      <c r="G10" s="22">
        <f>SUM(E10:F10)</f>
        <v/>
      </c>
    </row>
    <row r="11" ht="15" customHeight="1" s="366">
      <c r="A11" s="32" t="n">
        <v>104</v>
      </c>
      <c r="B11" s="33" t="n">
        <v>4.85</v>
      </c>
      <c r="C11" s="33" t="n">
        <v>5.36</v>
      </c>
      <c r="D11" s="22">
        <f>(C11-B11)*1000</f>
        <v/>
      </c>
      <c r="E11" s="39">
        <f>ROUND(D11*D22,0)</f>
        <v/>
      </c>
      <c r="F11" s="34" t="n">
        <v>600</v>
      </c>
      <c r="G11" s="34">
        <f>SUM(E11:F11)</f>
        <v/>
      </c>
    </row>
    <row r="12" ht="15" customHeight="1" s="366">
      <c r="A12" s="267" t="n">
        <v>201</v>
      </c>
      <c r="B12" s="268" t="n">
        <v>1.53</v>
      </c>
      <c r="C12" s="268" t="n">
        <v>1.53</v>
      </c>
      <c r="D12" s="22">
        <f>(C12-B12)*1000</f>
        <v/>
      </c>
      <c r="E12" s="38">
        <f>ROUND(D12*D22,0)</f>
        <v/>
      </c>
      <c r="F12" s="22" t="n">
        <v>600</v>
      </c>
      <c r="G12" s="22">
        <f>SUM(E12:F12)</f>
        <v/>
      </c>
    </row>
    <row r="13" ht="15" customHeight="1" s="366">
      <c r="A13" s="32" t="n">
        <v>202</v>
      </c>
      <c r="B13" s="33" t="n">
        <v>30.43</v>
      </c>
      <c r="C13" s="33" t="n">
        <v>37.75</v>
      </c>
      <c r="D13" s="22">
        <f>(C13-B13)*1000</f>
        <v/>
      </c>
      <c r="E13" s="39">
        <f>ROUND(D13*D22,0)</f>
        <v/>
      </c>
      <c r="F13" s="34" t="n">
        <v>600</v>
      </c>
      <c r="G13" s="34">
        <f>SUM(E13:F13)</f>
        <v/>
      </c>
    </row>
    <row r="14" ht="15" customHeight="1" s="366">
      <c r="A14" s="29" t="n">
        <v>203</v>
      </c>
      <c r="B14" s="30" t="n">
        <v>0.43</v>
      </c>
      <c r="C14" s="30" t="n">
        <v>0.43</v>
      </c>
      <c r="D14" s="22">
        <f>(C14-B14)*1000</f>
        <v/>
      </c>
      <c r="E14" s="38">
        <f>ROUND(D14*D22,0)</f>
        <v/>
      </c>
      <c r="F14" s="22" t="n">
        <v>600</v>
      </c>
      <c r="G14" s="22">
        <f>SUM(E14:F14)</f>
        <v/>
      </c>
    </row>
    <row r="15" ht="15" customHeight="1" s="366">
      <c r="A15" s="29" t="n">
        <v>204</v>
      </c>
      <c r="B15" s="30" t="n">
        <v>0.42</v>
      </c>
      <c r="C15" s="30" t="n">
        <v>0.42</v>
      </c>
      <c r="D15" s="22">
        <f>(C15-B15)*1000</f>
        <v/>
      </c>
      <c r="E15" s="38">
        <f>ROUND(D15*D22,0)</f>
        <v/>
      </c>
      <c r="F15" s="22" t="n">
        <v>600</v>
      </c>
      <c r="G15" s="22">
        <f>SUM(E15:F15)</f>
        <v/>
      </c>
    </row>
    <row r="16" ht="15" customHeight="1" s="366">
      <c r="A16" s="29" t="n">
        <v>301</v>
      </c>
      <c r="B16" s="30" t="n">
        <v>0.38</v>
      </c>
      <c r="C16" s="30" t="n">
        <v>0.38</v>
      </c>
      <c r="D16" s="22">
        <f>(C16-B16)*1000</f>
        <v/>
      </c>
      <c r="E16" s="38">
        <f>ROUND(D16*D22,0)</f>
        <v/>
      </c>
      <c r="F16" s="22" t="n">
        <v>600</v>
      </c>
      <c r="G16" s="22">
        <f>SUM(E16:F16)</f>
        <v/>
      </c>
    </row>
    <row r="17" ht="15" customHeight="1" s="366">
      <c r="A17" s="29" t="n">
        <v>302</v>
      </c>
      <c r="B17" s="30" t="n">
        <v>0.38</v>
      </c>
      <c r="C17" s="30" t="n">
        <v>0.38</v>
      </c>
      <c r="D17" s="22">
        <f>(C17-B17)*1000</f>
        <v/>
      </c>
      <c r="E17" s="38">
        <f>ROUND(D17*D22,0)</f>
        <v/>
      </c>
      <c r="F17" s="22" t="n">
        <v>600</v>
      </c>
      <c r="G17" s="22">
        <f>SUM(E17:F17)</f>
        <v/>
      </c>
    </row>
    <row r="18" ht="15" customHeight="1" s="366">
      <c r="A18" s="32" t="n">
        <v>303</v>
      </c>
      <c r="B18" s="33" t="n">
        <v>74.59999999999999</v>
      </c>
      <c r="C18" s="33" t="n">
        <v>92.41</v>
      </c>
      <c r="D18" s="22">
        <f>(C18-B18)*1000</f>
        <v/>
      </c>
      <c r="E18" s="39">
        <f>ROUND(D18*D22,0)</f>
        <v/>
      </c>
      <c r="F18" s="34" t="n">
        <v>600</v>
      </c>
      <c r="G18" s="34">
        <f>SUM(E18:F18)</f>
        <v/>
      </c>
    </row>
    <row r="19" ht="15" customHeight="1" s="366">
      <c r="A19" s="29" t="n">
        <v>304</v>
      </c>
      <c r="B19" s="30" t="n">
        <v>0.59</v>
      </c>
      <c r="C19" s="30" t="n">
        <v>0.59</v>
      </c>
      <c r="D19" s="22">
        <f>(C19-B19)*1000</f>
        <v/>
      </c>
      <c r="E19" s="38">
        <f>ROUND(D19*D22,0)</f>
        <v/>
      </c>
      <c r="F19" s="22" t="n">
        <v>600</v>
      </c>
      <c r="G19" s="22">
        <f>SUM(E19:F19)</f>
        <v/>
      </c>
    </row>
    <row r="20" ht="15" customHeight="1" s="366">
      <c r="A20" s="22" t="n"/>
      <c r="B20" s="22" t="n"/>
      <c r="C20" s="22" t="n"/>
      <c r="D20" s="22" t="n"/>
      <c r="E20" s="40">
        <f>SUM(E4:E19)</f>
        <v/>
      </c>
      <c r="F20" s="27">
        <f>SUM(F4:F19)</f>
        <v/>
      </c>
      <c r="G20" s="27">
        <f>SUM(E20:F20)</f>
        <v/>
      </c>
    </row>
    <row r="21" ht="15" customHeight="1" s="366">
      <c r="A21" s="22" t="n"/>
      <c r="B21" s="22" t="inlineStr">
        <is>
          <t>Total Usage Units</t>
        </is>
      </c>
      <c r="C21" s="22" t="n"/>
      <c r="D21" s="44">
        <f>SUM(D4:D20)</f>
        <v/>
      </c>
      <c r="E21" s="41" t="n"/>
      <c r="F21" s="22" t="n"/>
      <c r="G21" s="22" t="n"/>
    </row>
    <row r="22" ht="15.75" customHeight="1" s="366">
      <c r="A22" s="22" t="n"/>
      <c r="B22" s="22" t="inlineStr">
        <is>
          <t>per Lt Cost With Manjira</t>
        </is>
      </c>
      <c r="C22" s="22" t="n"/>
      <c r="D22" s="22">
        <f>B25/D21</f>
        <v/>
      </c>
      <c r="E22" s="41" t="n"/>
      <c r="F22" s="22" t="n"/>
      <c r="G22" s="22" t="n"/>
    </row>
    <row r="23" ht="15.75" customHeight="1" s="366">
      <c r="A23" s="22" t="n"/>
      <c r="B23" s="22" t="n"/>
      <c r="C23" s="22" t="n"/>
      <c r="D23" s="22" t="n"/>
      <c r="E23" s="41" t="n"/>
      <c r="F23" s="22" t="n"/>
      <c r="G23" s="22" t="n"/>
    </row>
    <row r="24" ht="15.75" customHeight="1" s="366">
      <c r="A24" s="22" t="n"/>
      <c r="B24" s="22" t="n"/>
      <c r="C24" s="22" t="n"/>
      <c r="D24" s="22" t="n"/>
      <c r="E24" s="41" t="n"/>
      <c r="F24" s="22" t="n"/>
      <c r="G24" s="22" t="n"/>
    </row>
    <row r="25" ht="15.75" customHeight="1" s="366">
      <c r="A25" s="22" t="inlineStr">
        <is>
          <t>Total Water Bill</t>
        </is>
      </c>
      <c r="B25" s="30" t="n">
        <v>4244</v>
      </c>
      <c r="C25" s="30" t="n"/>
      <c r="D25" s="22" t="n"/>
      <c r="E25" s="41" t="n"/>
      <c r="F25" s="22" t="n"/>
      <c r="G25" s="22" t="n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2" sqref="A12:C12"/>
    </sheetView>
  </sheetViews>
  <sheetFormatPr baseColWidth="8" defaultColWidth="14.42578125" defaultRowHeight="15" customHeight="1"/>
  <cols>
    <col width="11" customWidth="1" style="366" min="1" max="1"/>
    <col width="21" customWidth="1" style="366" min="2" max="2"/>
    <col width="18.7109375" customWidth="1" style="366" min="3" max="3"/>
    <col width="12.5703125" customWidth="1" style="366" min="4" max="4"/>
    <col width="10.42578125" customWidth="1" style="366" min="5" max="5"/>
    <col width="17.7109375" customWidth="1" style="366" min="6" max="6"/>
    <col width="9.28515625" customWidth="1" style="366" min="7" max="7"/>
    <col width="15.42578125" customWidth="1" style="366" min="8" max="8"/>
  </cols>
  <sheetData>
    <row r="1" ht="15" customHeight="1" s="366">
      <c r="A1" s="1" t="inlineStr">
        <is>
          <t>Maintanence</t>
        </is>
      </c>
      <c r="F1" s="43" t="inlineStr">
        <is>
          <t>Last Month Balance</t>
        </is>
      </c>
      <c r="G1" s="1" t="inlineStr">
        <is>
          <t>3600(owners pending)</t>
        </is>
      </c>
    </row>
    <row r="3" ht="15" customHeight="1" s="366">
      <c r="A3" s="27" t="inlineStr">
        <is>
          <t>Flat Number</t>
        </is>
      </c>
      <c r="B3" s="27" t="inlineStr">
        <is>
          <t>Previous Meter Reading</t>
        </is>
      </c>
      <c r="C3" s="27" t="inlineStr">
        <is>
          <t>Curret Meter Reading</t>
        </is>
      </c>
      <c r="D3" s="27" t="inlineStr">
        <is>
          <t>Total Units</t>
        </is>
      </c>
      <c r="E3" s="37" t="inlineStr">
        <is>
          <t>Water Bill</t>
        </is>
      </c>
      <c r="F3" s="22" t="inlineStr">
        <is>
          <t>CommonMaintanence</t>
        </is>
      </c>
      <c r="G3" s="22" t="inlineStr">
        <is>
          <t>Total to Pay</t>
        </is>
      </c>
      <c r="H3" s="1" t="inlineStr">
        <is>
          <t>Return Amount</t>
        </is>
      </c>
    </row>
    <row r="4" ht="15" customHeight="1" s="366">
      <c r="A4" s="29" t="inlineStr">
        <is>
          <t>G1</t>
        </is>
      </c>
      <c r="B4" s="30" t="n">
        <v>0.9</v>
      </c>
      <c r="C4" s="30" t="n">
        <v>0.9</v>
      </c>
      <c r="D4" s="44">
        <f>(C4-B4)*1000</f>
        <v/>
      </c>
      <c r="E4" s="38">
        <f>ROUND(D4*D22,0)</f>
        <v/>
      </c>
      <c r="F4" s="22" t="n">
        <v>600</v>
      </c>
      <c r="G4" s="22">
        <f>SUM(E4:F4)</f>
        <v/>
      </c>
    </row>
    <row r="5" ht="15" customHeight="1" s="366">
      <c r="A5" s="29" t="inlineStr">
        <is>
          <t>G2</t>
        </is>
      </c>
      <c r="B5" s="30" t="n">
        <v>0.37</v>
      </c>
      <c r="C5" s="30" t="n">
        <v>0.37</v>
      </c>
      <c r="D5" s="22">
        <f>(C5-B5)*1000</f>
        <v/>
      </c>
      <c r="E5" s="38">
        <f>ROUND(D5*D22,0)</f>
        <v/>
      </c>
      <c r="F5" s="22" t="n">
        <v>600</v>
      </c>
      <c r="G5" s="22">
        <f>SUM(E5:F5)</f>
        <v/>
      </c>
    </row>
    <row r="6" ht="15" customHeight="1" s="366">
      <c r="A6" s="32" t="inlineStr">
        <is>
          <t>G3</t>
        </is>
      </c>
      <c r="B6" s="33" t="n">
        <v>55.43</v>
      </c>
      <c r="C6" s="33" t="n">
        <v>64.31</v>
      </c>
      <c r="D6" s="22">
        <f>(C6-B6)*1000</f>
        <v/>
      </c>
      <c r="E6" s="39">
        <f>ROUND(D6*D22,0)</f>
        <v/>
      </c>
      <c r="F6" s="34" t="n">
        <v>600</v>
      </c>
      <c r="G6" s="34">
        <f>SUM(E6:F6)</f>
        <v/>
      </c>
      <c r="H6" s="1" t="inlineStr">
        <is>
          <t>1432-1001=431</t>
        </is>
      </c>
    </row>
    <row r="7" ht="15" customHeight="1" s="366">
      <c r="A7" s="32" t="inlineStr">
        <is>
          <t>G4</t>
        </is>
      </c>
      <c r="B7" s="33" t="n">
        <v>41.08</v>
      </c>
      <c r="C7" s="33" t="n">
        <v>49.85</v>
      </c>
      <c r="D7" s="22">
        <f>(C7-B7)*1000</f>
        <v/>
      </c>
      <c r="E7" s="39">
        <f>ROUND(D7*D22,0)</f>
        <v/>
      </c>
      <c r="F7" s="39" t="n">
        <v>600</v>
      </c>
      <c r="G7" s="39">
        <f>SUM(E7:F7)</f>
        <v/>
      </c>
      <c r="H7" s="1" t="inlineStr">
        <is>
          <t>1421-996=425</t>
        </is>
      </c>
    </row>
    <row r="8" ht="15" customHeight="1" s="366">
      <c r="A8" s="29" t="n">
        <v>101</v>
      </c>
      <c r="B8" s="30" t="n">
        <v>0.38</v>
      </c>
      <c r="C8" s="30" t="n">
        <v>0.38</v>
      </c>
      <c r="D8" s="22">
        <f>(C8-B8)*1000</f>
        <v/>
      </c>
      <c r="E8" s="38">
        <f>ROUND(D8*D22,0)</f>
        <v/>
      </c>
      <c r="F8" s="22" t="n">
        <v>600</v>
      </c>
      <c r="G8" s="22">
        <f>SUM(E8:F8)</f>
        <v/>
      </c>
    </row>
    <row r="9" ht="15" customHeight="1" s="366">
      <c r="A9" s="32" t="n">
        <v>102</v>
      </c>
      <c r="B9" s="33" t="n">
        <v>46.38</v>
      </c>
      <c r="C9" s="33" t="n">
        <v>58.16</v>
      </c>
      <c r="D9" s="22">
        <f>(C9-B9)*1000</f>
        <v/>
      </c>
      <c r="E9" s="39">
        <f>ROUND(D9*D22,0)</f>
        <v/>
      </c>
      <c r="F9" s="34" t="n">
        <v>600</v>
      </c>
      <c r="G9" s="34">
        <f>SUM(E9:F9)</f>
        <v/>
      </c>
      <c r="H9" s="1" t="inlineStr">
        <is>
          <t>1703-1131=572</t>
        </is>
      </c>
    </row>
    <row r="10" ht="15" customHeight="1" s="366">
      <c r="A10" s="29" t="n">
        <v>103</v>
      </c>
      <c r="B10" s="30" t="n">
        <v>0.54</v>
      </c>
      <c r="C10" s="30" t="n">
        <v>0.54</v>
      </c>
      <c r="D10" s="22">
        <f>(C10-B10)*1000</f>
        <v/>
      </c>
      <c r="E10" s="38">
        <f>ROUND(D10*D22,0)</f>
        <v/>
      </c>
      <c r="F10" s="22" t="n">
        <v>600</v>
      </c>
      <c r="G10" s="22">
        <f>SUM(E10:F10)</f>
        <v/>
      </c>
    </row>
    <row r="11" ht="15" customHeight="1" s="366">
      <c r="A11" s="32" t="n">
        <v>104</v>
      </c>
      <c r="B11" s="33" t="n">
        <v>5.36</v>
      </c>
      <c r="C11" s="33" t="n">
        <v>8.23</v>
      </c>
      <c r="D11" s="22">
        <f>(C11-B11)*1000</f>
        <v/>
      </c>
      <c r="E11" s="39">
        <f>ROUND(D11*D22,0)</f>
        <v/>
      </c>
      <c r="F11" s="34" t="n">
        <v>600</v>
      </c>
      <c r="G11" s="34">
        <f>SUM(E11:F11)</f>
        <v/>
      </c>
      <c r="H11" s="1" t="inlineStr">
        <is>
          <t>869-729=140</t>
        </is>
      </c>
    </row>
    <row r="12" ht="15" customHeight="1" s="366">
      <c r="A12" s="267" t="n">
        <v>201</v>
      </c>
      <c r="B12" s="268" t="n">
        <v>1.53</v>
      </c>
      <c r="C12" s="268" t="n">
        <v>1.53</v>
      </c>
      <c r="D12" s="22">
        <f>(C12-B12)*1000</f>
        <v/>
      </c>
      <c r="E12" s="38">
        <f>ROUND(D12*D22,0)</f>
        <v/>
      </c>
      <c r="F12" s="22" t="n">
        <v>600</v>
      </c>
      <c r="G12" s="22">
        <f>SUM(E12:F12)</f>
        <v/>
      </c>
    </row>
    <row r="13" ht="15" customHeight="1" s="366">
      <c r="A13" s="32" t="n">
        <v>202</v>
      </c>
      <c r="B13" s="33" t="n">
        <v>37.75</v>
      </c>
      <c r="C13" s="33" t="n">
        <v>43.9</v>
      </c>
      <c r="D13" s="22">
        <f>(C13-B13)*1000</f>
        <v/>
      </c>
      <c r="E13" s="39">
        <f>ROUND(D13*D22,0)</f>
        <v/>
      </c>
      <c r="F13" s="34" t="n">
        <v>600</v>
      </c>
      <c r="G13" s="34">
        <f>SUM(E13:F13)</f>
        <v/>
      </c>
      <c r="H13" s="1" t="inlineStr">
        <is>
          <t>1176-877=299</t>
        </is>
      </c>
    </row>
    <row r="14" ht="15" customHeight="1" s="366">
      <c r="A14" s="29" t="n">
        <v>203</v>
      </c>
      <c r="B14" s="30" t="n">
        <v>0.43</v>
      </c>
      <c r="C14" s="30" t="n">
        <v>0.43</v>
      </c>
      <c r="D14" s="22">
        <f>(C14-B14)*1000</f>
        <v/>
      </c>
      <c r="E14" s="38">
        <f>ROUND(D14*D22,0)</f>
        <v/>
      </c>
      <c r="F14" s="22" t="n">
        <v>600</v>
      </c>
      <c r="G14" s="22">
        <f>SUM(E14:F14)</f>
        <v/>
      </c>
    </row>
    <row r="15" ht="15" customHeight="1" s="366">
      <c r="A15" s="29" t="n">
        <v>204</v>
      </c>
      <c r="B15" s="30" t="n">
        <v>0.42</v>
      </c>
      <c r="C15" s="30" t="n">
        <v>0.42</v>
      </c>
      <c r="D15" s="22">
        <f>(C15-B15)*1000</f>
        <v/>
      </c>
      <c r="E15" s="38">
        <f>ROUND(D15*D22,0)</f>
        <v/>
      </c>
      <c r="F15" s="22" t="n">
        <v>600</v>
      </c>
      <c r="G15" s="22">
        <f>SUM(E15:F15)</f>
        <v/>
      </c>
    </row>
    <row r="16" ht="15" customHeight="1" s="366">
      <c r="A16" s="29" t="n">
        <v>301</v>
      </c>
      <c r="B16" s="30" t="n">
        <v>0.38</v>
      </c>
      <c r="C16" s="30" t="n">
        <v>0.38</v>
      </c>
      <c r="D16" s="22">
        <f>(C16-B16)*1000</f>
        <v/>
      </c>
      <c r="E16" s="38">
        <f>ROUND(D16*D22,0)</f>
        <v/>
      </c>
      <c r="F16" s="22" t="n">
        <v>600</v>
      </c>
      <c r="G16" s="22">
        <f>SUM(E16:F16)</f>
        <v/>
      </c>
    </row>
    <row r="17" ht="15" customHeight="1" s="366">
      <c r="A17" s="29" t="n">
        <v>302</v>
      </c>
      <c r="B17" s="30" t="n">
        <v>0.38</v>
      </c>
      <c r="C17" s="30" t="n">
        <v>0.38</v>
      </c>
      <c r="D17" s="22">
        <f>(C17-B17)*1000</f>
        <v/>
      </c>
      <c r="E17" s="38">
        <f>ROUND(D17*D22,0)</f>
        <v/>
      </c>
      <c r="F17" s="22" t="n">
        <v>600</v>
      </c>
      <c r="G17" s="22">
        <f>SUM(E17:F17)</f>
        <v/>
      </c>
    </row>
    <row r="18" ht="15" customHeight="1" s="366">
      <c r="A18" s="32" t="n">
        <v>303</v>
      </c>
      <c r="B18" s="33" t="n">
        <v>92.41</v>
      </c>
      <c r="C18" s="33" t="n">
        <v>99.27</v>
      </c>
      <c r="D18" s="22">
        <f>(C18-B18)*1000</f>
        <v/>
      </c>
      <c r="E18" s="39">
        <f>ROUND(D18*D22,0)</f>
        <v/>
      </c>
      <c r="F18" s="34" t="n">
        <v>600</v>
      </c>
      <c r="G18" s="34">
        <f>SUM(E18:F18)</f>
        <v/>
      </c>
      <c r="H18" s="1" t="inlineStr">
        <is>
          <t>1243-909=334</t>
        </is>
      </c>
    </row>
    <row r="19" ht="15" customHeight="1" s="366">
      <c r="A19" s="29" t="n">
        <v>304</v>
      </c>
      <c r="B19" s="30" t="n">
        <v>0.59</v>
      </c>
      <c r="C19" s="30" t="n">
        <v>0.59</v>
      </c>
      <c r="D19" s="22">
        <f>(C19-B19)*1000</f>
        <v/>
      </c>
      <c r="E19" s="38">
        <f>ROUND(D19*D22,0)</f>
        <v/>
      </c>
      <c r="F19" s="22" t="n">
        <v>600</v>
      </c>
      <c r="G19" s="22">
        <f>SUM(E19:F19)</f>
        <v/>
      </c>
    </row>
    <row r="20" ht="15" customHeight="1" s="366">
      <c r="A20" s="22" t="n"/>
      <c r="B20" s="22" t="n"/>
      <c r="C20" s="22" t="n"/>
      <c r="D20" s="22" t="n"/>
      <c r="E20" s="40" t="n">
        <v>2044</v>
      </c>
      <c r="F20" s="27">
        <f>SUM(F4:F19)</f>
        <v/>
      </c>
      <c r="G20" s="27">
        <f>SUM(E20:F20)</f>
        <v/>
      </c>
    </row>
    <row r="21" ht="15" customHeight="1" s="366">
      <c r="A21" s="22" t="n"/>
      <c r="B21" s="22" t="inlineStr">
        <is>
          <t>Total Usage Units</t>
        </is>
      </c>
      <c r="C21" s="22" t="n"/>
      <c r="D21" s="44">
        <f>SUM(D4:D20)</f>
        <v/>
      </c>
      <c r="E21" s="41" t="n"/>
      <c r="F21" s="22" t="n"/>
      <c r="G21" s="22" t="n"/>
    </row>
    <row r="22" ht="15.75" customHeight="1" s="366">
      <c r="A22" s="22" t="n"/>
      <c r="B22" s="22" t="inlineStr">
        <is>
          <t>per Lt Cost With Manjira</t>
        </is>
      </c>
      <c r="C22" s="22" t="n"/>
      <c r="D22" s="22">
        <f>B25/D21</f>
        <v/>
      </c>
      <c r="E22" s="41" t="n"/>
      <c r="F22" s="22" t="n"/>
      <c r="G22" s="22" t="n"/>
    </row>
    <row r="23" ht="15.75" customHeight="1" s="366">
      <c r="A23" s="22" t="n"/>
      <c r="B23" s="22" t="n"/>
      <c r="C23" s="22" t="n"/>
      <c r="D23" s="22" t="n"/>
      <c r="E23" s="41" t="n"/>
      <c r="F23" s="22" t="n"/>
      <c r="G23" s="22" t="n"/>
    </row>
    <row r="24" ht="15.75" customHeight="1" s="366">
      <c r="A24" s="22" t="n"/>
      <c r="B24" s="22" t="n"/>
      <c r="C24" s="22" t="n"/>
      <c r="D24" s="22" t="n"/>
      <c r="E24" s="41" t="n"/>
      <c r="F24" s="22" t="n"/>
      <c r="G24" s="22" t="n"/>
    </row>
    <row r="25" ht="15.75" customHeight="1" s="366">
      <c r="A25" s="22" t="inlineStr">
        <is>
          <t>Total Water Bill</t>
        </is>
      </c>
      <c r="B25" s="30" t="n">
        <v>2044</v>
      </c>
      <c r="C25" s="30" t="n"/>
      <c r="D25" s="22" t="n"/>
      <c r="E25" s="41" t="n"/>
      <c r="F25" s="22" t="n"/>
      <c r="G25" s="22" t="n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K24"/>
  <sheetViews>
    <sheetView workbookViewId="0">
      <selection activeCell="A11" sqref="A11:C11"/>
    </sheetView>
  </sheetViews>
  <sheetFormatPr baseColWidth="8" defaultColWidth="14.42578125" defaultRowHeight="15" customHeight="1"/>
  <cols>
    <col width="16.28515625" customWidth="1" style="366" min="1" max="1"/>
    <col width="20.7109375" customWidth="1" style="366" min="2" max="2"/>
    <col width="19" customWidth="1" style="366" min="3" max="3"/>
    <col width="10.7109375" customWidth="1" style="366" min="4" max="4"/>
    <col width="10.140625" customWidth="1" style="366" min="5" max="5"/>
    <col width="16.42578125" customWidth="1" style="366" min="6" max="6"/>
    <col width="12.42578125" customWidth="1" style="366" min="7" max="7"/>
    <col width="18.140625" customWidth="1" style="366" min="8" max="8"/>
    <col width="15.140625" customWidth="1" style="366" min="9" max="9"/>
    <col width="7.5703125" customWidth="1" style="366" min="10" max="11"/>
  </cols>
  <sheetData>
    <row r="2" ht="15" customHeight="1" s="366">
      <c r="A2" s="27" t="inlineStr">
        <is>
          <t>Flat Number</t>
        </is>
      </c>
      <c r="B2" s="27" t="inlineStr">
        <is>
          <t>Previous Meter Reading</t>
        </is>
      </c>
      <c r="C2" s="27" t="inlineStr">
        <is>
          <t>Curret Meter Reading</t>
        </is>
      </c>
      <c r="D2" s="27" t="inlineStr">
        <is>
          <t>Total Units</t>
        </is>
      </c>
      <c r="E2" s="37" t="inlineStr">
        <is>
          <t>Water Bill</t>
        </is>
      </c>
      <c r="F2" s="22" t="inlineStr">
        <is>
          <t>CommonMaintanence</t>
        </is>
      </c>
      <c r="G2" s="22" t="inlineStr">
        <is>
          <t>Total to Pay</t>
        </is>
      </c>
      <c r="H2" s="22" t="inlineStr">
        <is>
          <t>Last Month Adjustments</t>
        </is>
      </c>
      <c r="I2" s="22" t="inlineStr">
        <is>
          <t>Final to pay</t>
        </is>
      </c>
    </row>
    <row r="3" ht="15" customHeight="1" s="366">
      <c r="A3" s="29" t="inlineStr">
        <is>
          <t>G1</t>
        </is>
      </c>
      <c r="B3" s="30" t="n">
        <v>0.9</v>
      </c>
      <c r="C3" s="30" t="n">
        <v>0.9</v>
      </c>
      <c r="D3" s="44">
        <f>(C3-B3)*1000</f>
        <v/>
      </c>
      <c r="E3" s="38">
        <f>ROUND(D3*D21,0)</f>
        <v/>
      </c>
      <c r="F3" s="22" t="n">
        <v>600</v>
      </c>
      <c r="G3" s="22">
        <f>SUM(E3:F3)</f>
        <v/>
      </c>
      <c r="H3" s="22" t="n">
        <v>0</v>
      </c>
      <c r="I3" s="22">
        <f>G3-H3</f>
        <v/>
      </c>
    </row>
    <row r="4" ht="15" customHeight="1" s="366">
      <c r="A4" s="29" t="inlineStr">
        <is>
          <t>G2</t>
        </is>
      </c>
      <c r="B4" s="30" t="n">
        <v>0.37</v>
      </c>
      <c r="C4" s="30" t="n">
        <v>0.37</v>
      </c>
      <c r="D4" s="22">
        <f>(C4-B4)*1000</f>
        <v/>
      </c>
      <c r="E4" s="38">
        <f>ROUND(D4*D21,0)</f>
        <v/>
      </c>
      <c r="F4" s="22" t="n">
        <v>600</v>
      </c>
      <c r="G4" s="22">
        <f>SUM(E4:F4)</f>
        <v/>
      </c>
      <c r="H4" s="22" t="n">
        <v>0</v>
      </c>
      <c r="I4" s="22">
        <f>I3</f>
        <v/>
      </c>
    </row>
    <row r="5" ht="15" customHeight="1" s="366">
      <c r="A5" s="32" t="inlineStr">
        <is>
          <t>G3</t>
        </is>
      </c>
      <c r="B5" s="33" t="n">
        <v>64.31</v>
      </c>
      <c r="C5" s="33" t="n">
        <v>69.68000000000001</v>
      </c>
      <c r="D5" s="22">
        <f>(C5-B5)*1000</f>
        <v/>
      </c>
      <c r="E5" s="39">
        <f>ROUND(D5*D21,0)</f>
        <v/>
      </c>
      <c r="F5" s="34" t="n">
        <v>600</v>
      </c>
      <c r="G5" s="34">
        <f>SUM(E5:F5)</f>
        <v/>
      </c>
      <c r="H5" s="34" t="n">
        <v>431</v>
      </c>
      <c r="I5" s="34">
        <f>G5-H5</f>
        <v/>
      </c>
    </row>
    <row r="6" ht="15" customHeight="1" s="366">
      <c r="A6" s="32" t="inlineStr">
        <is>
          <t>G4</t>
        </is>
      </c>
      <c r="B6" s="33" t="n">
        <v>49.85</v>
      </c>
      <c r="C6" s="33" t="n">
        <v>50.27</v>
      </c>
      <c r="D6" s="22">
        <f>(C6-B6)*1000</f>
        <v/>
      </c>
      <c r="E6" s="39">
        <f>ROUND(D6*D21,0)</f>
        <v/>
      </c>
      <c r="F6" s="39" t="n">
        <v>600</v>
      </c>
      <c r="G6" s="39">
        <f>SUM(E6:F6)</f>
        <v/>
      </c>
      <c r="H6" s="39" t="n">
        <v>425</v>
      </c>
      <c r="I6" s="39">
        <f>G6-H6</f>
        <v/>
      </c>
    </row>
    <row r="7" ht="15" customHeight="1" s="366">
      <c r="A7" s="29" t="n">
        <v>101</v>
      </c>
      <c r="B7" s="30" t="n">
        <v>0.38</v>
      </c>
      <c r="C7" s="30" t="n">
        <v>0.38</v>
      </c>
      <c r="D7" s="22">
        <f>(C7-B7)*1000</f>
        <v/>
      </c>
      <c r="E7" s="38">
        <f>ROUND(D7*D21,0)</f>
        <v/>
      </c>
      <c r="F7" s="22" t="n">
        <v>600</v>
      </c>
      <c r="G7" s="22">
        <f>SUM(E7:F7)</f>
        <v/>
      </c>
      <c r="H7" s="22" t="n">
        <v>0</v>
      </c>
      <c r="I7" s="22">
        <f>G7-H7</f>
        <v/>
      </c>
    </row>
    <row r="8" ht="15" customHeight="1" s="366">
      <c r="A8" s="32" t="n">
        <v>102</v>
      </c>
      <c r="B8" s="33" t="n">
        <v>58.16</v>
      </c>
      <c r="C8" s="33" t="n">
        <v>71.56999999999999</v>
      </c>
      <c r="D8" s="22">
        <f>(C8-B8)*1000</f>
        <v/>
      </c>
      <c r="E8" s="39">
        <f>ROUND(D8*D21,0)</f>
        <v/>
      </c>
      <c r="F8" s="34" t="n">
        <v>600</v>
      </c>
      <c r="G8" s="34">
        <f>SUM(E8:F8)</f>
        <v/>
      </c>
      <c r="H8" s="34" t="n">
        <v>0</v>
      </c>
      <c r="I8" s="34">
        <f>G8-H8</f>
        <v/>
      </c>
    </row>
    <row r="9" ht="15" customHeight="1" s="366">
      <c r="A9" s="29" t="n">
        <v>103</v>
      </c>
      <c r="B9" s="30" t="n">
        <v>0.54</v>
      </c>
      <c r="C9" s="30" t="n">
        <v>0.54</v>
      </c>
      <c r="D9" s="22">
        <f>(C9-B9)*1000</f>
        <v/>
      </c>
      <c r="E9" s="38">
        <f>ROUND(D9*D21,0)</f>
        <v/>
      </c>
      <c r="F9" s="22" t="n">
        <v>600</v>
      </c>
      <c r="G9" s="22">
        <f>SUM(E9:F9)</f>
        <v/>
      </c>
      <c r="H9" s="22" t="n">
        <v>0</v>
      </c>
      <c r="I9" s="22">
        <f>G9-H9</f>
        <v/>
      </c>
    </row>
    <row r="10" ht="15" customHeight="1" s="366">
      <c r="A10" s="32" t="n">
        <v>104</v>
      </c>
      <c r="B10" s="33" t="n">
        <v>8.23</v>
      </c>
      <c r="C10" s="33" t="n">
        <v>11.88</v>
      </c>
      <c r="D10" s="22">
        <f>(C10-B10)*1000</f>
        <v/>
      </c>
      <c r="E10" s="39">
        <f>ROUND(D10*D21,0)</f>
        <v/>
      </c>
      <c r="F10" s="34" t="n">
        <v>600</v>
      </c>
      <c r="G10" s="34">
        <f>SUM(E10:F10)</f>
        <v/>
      </c>
      <c r="H10" s="34" t="n">
        <v>0</v>
      </c>
      <c r="I10" s="34">
        <f>G10-H10</f>
        <v/>
      </c>
    </row>
    <row r="11" ht="15" customHeight="1" s="366">
      <c r="A11" s="267" t="n">
        <v>201</v>
      </c>
      <c r="B11" s="268" t="n">
        <v>1.53</v>
      </c>
      <c r="C11" s="268" t="n">
        <v>1.53</v>
      </c>
      <c r="D11" s="22">
        <f>(C11-B11)*1000</f>
        <v/>
      </c>
      <c r="E11" s="38">
        <f>ROUND(D11*D21,0)</f>
        <v/>
      </c>
      <c r="F11" s="22" t="n">
        <v>600</v>
      </c>
      <c r="G11" s="22">
        <f>SUM(E11:F11)</f>
        <v/>
      </c>
      <c r="H11" s="22" t="n">
        <v>0</v>
      </c>
      <c r="I11" s="22">
        <f>G11-H11</f>
        <v/>
      </c>
    </row>
    <row r="12" ht="15" customHeight="1" s="366">
      <c r="A12" s="32" t="n">
        <v>202</v>
      </c>
      <c r="B12" s="33" t="n">
        <v>43.9</v>
      </c>
      <c r="C12" s="33" t="n">
        <v>51.81</v>
      </c>
      <c r="D12" s="22">
        <f>(C12-B12)*1000</f>
        <v/>
      </c>
      <c r="E12" s="39">
        <f>ROUND(D12*D21,0)</f>
        <v/>
      </c>
      <c r="F12" s="34" t="n">
        <v>600</v>
      </c>
      <c r="G12" s="34">
        <f>SUM(E12:F12)</f>
        <v/>
      </c>
      <c r="H12" s="34" t="n">
        <v>299</v>
      </c>
      <c r="I12" s="34">
        <f>G12-H12</f>
        <v/>
      </c>
    </row>
    <row r="13" ht="15" customHeight="1" s="366">
      <c r="A13" s="29" t="n">
        <v>203</v>
      </c>
      <c r="B13" s="30" t="n">
        <v>0.43</v>
      </c>
      <c r="C13" s="30" t="n">
        <v>0.43</v>
      </c>
      <c r="D13" s="22">
        <f>(C13-B13)*1000</f>
        <v/>
      </c>
      <c r="E13" s="38">
        <f>ROUND(D13*D21,0)</f>
        <v/>
      </c>
      <c r="F13" s="22" t="n">
        <v>600</v>
      </c>
      <c r="G13" s="22">
        <f>SUM(E13:F13)</f>
        <v/>
      </c>
      <c r="H13" s="22" t="n">
        <v>0</v>
      </c>
      <c r="I13" s="22">
        <f>G13-H13</f>
        <v/>
      </c>
    </row>
    <row r="14" ht="15" customHeight="1" s="366">
      <c r="A14" s="29" t="n">
        <v>204</v>
      </c>
      <c r="B14" s="30" t="n">
        <v>0.42</v>
      </c>
      <c r="C14" s="30" t="n">
        <v>0.42</v>
      </c>
      <c r="D14" s="22">
        <f>(C14-B14)*1000</f>
        <v/>
      </c>
      <c r="E14" s="38">
        <f>ROUND(D14*D21,0)</f>
        <v/>
      </c>
      <c r="F14" s="22" t="n">
        <v>600</v>
      </c>
      <c r="G14" s="22">
        <f>SUM(E14:F14)</f>
        <v/>
      </c>
      <c r="H14" s="22" t="n">
        <v>0</v>
      </c>
      <c r="I14" s="22">
        <f>G14-H14</f>
        <v/>
      </c>
    </row>
    <row r="15" ht="15" customHeight="1" s="366">
      <c r="A15" s="29" t="n">
        <v>301</v>
      </c>
      <c r="B15" s="30" t="n">
        <v>0.38</v>
      </c>
      <c r="C15" s="30" t="n">
        <v>0.38</v>
      </c>
      <c r="D15" s="22">
        <f>(C15-B15)*1000</f>
        <v/>
      </c>
      <c r="E15" s="38">
        <f>ROUND(D15*D21,0)</f>
        <v/>
      </c>
      <c r="F15" s="22" t="n">
        <v>600</v>
      </c>
      <c r="G15" s="22">
        <f>SUM(E15:F15)</f>
        <v/>
      </c>
      <c r="H15" s="22" t="n">
        <v>0</v>
      </c>
      <c r="I15" s="22">
        <f>G15-H15</f>
        <v/>
      </c>
    </row>
    <row r="16" ht="15" customHeight="1" s="366">
      <c r="A16" s="29" t="n">
        <v>302</v>
      </c>
      <c r="B16" s="30" t="n">
        <v>0.38</v>
      </c>
      <c r="C16" s="30" t="n">
        <v>0.38</v>
      </c>
      <c r="D16" s="22">
        <f>(C16-B16)*1000</f>
        <v/>
      </c>
      <c r="E16" s="38">
        <f>ROUND(D16*D21,0)</f>
        <v/>
      </c>
      <c r="F16" s="22" t="n">
        <v>600</v>
      </c>
      <c r="G16" s="22">
        <f>SUM(E16:F16)</f>
        <v/>
      </c>
      <c r="H16" s="22" t="n">
        <v>0</v>
      </c>
      <c r="I16" s="22">
        <f>G16-H16</f>
        <v/>
      </c>
    </row>
    <row r="17" ht="15" customHeight="1" s="366">
      <c r="A17" s="32" t="n">
        <v>303</v>
      </c>
      <c r="B17" s="33" t="n">
        <v>99.27</v>
      </c>
      <c r="C17" s="33" t="n">
        <v>121.98</v>
      </c>
      <c r="D17" s="22">
        <f>(C17-B17)*1000</f>
        <v/>
      </c>
      <c r="E17" s="39">
        <f>ROUND(D17*D21,0)</f>
        <v/>
      </c>
      <c r="F17" s="34" t="n">
        <v>600</v>
      </c>
      <c r="G17" s="34">
        <f>SUM(E17:F17)</f>
        <v/>
      </c>
      <c r="H17" s="34" t="n">
        <v>334</v>
      </c>
      <c r="I17" s="34">
        <f>G17-H17</f>
        <v/>
      </c>
    </row>
    <row r="18" ht="15" customHeight="1" s="366">
      <c r="A18" s="29" t="n">
        <v>304</v>
      </c>
      <c r="B18" s="30" t="n">
        <v>0.59</v>
      </c>
      <c r="C18" s="30" t="n">
        <v>0.59</v>
      </c>
      <c r="D18" s="22">
        <f>(C18-B18)*1000</f>
        <v/>
      </c>
      <c r="E18" s="38">
        <f>ROUND(D18*D21,0)</f>
        <v/>
      </c>
      <c r="F18" s="22" t="n">
        <v>600</v>
      </c>
      <c r="G18" s="22">
        <f>SUM(E18:F18)</f>
        <v/>
      </c>
      <c r="H18" s="22" t="n">
        <v>0</v>
      </c>
      <c r="I18" s="22">
        <f>G18-H18</f>
        <v/>
      </c>
    </row>
    <row r="19" ht="15" customHeight="1" s="366">
      <c r="A19" s="22" t="n"/>
      <c r="B19" s="22" t="n"/>
      <c r="C19" s="22" t="n"/>
      <c r="D19" s="22" t="n"/>
      <c r="E19" s="40" t="n">
        <v>2044</v>
      </c>
      <c r="F19" s="27">
        <f>SUM(F3:F18)</f>
        <v/>
      </c>
      <c r="G19" s="27">
        <f>SUM(E19:F19)</f>
        <v/>
      </c>
      <c r="H19" s="27">
        <f>SUM(H3:H18)</f>
        <v/>
      </c>
      <c r="I19" s="27">
        <f>SUM(I3:I18)</f>
        <v/>
      </c>
    </row>
    <row r="20" ht="15" customHeight="1" s="366">
      <c r="A20" s="22" t="n"/>
      <c r="B20" s="22" t="inlineStr">
        <is>
          <t>Total Usage Units</t>
        </is>
      </c>
      <c r="C20" s="22" t="n"/>
      <c r="D20" s="44">
        <f>SUM(D3:D19)</f>
        <v/>
      </c>
      <c r="E20" s="41" t="n"/>
      <c r="F20" s="22" t="n"/>
      <c r="G20" s="22" t="n"/>
      <c r="H20" s="22" t="n"/>
      <c r="I20" s="22" t="n"/>
    </row>
    <row r="21" ht="15" customHeight="1" s="366">
      <c r="A21" s="22" t="n"/>
      <c r="B21" s="22" t="inlineStr">
        <is>
          <t>per Lt Cost With Manjira</t>
        </is>
      </c>
      <c r="C21" s="22" t="n"/>
      <c r="D21" s="22">
        <f>B24/D20</f>
        <v/>
      </c>
      <c r="E21" s="41" t="n"/>
      <c r="F21" s="22" t="n"/>
      <c r="G21" s="22" t="n"/>
      <c r="H21" s="22" t="n"/>
      <c r="I21" s="22" t="n"/>
    </row>
    <row r="22" ht="15.75" customHeight="1" s="366">
      <c r="A22" s="22" t="n"/>
      <c r="B22" s="22" t="n"/>
      <c r="C22" s="22" t="n"/>
      <c r="D22" s="22" t="n"/>
      <c r="E22" s="41" t="n"/>
      <c r="F22" s="22" t="n"/>
      <c r="G22" s="22" t="n"/>
      <c r="H22" s="22" t="n"/>
      <c r="I22" s="22" t="n"/>
    </row>
    <row r="23" ht="15.75" customHeight="1" s="366">
      <c r="A23" s="22" t="n"/>
      <c r="B23" s="22" t="n"/>
      <c r="C23" s="22" t="n"/>
      <c r="D23" s="22" t="n"/>
      <c r="E23" s="41" t="n"/>
      <c r="F23" s="22" t="n"/>
      <c r="G23" s="22" t="n"/>
      <c r="H23" s="22" t="n"/>
      <c r="I23" s="22" t="n"/>
      <c r="K23" s="1">
        <f>2044*7</f>
        <v/>
      </c>
    </row>
    <row r="24" ht="15.75" customHeight="1" s="366">
      <c r="A24" s="22" t="inlineStr">
        <is>
          <t>Total Water Bill</t>
        </is>
      </c>
      <c r="B24" s="30" t="n">
        <v>2044</v>
      </c>
      <c r="C24" s="30" t="n"/>
      <c r="D24" s="22" t="n"/>
      <c r="E24" s="41" t="n"/>
      <c r="F24" s="22" t="n"/>
      <c r="G24" s="22" t="n"/>
      <c r="H24" s="22" t="n"/>
      <c r="I24" s="22" t="n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G24"/>
  <sheetViews>
    <sheetView workbookViewId="0">
      <selection activeCell="A11" sqref="A11:C11"/>
    </sheetView>
  </sheetViews>
  <sheetFormatPr baseColWidth="8" defaultColWidth="14.42578125" defaultRowHeight="15" customHeight="1"/>
  <cols>
    <col width="15.140625" customWidth="1" style="366" min="1" max="1"/>
    <col width="16.85546875" customWidth="1" style="366" min="2" max="2"/>
    <col width="15.7109375" customWidth="1" style="366" min="3" max="3"/>
    <col width="13.28515625" customWidth="1" style="366" min="4" max="4"/>
    <col width="14" customWidth="1" style="366" min="5" max="5"/>
    <col width="15.42578125" customWidth="1" style="366" min="6" max="7"/>
  </cols>
  <sheetData>
    <row r="2" ht="15" customHeight="1" s="366">
      <c r="A2" s="27" t="inlineStr">
        <is>
          <t>Flat Number</t>
        </is>
      </c>
      <c r="B2" s="27" t="inlineStr">
        <is>
          <t>Previous Meter Reading</t>
        </is>
      </c>
      <c r="C2" s="27" t="inlineStr">
        <is>
          <t>Curret Meter Reading</t>
        </is>
      </c>
      <c r="D2" s="27" t="inlineStr">
        <is>
          <t>Total Units</t>
        </is>
      </c>
      <c r="E2" s="37" t="inlineStr">
        <is>
          <t>Water Bill</t>
        </is>
      </c>
      <c r="F2" s="22" t="inlineStr">
        <is>
          <t>CommonMaintanence</t>
        </is>
      </c>
      <c r="G2" s="22" t="inlineStr">
        <is>
          <t>Total to Pay</t>
        </is>
      </c>
    </row>
    <row r="3" ht="15" customHeight="1" s="366">
      <c r="A3" s="29" t="inlineStr">
        <is>
          <t>G1</t>
        </is>
      </c>
      <c r="B3" s="30" t="n">
        <v>0.9</v>
      </c>
      <c r="C3" s="30" t="n">
        <v>0.9</v>
      </c>
      <c r="D3" s="44">
        <f>(B3-C3)*1000</f>
        <v/>
      </c>
      <c r="E3" s="38">
        <f>ROUND(D3*D21,0)</f>
        <v/>
      </c>
      <c r="F3" s="22" t="n">
        <v>600</v>
      </c>
      <c r="G3" s="22">
        <f>SUM(E3:F3)</f>
        <v/>
      </c>
    </row>
    <row r="4" ht="15" customHeight="1" s="366">
      <c r="A4" s="29" t="inlineStr">
        <is>
          <t>G2</t>
        </is>
      </c>
      <c r="B4" s="30" t="n">
        <v>0.37</v>
      </c>
      <c r="C4" s="30" t="n">
        <v>0.37</v>
      </c>
      <c r="D4" s="22">
        <f>(C4-B4)*1000</f>
        <v/>
      </c>
      <c r="E4" s="38">
        <f>ROUND(D4*D21,0)</f>
        <v/>
      </c>
      <c r="F4" s="22" t="n">
        <v>600</v>
      </c>
      <c r="G4" s="22">
        <f>SUM(E4:F4)</f>
        <v/>
      </c>
    </row>
    <row r="5" ht="15" customHeight="1" s="366">
      <c r="A5" s="32" t="inlineStr">
        <is>
          <t>G3</t>
        </is>
      </c>
      <c r="B5" s="33" t="n">
        <v>69.68000000000001</v>
      </c>
      <c r="C5" s="33" t="n">
        <v>69.69</v>
      </c>
      <c r="D5" s="22">
        <f>(C5-B5)*1000</f>
        <v/>
      </c>
      <c r="E5" s="39">
        <f>ROUND(D5*D21,0)</f>
        <v/>
      </c>
      <c r="F5" s="34" t="n">
        <v>600</v>
      </c>
      <c r="G5" s="34">
        <f>SUM(E5:F5)</f>
        <v/>
      </c>
    </row>
    <row r="6" ht="15" customHeight="1" s="366">
      <c r="A6" s="32" t="inlineStr">
        <is>
          <t>G4</t>
        </is>
      </c>
      <c r="B6" s="33" t="n">
        <v>50.27</v>
      </c>
      <c r="C6" s="33" t="n">
        <v>50.27</v>
      </c>
      <c r="D6" s="22">
        <f>(C6-B6)*1000</f>
        <v/>
      </c>
      <c r="E6" s="39">
        <f>ROUND(D6*D21,0)</f>
        <v/>
      </c>
      <c r="F6" s="39" t="n">
        <v>600</v>
      </c>
      <c r="G6" s="39">
        <f>SUM(E6:F6)</f>
        <v/>
      </c>
    </row>
    <row r="7" ht="15" customHeight="1" s="366">
      <c r="A7" s="29" t="n">
        <v>101</v>
      </c>
      <c r="B7" s="30" t="n">
        <v>0.38</v>
      </c>
      <c r="C7" s="30" t="n">
        <v>0.38</v>
      </c>
      <c r="D7" s="22">
        <f>(C7-B7)*1000</f>
        <v/>
      </c>
      <c r="E7" s="38">
        <f>ROUND(D7*D21,0)</f>
        <v/>
      </c>
      <c r="F7" s="22" t="n">
        <v>600</v>
      </c>
      <c r="G7" s="22">
        <f>SUM(E7:F7)</f>
        <v/>
      </c>
    </row>
    <row r="8" ht="15" customHeight="1" s="366">
      <c r="A8" s="32" t="n">
        <v>102</v>
      </c>
      <c r="B8" s="33" t="n">
        <v>71.56999999999999</v>
      </c>
      <c r="C8" s="33" t="n">
        <v>85.19</v>
      </c>
      <c r="D8" s="22">
        <f>(C8-B8)*1000</f>
        <v/>
      </c>
      <c r="E8" s="39">
        <f>ROUND(D8*D21,0)</f>
        <v/>
      </c>
      <c r="F8" s="34" t="n">
        <v>600</v>
      </c>
      <c r="G8" s="34">
        <f>SUM(E8:F8)</f>
        <v/>
      </c>
    </row>
    <row r="9" ht="15" customHeight="1" s="366">
      <c r="A9" s="29" t="n">
        <v>103</v>
      </c>
      <c r="B9" s="30" t="n">
        <v>0.54</v>
      </c>
      <c r="C9" s="30" t="n">
        <v>0.8100000000000001</v>
      </c>
      <c r="D9" s="22">
        <f>(C9-B9)*1000</f>
        <v/>
      </c>
      <c r="E9" s="38">
        <f>ROUND(D9*D21,0)</f>
        <v/>
      </c>
      <c r="F9" s="22" t="n">
        <v>600</v>
      </c>
      <c r="G9" s="22">
        <f>SUM(E9:F9)</f>
        <v/>
      </c>
    </row>
    <row r="10" ht="15" customHeight="1" s="366">
      <c r="A10" s="32" t="n">
        <v>104</v>
      </c>
      <c r="B10" s="33" t="n">
        <v>11.88</v>
      </c>
      <c r="C10" s="45" t="n">
        <v>14.59</v>
      </c>
      <c r="D10" s="22">
        <f>(C10-B10)*1000</f>
        <v/>
      </c>
      <c r="E10" s="39">
        <f>ROUND(D10*D21,0)</f>
        <v/>
      </c>
      <c r="F10" s="34" t="n">
        <v>600</v>
      </c>
      <c r="G10" s="34">
        <f>SUM(E10:F10)</f>
        <v/>
      </c>
    </row>
    <row r="11" ht="15" customHeight="1" s="366">
      <c r="A11" s="267" t="n">
        <v>201</v>
      </c>
      <c r="B11" s="268" t="n">
        <v>1.53</v>
      </c>
      <c r="C11" s="268" t="n">
        <v>1.53</v>
      </c>
      <c r="D11" s="22">
        <f>(C11-B11)*1000</f>
        <v/>
      </c>
      <c r="E11" s="38">
        <f>ROUND(D11*D21,0)</f>
        <v/>
      </c>
      <c r="F11" s="22" t="n">
        <v>600</v>
      </c>
      <c r="G11" s="22">
        <f>SUM(E11:F11)</f>
        <v/>
      </c>
    </row>
    <row r="12" ht="15" customHeight="1" s="366">
      <c r="A12" s="32" t="n">
        <v>202</v>
      </c>
      <c r="B12" s="33" t="n">
        <v>51.81</v>
      </c>
      <c r="C12" s="33" t="n">
        <v>53.74</v>
      </c>
      <c r="D12" s="22">
        <f>(C12-B12)*1000</f>
        <v/>
      </c>
      <c r="E12" s="39">
        <f>ROUND(D12*D21,0)</f>
        <v/>
      </c>
      <c r="F12" s="34" t="n">
        <v>600</v>
      </c>
      <c r="G12" s="34">
        <f>SUM(E12:F12)</f>
        <v/>
      </c>
    </row>
    <row r="13" ht="15" customHeight="1" s="366">
      <c r="A13" s="29" t="n">
        <v>203</v>
      </c>
      <c r="B13" s="30" t="n">
        <v>0.43</v>
      </c>
      <c r="C13" s="30" t="n">
        <v>1.02</v>
      </c>
      <c r="D13" s="22">
        <f>(C13-B13)*1000</f>
        <v/>
      </c>
      <c r="E13" s="38">
        <f>ROUND(D13*D21,0)</f>
        <v/>
      </c>
      <c r="F13" s="22" t="n">
        <v>600</v>
      </c>
      <c r="G13" s="22">
        <f>SUM(E13:F13)</f>
        <v/>
      </c>
    </row>
    <row r="14" ht="15" customHeight="1" s="366">
      <c r="A14" s="29" t="n">
        <v>204</v>
      </c>
      <c r="B14" s="30" t="n">
        <v>0.42</v>
      </c>
      <c r="C14" s="30" t="n">
        <v>0.42</v>
      </c>
      <c r="D14" s="22">
        <f>(C14-B14)*1000</f>
        <v/>
      </c>
      <c r="E14" s="38">
        <f>ROUND(D14*D21,0)</f>
        <v/>
      </c>
      <c r="F14" s="22" t="n">
        <v>600</v>
      </c>
      <c r="G14" s="22">
        <f>SUM(E14:F14)</f>
        <v/>
      </c>
    </row>
    <row r="15" ht="15" customHeight="1" s="366">
      <c r="A15" s="29" t="n">
        <v>301</v>
      </c>
      <c r="B15" s="30" t="n">
        <v>0.38</v>
      </c>
      <c r="C15" s="30" t="n">
        <v>0.38</v>
      </c>
      <c r="D15" s="22">
        <f>(C15-B15)*1000</f>
        <v/>
      </c>
      <c r="E15" s="38">
        <f>ROUND(D15*D21,0)</f>
        <v/>
      </c>
      <c r="F15" s="22" t="n">
        <v>600</v>
      </c>
      <c r="G15" s="22">
        <f>SUM(E15:F15)</f>
        <v/>
      </c>
    </row>
    <row r="16" ht="15" customHeight="1" s="366">
      <c r="A16" s="29" t="n">
        <v>302</v>
      </c>
      <c r="B16" s="30" t="n">
        <v>0.38</v>
      </c>
      <c r="C16" s="30" t="n">
        <v>0.38</v>
      </c>
      <c r="D16" s="22">
        <f>(C16-B16)*1000</f>
        <v/>
      </c>
      <c r="E16" s="38">
        <f>ROUND(D16*D21,0)</f>
        <v/>
      </c>
      <c r="F16" s="22" t="n">
        <v>600</v>
      </c>
      <c r="G16" s="22">
        <f>SUM(E16:F16)</f>
        <v/>
      </c>
    </row>
    <row r="17" ht="15" customHeight="1" s="366">
      <c r="A17" s="32" t="n">
        <v>303</v>
      </c>
      <c r="B17" s="33" t="n">
        <v>121.98</v>
      </c>
      <c r="C17" s="33" t="n">
        <v>135.1</v>
      </c>
      <c r="D17" s="22">
        <f>(C17-B17)*1000</f>
        <v/>
      </c>
      <c r="E17" s="39">
        <f>ROUND(D17*D21,0)</f>
        <v/>
      </c>
      <c r="F17" s="34" t="n">
        <v>600</v>
      </c>
      <c r="G17" s="34">
        <f>SUM(E17:F17)</f>
        <v/>
      </c>
    </row>
    <row r="18" ht="15" customHeight="1" s="366">
      <c r="A18" s="29" t="n">
        <v>304</v>
      </c>
      <c r="B18" s="30" t="n">
        <v>0.59</v>
      </c>
      <c r="C18" s="30" t="n">
        <v>0.59</v>
      </c>
      <c r="D18" s="22">
        <f>(C18-B18)*1000</f>
        <v/>
      </c>
      <c r="E18" s="38">
        <f>ROUND(D18*D21,0)</f>
        <v/>
      </c>
      <c r="F18" s="22" t="n">
        <v>600</v>
      </c>
      <c r="G18" s="22">
        <f>SUM(E18:F18)</f>
        <v/>
      </c>
    </row>
    <row r="19" ht="15" customHeight="1" s="366">
      <c r="A19" s="22" t="n"/>
      <c r="B19" s="22" t="n"/>
      <c r="C19" s="22" t="n"/>
      <c r="D19" s="22" t="n"/>
      <c r="E19" s="40" t="n">
        <v>2044</v>
      </c>
      <c r="F19" s="27">
        <f>SUM(F3:F18)</f>
        <v/>
      </c>
      <c r="G19" s="27">
        <f>SUM(E19:F19)</f>
        <v/>
      </c>
    </row>
    <row r="20" ht="15" customHeight="1" s="366">
      <c r="A20" s="22" t="n"/>
      <c r="B20" s="22" t="inlineStr">
        <is>
          <t>Total Usage Units</t>
        </is>
      </c>
      <c r="C20" s="22" t="n"/>
      <c r="D20" s="44">
        <f>SUM(D3:D19)</f>
        <v/>
      </c>
      <c r="E20" s="41" t="n"/>
      <c r="F20" s="22" t="n"/>
      <c r="G20" s="22" t="n"/>
    </row>
    <row r="21" ht="15" customHeight="1" s="366">
      <c r="A21" s="22" t="n"/>
      <c r="B21" s="22" t="inlineStr">
        <is>
          <t>per Lt Cost With Manjira</t>
        </is>
      </c>
      <c r="C21" s="22" t="n"/>
      <c r="D21" s="22">
        <f>B24/D20</f>
        <v/>
      </c>
      <c r="E21" s="41" t="n"/>
      <c r="F21" s="22" t="n"/>
      <c r="G21" s="22" t="n"/>
    </row>
    <row r="22" ht="15.75" customHeight="1" s="366">
      <c r="A22" s="22" t="n"/>
      <c r="B22" s="22" t="n"/>
      <c r="C22" s="22" t="n"/>
      <c r="D22" s="22" t="n"/>
      <c r="E22" s="41" t="n"/>
      <c r="F22" s="22" t="n"/>
      <c r="G22" s="22" t="n"/>
    </row>
    <row r="23" ht="15.75" customHeight="1" s="366">
      <c r="A23" s="22" t="n"/>
      <c r="B23" s="22" t="n"/>
      <c r="C23" s="22" t="n"/>
      <c r="D23" s="22" t="n"/>
      <c r="E23" s="41" t="n"/>
      <c r="F23" s="22" t="n"/>
      <c r="G23" s="22" t="n"/>
    </row>
    <row r="24" ht="15.75" customHeight="1" s="366">
      <c r="A24" s="22" t="inlineStr">
        <is>
          <t>Total Water Bill</t>
        </is>
      </c>
      <c r="B24" s="30" t="n">
        <v>2044</v>
      </c>
      <c r="C24" s="30" t="n"/>
      <c r="D24" s="22" t="n"/>
      <c r="E24" s="41" t="n"/>
      <c r="F24" s="22" t="n"/>
      <c r="G24" s="22" t="n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1" sqref="A11:C11"/>
    </sheetView>
  </sheetViews>
  <sheetFormatPr baseColWidth="8" defaultColWidth="14.42578125" defaultRowHeight="15" customHeight="1"/>
  <cols>
    <col width="13.42578125" customWidth="1" style="366" min="1" max="1"/>
    <col width="21.28515625" customWidth="1" style="366" min="2" max="2"/>
    <col width="19.42578125" customWidth="1" style="366" min="3" max="3"/>
    <col width="13.28515625" customWidth="1" style="366" min="4" max="4"/>
    <col width="11.140625" customWidth="1" style="366" min="5" max="5"/>
    <col width="13.85546875" customWidth="1" style="366" min="6" max="6"/>
    <col width="14.5703125" customWidth="1" style="366" min="7" max="7"/>
    <col width="16.28515625" customWidth="1" style="366" min="8" max="8"/>
  </cols>
  <sheetData>
    <row r="2" ht="15" customHeight="1" s="366">
      <c r="A2" s="27" t="inlineStr">
        <is>
          <t>Flat Number</t>
        </is>
      </c>
      <c r="B2" s="27" t="inlineStr">
        <is>
          <t>Previous Meter Reading</t>
        </is>
      </c>
      <c r="C2" s="27" t="inlineStr">
        <is>
          <t>Curret Meter Reading</t>
        </is>
      </c>
      <c r="D2" s="27" t="inlineStr">
        <is>
          <t>Total Units</t>
        </is>
      </c>
      <c r="E2" s="37" t="inlineStr">
        <is>
          <t>Water Bill</t>
        </is>
      </c>
      <c r="F2" s="22" t="inlineStr">
        <is>
          <t>CommonMaintanence</t>
        </is>
      </c>
      <c r="G2" s="22" t="inlineStr">
        <is>
          <t>Total to Pay</t>
        </is>
      </c>
      <c r="H2" s="1" t="inlineStr">
        <is>
          <t>next pay amount</t>
        </is>
      </c>
    </row>
    <row r="3" ht="15" customHeight="1" s="366">
      <c r="A3" s="29" t="inlineStr">
        <is>
          <t>G1</t>
        </is>
      </c>
      <c r="B3" s="30" t="n">
        <v>0.9</v>
      </c>
      <c r="C3" s="30" t="n">
        <v>0.99</v>
      </c>
      <c r="D3" s="44">
        <f>(C3-B3)*1000</f>
        <v/>
      </c>
      <c r="E3" s="38">
        <f>ROUND(D3*D21,0)</f>
        <v/>
      </c>
      <c r="F3" s="22" t="n">
        <v>600</v>
      </c>
      <c r="G3" s="22">
        <f>SUM(E3:F3)</f>
        <v/>
      </c>
    </row>
    <row r="4" ht="15" customHeight="1" s="366">
      <c r="A4" s="29" t="inlineStr">
        <is>
          <t>G2</t>
        </is>
      </c>
      <c r="B4" s="30" t="n">
        <v>0.37</v>
      </c>
      <c r="C4" s="30" t="n">
        <v>1.26</v>
      </c>
      <c r="D4" s="22">
        <f>(C4-B4)*1000</f>
        <v/>
      </c>
      <c r="E4" s="38">
        <f>ROUND(D4*D21,0)</f>
        <v/>
      </c>
      <c r="F4" s="22" t="n">
        <v>600</v>
      </c>
      <c r="G4" s="22">
        <f>SUM(E4:F4)</f>
        <v/>
      </c>
    </row>
    <row r="5" ht="15" customHeight="1" s="366">
      <c r="A5" s="32" t="inlineStr">
        <is>
          <t>G3</t>
        </is>
      </c>
      <c r="B5" s="33" t="n">
        <v>69.68000000000001</v>
      </c>
      <c r="C5" s="33" t="n">
        <v>71.15000000000001</v>
      </c>
      <c r="D5" s="22">
        <f>(C5-B5)*1000</f>
        <v/>
      </c>
      <c r="E5" s="39">
        <f>ROUND(D5*D21,0)</f>
        <v/>
      </c>
      <c r="F5" s="34" t="n">
        <v>600</v>
      </c>
      <c r="G5" s="34">
        <f>SUM(E5:F5)</f>
        <v/>
      </c>
    </row>
    <row r="6" ht="15" customHeight="1" s="366">
      <c r="A6" s="32" t="inlineStr">
        <is>
          <t>G4</t>
        </is>
      </c>
      <c r="B6" s="33" t="n">
        <v>50.27</v>
      </c>
      <c r="C6" s="33" t="n">
        <v>51.15</v>
      </c>
      <c r="D6" s="22">
        <f>(C6-B6)*1000</f>
        <v/>
      </c>
      <c r="E6" s="39">
        <f>ROUND(D6*D21,0)</f>
        <v/>
      </c>
      <c r="F6" s="39" t="n">
        <v>600</v>
      </c>
      <c r="G6" s="39">
        <f>SUM(E6:F6)</f>
        <v/>
      </c>
      <c r="H6" s="1" t="n">
        <v>31</v>
      </c>
    </row>
    <row r="7" ht="15" customHeight="1" s="366">
      <c r="A7" s="29" t="n">
        <v>101</v>
      </c>
      <c r="B7" s="30" t="n">
        <v>0.38</v>
      </c>
      <c r="C7" s="30" t="n">
        <v>0.38</v>
      </c>
      <c r="D7" s="22">
        <f>(C7-B7)*1000</f>
        <v/>
      </c>
      <c r="E7" s="38">
        <f>ROUND(D7*D21,0)</f>
        <v/>
      </c>
      <c r="F7" s="22" t="n">
        <v>600</v>
      </c>
      <c r="G7" s="22">
        <f>SUM(E7:F7)</f>
        <v/>
      </c>
    </row>
    <row r="8" ht="15" customHeight="1" s="366">
      <c r="A8" s="32" t="n">
        <v>102</v>
      </c>
      <c r="B8" s="33" t="n">
        <v>71.56999999999999</v>
      </c>
      <c r="C8" s="33" t="n">
        <v>97.48999999999999</v>
      </c>
      <c r="D8" s="22">
        <f>(C8-B8)*1000</f>
        <v/>
      </c>
      <c r="E8" s="39">
        <f>ROUND(D8*D21,0)</f>
        <v/>
      </c>
      <c r="F8" s="34" t="n">
        <v>600</v>
      </c>
      <c r="G8" s="34">
        <f>SUM(E8:F8)</f>
        <v/>
      </c>
    </row>
    <row r="9" ht="15" customHeight="1" s="366">
      <c r="A9" s="29" t="n">
        <v>103</v>
      </c>
      <c r="B9" s="30" t="n">
        <v>0.8100000000000001</v>
      </c>
      <c r="C9" s="30" t="n">
        <v>0.82</v>
      </c>
      <c r="D9" s="22">
        <f>(C9-B9)*1000</f>
        <v/>
      </c>
      <c r="E9" s="38">
        <f>ROUND(D9*D21,0)</f>
        <v/>
      </c>
      <c r="F9" s="22" t="n">
        <v>600</v>
      </c>
      <c r="G9" s="22">
        <f>SUM(E9:F9)</f>
        <v/>
      </c>
    </row>
    <row r="10" ht="15" customHeight="1" s="366">
      <c r="A10" s="32" t="n">
        <v>104</v>
      </c>
      <c r="B10" s="45" t="n">
        <v>14.59</v>
      </c>
      <c r="C10" s="45" t="n">
        <v>18.85</v>
      </c>
      <c r="D10" s="22">
        <f>(C10-B10)*1000</f>
        <v/>
      </c>
      <c r="E10" s="39">
        <f>ROUND(D10*D21,0)</f>
        <v/>
      </c>
      <c r="F10" s="34" t="n">
        <v>600</v>
      </c>
      <c r="G10" s="34">
        <f>SUM(E10:F10)</f>
        <v/>
      </c>
    </row>
    <row r="11" ht="15" customHeight="1" s="366">
      <c r="A11" s="267" t="n">
        <v>201</v>
      </c>
      <c r="B11" s="268" t="n">
        <v>1.53</v>
      </c>
      <c r="C11" s="268" t="n">
        <v>1.53</v>
      </c>
      <c r="D11" s="22">
        <f>(C11-B11)*1000</f>
        <v/>
      </c>
      <c r="E11" s="38">
        <f>ROUND(D11*D21,0)</f>
        <v/>
      </c>
      <c r="F11" s="22" t="n">
        <v>600</v>
      </c>
      <c r="G11" s="22">
        <f>SUM(E11:F11)</f>
        <v/>
      </c>
    </row>
    <row r="12" ht="15" customHeight="1" s="366">
      <c r="A12" s="32" t="n">
        <v>202</v>
      </c>
      <c r="B12" s="33" t="n">
        <v>53.74</v>
      </c>
      <c r="C12" s="33" t="n">
        <v>60.08</v>
      </c>
      <c r="D12" s="22">
        <f>(C12-B12)*1000</f>
        <v/>
      </c>
      <c r="E12" s="39">
        <f>ROUND(D12*D21,0)</f>
        <v/>
      </c>
      <c r="F12" s="34" t="n">
        <v>600</v>
      </c>
      <c r="G12" s="34">
        <f>SUM(E12:F12)</f>
        <v/>
      </c>
    </row>
    <row r="13" ht="15" customHeight="1" s="366">
      <c r="A13" s="29" t="n">
        <v>203</v>
      </c>
      <c r="B13" s="30" t="n">
        <v>1.02</v>
      </c>
      <c r="C13" s="30" t="n">
        <v>8.26</v>
      </c>
      <c r="D13" s="22">
        <f>(C13-B13)*1000</f>
        <v/>
      </c>
      <c r="E13" s="38">
        <f>ROUND(D13*D21,0)</f>
        <v/>
      </c>
      <c r="F13" s="22" t="n">
        <v>600</v>
      </c>
      <c r="G13" s="22">
        <f>SUM(E13:F13)</f>
        <v/>
      </c>
    </row>
    <row r="14" ht="15" customHeight="1" s="366">
      <c r="A14" s="29" t="n">
        <v>204</v>
      </c>
      <c r="B14" s="30" t="n">
        <v>0.42</v>
      </c>
      <c r="C14" s="30" t="n">
        <v>0.42</v>
      </c>
      <c r="D14" s="22">
        <f>(C14-B14)*1000</f>
        <v/>
      </c>
      <c r="E14" s="38">
        <f>ROUND(D14*D21,0)</f>
        <v/>
      </c>
      <c r="F14" s="22" t="n">
        <v>600</v>
      </c>
      <c r="G14" s="22">
        <f>SUM(E14:F14)</f>
        <v/>
      </c>
    </row>
    <row r="15" ht="15" customHeight="1" s="366">
      <c r="A15" s="29" t="n">
        <v>301</v>
      </c>
      <c r="B15" s="30" t="n">
        <v>0.38</v>
      </c>
      <c r="C15" s="30" t="n">
        <v>0.38</v>
      </c>
      <c r="D15" s="22">
        <f>(C15-B15)*1000</f>
        <v/>
      </c>
      <c r="E15" s="38">
        <f>ROUND(D15*D21,0)</f>
        <v/>
      </c>
      <c r="F15" s="22" t="n">
        <v>600</v>
      </c>
      <c r="G15" s="22">
        <f>SUM(E15:F15)</f>
        <v/>
      </c>
    </row>
    <row r="16" ht="15" customHeight="1" s="366">
      <c r="A16" s="29" t="n">
        <v>302</v>
      </c>
      <c r="B16" s="30" t="n">
        <v>0.38</v>
      </c>
      <c r="C16" s="30" t="n">
        <v>0.38</v>
      </c>
      <c r="D16" s="22">
        <f>(C16-B16)*1000</f>
        <v/>
      </c>
      <c r="E16" s="38">
        <f>ROUND(D16*D21,0)</f>
        <v/>
      </c>
      <c r="F16" s="22" t="n">
        <v>600</v>
      </c>
      <c r="G16" s="22">
        <f>SUM(E16:F16)</f>
        <v/>
      </c>
    </row>
    <row r="17" ht="15" customHeight="1" s="366">
      <c r="A17" s="32" t="n">
        <v>303</v>
      </c>
      <c r="B17" s="33" t="n">
        <v>135.1</v>
      </c>
      <c r="C17" s="33" t="n">
        <v>146.62</v>
      </c>
      <c r="D17" s="22">
        <f>(C17-B17)*1000</f>
        <v/>
      </c>
      <c r="E17" s="39">
        <f>ROUND(D17*D21,0)</f>
        <v/>
      </c>
      <c r="F17" s="34" t="n">
        <v>600</v>
      </c>
      <c r="G17" s="34">
        <f>SUM(E17:F17)</f>
        <v/>
      </c>
    </row>
    <row r="18" ht="15" customHeight="1" s="366">
      <c r="A18" s="29" t="n">
        <v>304</v>
      </c>
      <c r="B18" s="30" t="n">
        <v>0.59</v>
      </c>
      <c r="C18" s="30" t="n">
        <v>0.59</v>
      </c>
      <c r="D18" s="22">
        <f>(C18-B18)*1000</f>
        <v/>
      </c>
      <c r="E18" s="38">
        <f>ROUND(D18*D21,0)</f>
        <v/>
      </c>
      <c r="F18" s="22" t="n">
        <v>600</v>
      </c>
      <c r="G18" s="22">
        <f>SUM(E18:F18)</f>
        <v/>
      </c>
    </row>
    <row r="19" ht="15" customHeight="1" s="366">
      <c r="A19" s="22" t="n"/>
      <c r="B19" s="22" t="n"/>
      <c r="C19" s="22" t="n"/>
      <c r="D19" s="22" t="n"/>
      <c r="E19" s="40" t="n">
        <v>2044</v>
      </c>
      <c r="F19" s="27">
        <f>SUM(F3:F18)</f>
        <v/>
      </c>
      <c r="G19" s="27">
        <f>SUM(E19:F19)</f>
        <v/>
      </c>
    </row>
    <row r="20" ht="15" customHeight="1" s="366">
      <c r="A20" s="22" t="n"/>
      <c r="B20" s="22" t="inlineStr">
        <is>
          <t>Total Usage Units</t>
        </is>
      </c>
      <c r="C20" s="22" t="n"/>
      <c r="D20" s="44">
        <f>SUM(D3:D19)</f>
        <v/>
      </c>
      <c r="E20" s="41" t="n"/>
      <c r="F20" s="22" t="n"/>
      <c r="G20" s="22" t="n"/>
    </row>
    <row r="21" ht="15" customHeight="1" s="366">
      <c r="A21" s="22" t="n"/>
      <c r="B21" s="22" t="inlineStr">
        <is>
          <t>per Lt Cost With Manjira</t>
        </is>
      </c>
      <c r="C21" s="22" t="n"/>
      <c r="D21" s="22">
        <f>B24/D20</f>
        <v/>
      </c>
      <c r="E21" s="41" t="n"/>
      <c r="F21" s="22" t="n"/>
      <c r="G21" s="22" t="n"/>
    </row>
    <row r="22" ht="15.75" customHeight="1" s="366">
      <c r="A22" s="22" t="n"/>
      <c r="B22" s="22" t="n"/>
      <c r="C22" s="22" t="n"/>
      <c r="D22" s="22" t="n"/>
      <c r="E22" s="41" t="n"/>
      <c r="F22" s="22" t="n"/>
      <c r="G22" s="22" t="n"/>
    </row>
    <row r="23" ht="15.75" customHeight="1" s="366">
      <c r="A23" s="22" t="n"/>
      <c r="B23" s="22" t="n"/>
      <c r="C23" s="22" t="n"/>
      <c r="D23" s="22" t="n"/>
      <c r="E23" s="41" t="n"/>
      <c r="F23" s="22" t="n"/>
      <c r="G23" s="22" t="n"/>
    </row>
    <row r="24" ht="15.75" customHeight="1" s="366">
      <c r="A24" s="22" t="inlineStr">
        <is>
          <t>Total Water Bill</t>
        </is>
      </c>
      <c r="B24" s="30" t="n">
        <v>2044</v>
      </c>
      <c r="C24" s="30" t="n"/>
      <c r="D24" s="22" t="n"/>
      <c r="E24" s="41" t="n"/>
      <c r="F24" s="22" t="n"/>
      <c r="G24" s="22" t="n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I51"/>
  <sheetViews>
    <sheetView topLeftCell="A25" workbookViewId="0">
      <selection activeCell="A37" activeCellId="1" sqref="A11:C11 A37:C37"/>
    </sheetView>
  </sheetViews>
  <sheetFormatPr baseColWidth="8" defaultColWidth="14.42578125" defaultRowHeight="15" customHeight="1"/>
  <cols>
    <col width="11.7109375" customWidth="1" style="366" min="1" max="1"/>
    <col width="12.5703125" customWidth="1" style="366" min="2" max="2"/>
    <col width="12.85546875" customWidth="1" style="366" min="3" max="3"/>
    <col width="12.28515625" customWidth="1" style="366" min="4" max="4"/>
    <col width="12.42578125" customWidth="1" style="366" min="5" max="5"/>
    <col width="16.28515625" customWidth="1" style="366" min="6" max="6"/>
    <col width="16.5703125" customWidth="1" style="366" min="7" max="7"/>
    <col width="22.42578125" customWidth="1" style="366" min="8" max="8"/>
    <col width="7.5703125" customWidth="1" style="366" min="9" max="9"/>
  </cols>
  <sheetData>
    <row r="2" ht="15" customHeight="1" s="366">
      <c r="A2" s="27" t="inlineStr">
        <is>
          <t>Flat Number</t>
        </is>
      </c>
      <c r="B2" s="27" t="inlineStr">
        <is>
          <t>Previous Meter Reading</t>
        </is>
      </c>
      <c r="C2" s="27" t="inlineStr">
        <is>
          <t>Curret Meter Reading</t>
        </is>
      </c>
      <c r="D2" s="27" t="inlineStr">
        <is>
          <t>Total Units</t>
        </is>
      </c>
      <c r="E2" s="37" t="inlineStr">
        <is>
          <t>Water Bill</t>
        </is>
      </c>
      <c r="F2" s="22" t="inlineStr">
        <is>
          <t>CommonMaintanence</t>
        </is>
      </c>
      <c r="G2" s="22" t="inlineStr">
        <is>
          <t>Total to Pay</t>
        </is>
      </c>
    </row>
    <row r="3" ht="15" customHeight="1" s="366">
      <c r="A3" s="29" t="inlineStr">
        <is>
          <t>G1</t>
        </is>
      </c>
      <c r="B3" s="30" t="n">
        <v>0.99</v>
      </c>
      <c r="C3" s="30" t="n">
        <v>0.99</v>
      </c>
      <c r="D3" s="44">
        <f>(C3-B3)*1000</f>
        <v/>
      </c>
      <c r="E3" s="38">
        <f>ROUND(D3*D21,0)</f>
        <v/>
      </c>
      <c r="F3" s="22" t="n">
        <v>600</v>
      </c>
      <c r="G3" s="22">
        <f>SUM(E3:F3)</f>
        <v/>
      </c>
    </row>
    <row r="4" ht="15" customHeight="1" s="366">
      <c r="A4" s="29" t="inlineStr">
        <is>
          <t>G2</t>
        </is>
      </c>
      <c r="B4" s="30" t="n">
        <v>1.26</v>
      </c>
      <c r="C4" s="30" t="n">
        <v>4.1</v>
      </c>
      <c r="D4" s="22">
        <f>(C4-B4)*1000</f>
        <v/>
      </c>
      <c r="E4" s="38">
        <f>ROUND(D4*D21,0)</f>
        <v/>
      </c>
      <c r="F4" s="22" t="n">
        <v>600</v>
      </c>
      <c r="G4" s="22">
        <f>SUM(E4:F4)</f>
        <v/>
      </c>
    </row>
    <row r="5" ht="15" customHeight="1" s="366">
      <c r="A5" s="32" t="inlineStr">
        <is>
          <t>G3</t>
        </is>
      </c>
      <c r="B5" s="33" t="n">
        <v>71.15000000000001</v>
      </c>
      <c r="C5" s="33" t="n">
        <v>72.51000000000001</v>
      </c>
      <c r="D5" s="22">
        <f>(C5-B5)*1000</f>
        <v/>
      </c>
      <c r="E5" s="39">
        <f>ROUND(D5*D21,0)</f>
        <v/>
      </c>
      <c r="F5" s="22" t="n">
        <v>600</v>
      </c>
      <c r="G5" s="22">
        <f>SUM(E5:F5)</f>
        <v/>
      </c>
    </row>
    <row r="6" ht="15" customHeight="1" s="366">
      <c r="A6" s="32" t="inlineStr">
        <is>
          <t>G4</t>
        </is>
      </c>
      <c r="B6" s="33" t="n">
        <v>51.15</v>
      </c>
      <c r="C6" s="33" t="n">
        <v>59.22</v>
      </c>
      <c r="D6" s="22">
        <f>(C6-B6)*1000</f>
        <v/>
      </c>
      <c r="E6" s="39">
        <f>ROUND(D6*D21,0)</f>
        <v/>
      </c>
      <c r="F6" s="22" t="n">
        <v>600</v>
      </c>
      <c r="G6" s="22">
        <f>SUM(E6:F6)</f>
        <v/>
      </c>
    </row>
    <row r="7" ht="15" customHeight="1" s="366">
      <c r="A7" s="29" t="n">
        <v>101</v>
      </c>
      <c r="B7" s="30" t="n">
        <v>0.38</v>
      </c>
      <c r="C7" s="30" t="n">
        <v>0.38</v>
      </c>
      <c r="D7" s="22">
        <f>(C7-B7)*1000</f>
        <v/>
      </c>
      <c r="E7" s="38">
        <f>ROUND(D7*D21,0)</f>
        <v/>
      </c>
      <c r="F7" s="22" t="n">
        <v>600</v>
      </c>
      <c r="G7" s="22">
        <f>SUM(E7:F7)</f>
        <v/>
      </c>
    </row>
    <row r="8" ht="15" customHeight="1" s="366">
      <c r="A8" s="32" t="n">
        <v>102</v>
      </c>
      <c r="B8" s="33" t="n">
        <v>97.48999999999999</v>
      </c>
      <c r="C8" s="33" t="n">
        <v>109.4</v>
      </c>
      <c r="D8" s="22">
        <f>(C8-B8)*1000</f>
        <v/>
      </c>
      <c r="E8" s="39">
        <f>ROUND(D8*D21,0)</f>
        <v/>
      </c>
      <c r="F8" s="22" t="n">
        <v>600</v>
      </c>
      <c r="G8" s="22">
        <f>SUM(E8:F8)</f>
        <v/>
      </c>
    </row>
    <row r="9" ht="15" customHeight="1" s="366">
      <c r="A9" s="29" t="n">
        <v>103</v>
      </c>
      <c r="B9" s="30" t="n">
        <v>0.82</v>
      </c>
      <c r="C9" s="30" t="n">
        <v>0.82</v>
      </c>
      <c r="D9" s="22">
        <f>(C9-B9)*1000</f>
        <v/>
      </c>
      <c r="E9" s="38">
        <f>ROUND(D9*D21,0)</f>
        <v/>
      </c>
      <c r="F9" s="22" t="n">
        <v>600</v>
      </c>
      <c r="G9" s="22">
        <f>SUM(E9:F9)</f>
        <v/>
      </c>
    </row>
    <row r="10" ht="15" customHeight="1" s="366">
      <c r="A10" s="32" t="n">
        <v>104</v>
      </c>
      <c r="B10" s="45" t="n">
        <v>18.85</v>
      </c>
      <c r="C10" s="45" t="n">
        <v>32.22</v>
      </c>
      <c r="D10" s="22">
        <f>(C10-B10)*1000</f>
        <v/>
      </c>
      <c r="E10" s="39">
        <f>ROUND(D10*D21,0)</f>
        <v/>
      </c>
      <c r="F10" s="22" t="n">
        <v>600</v>
      </c>
      <c r="G10" s="22">
        <f>SUM(E10:F10)</f>
        <v/>
      </c>
    </row>
    <row r="11" ht="15" customHeight="1" s="366">
      <c r="A11" s="267" t="n">
        <v>201</v>
      </c>
      <c r="B11" s="268" t="n">
        <v>1.53</v>
      </c>
      <c r="C11" s="268" t="n">
        <v>1.53</v>
      </c>
      <c r="D11" s="22">
        <f>(C11-B11)*1000</f>
        <v/>
      </c>
      <c r="E11" s="38">
        <f>ROUND(D11*D21,0)</f>
        <v/>
      </c>
      <c r="F11" s="22" t="n">
        <v>600</v>
      </c>
      <c r="G11" s="22">
        <f>SUM(E11:F11)</f>
        <v/>
      </c>
    </row>
    <row r="12" ht="15" customHeight="1" s="366">
      <c r="A12" s="32" t="n">
        <v>202</v>
      </c>
      <c r="B12" s="33" t="n">
        <v>60.08</v>
      </c>
      <c r="C12" s="33" t="n">
        <v>67.06999999999999</v>
      </c>
      <c r="D12" s="22">
        <f>(C12-B12)*1000</f>
        <v/>
      </c>
      <c r="E12" s="39">
        <f>ROUND(D12*D21,0)</f>
        <v/>
      </c>
      <c r="F12" s="22" t="n">
        <v>600</v>
      </c>
      <c r="G12" s="22">
        <f>SUM(E12:F12)</f>
        <v/>
      </c>
    </row>
    <row r="13" ht="15" customHeight="1" s="366">
      <c r="A13" s="29" t="n">
        <v>203</v>
      </c>
      <c r="B13" s="30" t="n">
        <v>8.26</v>
      </c>
      <c r="C13" s="30" t="n">
        <v>14.76</v>
      </c>
      <c r="D13" s="22">
        <f>(C13-B13)*1000</f>
        <v/>
      </c>
      <c r="E13" s="38">
        <f>ROUND(D13*D21,0)</f>
        <v/>
      </c>
      <c r="F13" s="22" t="n">
        <v>600</v>
      </c>
      <c r="G13" s="22">
        <f>SUM(E13:F13)</f>
        <v/>
      </c>
    </row>
    <row r="14" ht="15" customHeight="1" s="366">
      <c r="A14" s="29" t="n">
        <v>204</v>
      </c>
      <c r="B14" s="30" t="n">
        <v>0.42</v>
      </c>
      <c r="C14" s="30" t="n">
        <v>3.93</v>
      </c>
      <c r="D14" s="22">
        <f>(C14-B14)*1000</f>
        <v/>
      </c>
      <c r="E14" s="38">
        <f>ROUND(D14*D21,0)</f>
        <v/>
      </c>
      <c r="F14" s="22" t="n">
        <v>600</v>
      </c>
      <c r="G14" s="22">
        <f>SUM(E14:F14)</f>
        <v/>
      </c>
    </row>
    <row r="15" ht="15" customHeight="1" s="366">
      <c r="A15" s="29" t="n">
        <v>301</v>
      </c>
      <c r="B15" s="30" t="n">
        <v>0.38</v>
      </c>
      <c r="C15" s="30" t="n">
        <v>0.38</v>
      </c>
      <c r="D15" s="22">
        <f>(C15-B15)*1000</f>
        <v/>
      </c>
      <c r="E15" s="38">
        <f>ROUND(D15*D21,0)</f>
        <v/>
      </c>
      <c r="F15" s="22" t="n">
        <v>600</v>
      </c>
      <c r="G15" s="22">
        <f>SUM(E15:F15)</f>
        <v/>
      </c>
    </row>
    <row r="16" ht="15" customHeight="1" s="366">
      <c r="A16" s="29" t="n">
        <v>302</v>
      </c>
      <c r="B16" s="30" t="n">
        <v>0.38</v>
      </c>
      <c r="C16" s="30" t="n">
        <v>0.38</v>
      </c>
      <c r="D16" s="22">
        <f>(C16-B16)*1000</f>
        <v/>
      </c>
      <c r="E16" s="38">
        <f>ROUND(D16*D21,0)</f>
        <v/>
      </c>
      <c r="F16" s="22" t="n">
        <v>600</v>
      </c>
      <c r="G16" s="22">
        <f>SUM(E16:F16)</f>
        <v/>
      </c>
    </row>
    <row r="17" ht="15" customHeight="1" s="366">
      <c r="A17" s="32" t="n">
        <v>303</v>
      </c>
      <c r="B17" s="33" t="n">
        <v>146.62</v>
      </c>
      <c r="C17" s="33" t="n">
        <v>166.1</v>
      </c>
      <c r="D17" s="22">
        <f>(C17-B17)*1000</f>
        <v/>
      </c>
      <c r="E17" s="39">
        <f>ROUND(D17*D21,0)</f>
        <v/>
      </c>
      <c r="F17" s="22" t="n">
        <v>600</v>
      </c>
      <c r="G17" s="22">
        <f>SUM(E17:F17)</f>
        <v/>
      </c>
    </row>
    <row r="18" ht="15" customHeight="1" s="366">
      <c r="A18" s="29" t="n">
        <v>304</v>
      </c>
      <c r="B18" s="30" t="n">
        <v>0.59</v>
      </c>
      <c r="C18" s="30" t="n">
        <v>0.59</v>
      </c>
      <c r="D18" s="22">
        <f>(C18-B18)*1000</f>
        <v/>
      </c>
      <c r="E18" s="38">
        <f>ROUND(D18*D21,0)</f>
        <v/>
      </c>
      <c r="F18" s="22" t="n">
        <v>600</v>
      </c>
      <c r="G18" s="22">
        <f>SUM(E18:F18)</f>
        <v/>
      </c>
    </row>
    <row r="19" ht="15" customHeight="1" s="366">
      <c r="A19" s="22" t="n"/>
      <c r="B19" s="22" t="n"/>
      <c r="C19" s="22" t="n"/>
      <c r="D19" s="22" t="n"/>
      <c r="E19" s="40" t="n">
        <v>1000</v>
      </c>
      <c r="F19" s="27">
        <f>SUM(F3:F18)</f>
        <v/>
      </c>
      <c r="G19" s="22">
        <f>SUM(E19:F19)</f>
        <v/>
      </c>
    </row>
    <row r="20" ht="15" customHeight="1" s="366">
      <c r="A20" s="22" t="n"/>
      <c r="B20" s="22" t="inlineStr">
        <is>
          <t>Total Usage Units</t>
        </is>
      </c>
      <c r="C20" s="22" t="n"/>
      <c r="D20" s="44">
        <f>SUM(D3:D19)</f>
        <v/>
      </c>
      <c r="E20" s="41" t="n"/>
      <c r="F20" s="22" t="n"/>
      <c r="G20" s="22" t="n"/>
    </row>
    <row r="21" ht="15" customHeight="1" s="366">
      <c r="A21" s="22" t="n"/>
      <c r="B21" s="22" t="inlineStr">
        <is>
          <t>per Lt Cost With Manjira</t>
        </is>
      </c>
      <c r="C21" s="22" t="n"/>
      <c r="D21" s="22">
        <f>B24/D20</f>
        <v/>
      </c>
      <c r="E21" s="41" t="n"/>
      <c r="F21" s="22" t="n"/>
      <c r="G21" s="22" t="n"/>
    </row>
    <row r="22" ht="15.75" customHeight="1" s="366">
      <c r="A22" s="22" t="n"/>
      <c r="B22" s="22" t="n"/>
      <c r="C22" s="22" t="n"/>
      <c r="D22" s="22" t="n"/>
      <c r="E22" s="41" t="n"/>
      <c r="F22" s="22" t="n"/>
      <c r="G22" s="22" t="n"/>
    </row>
    <row r="23" ht="15.75" customHeight="1" s="366">
      <c r="A23" s="22" t="n"/>
      <c r="B23" s="22" t="n"/>
      <c r="C23" s="22" t="n"/>
      <c r="D23" s="22" t="n"/>
      <c r="E23" s="41" t="n"/>
      <c r="F23" s="22" t="n"/>
      <c r="G23" s="22" t="n"/>
    </row>
    <row r="24" ht="15.75" customHeight="1" s="366">
      <c r="A24" s="22" t="inlineStr">
        <is>
          <t>Total Water Bill</t>
        </is>
      </c>
      <c r="B24" s="30" t="n">
        <v>1000</v>
      </c>
      <c r="C24" s="30" t="n"/>
      <c r="D24" s="22" t="n"/>
      <c r="E24" s="41" t="n"/>
      <c r="F24" s="22" t="n"/>
      <c r="G24" s="22" t="n"/>
    </row>
    <row r="25" ht="15.75" customHeight="1" s="366">
      <c r="A25" s="1" t="inlineStr">
        <is>
          <t xml:space="preserve">WATER Tanker </t>
        </is>
      </c>
      <c r="C25" s="1" t="n">
        <v>1000</v>
      </c>
    </row>
    <row r="26" ht="15.75" customHeight="1" s="366">
      <c r="A26" s="46" t="n"/>
      <c r="B26" s="46" t="n"/>
      <c r="C26" s="46" t="n"/>
      <c r="D26" s="46" t="n"/>
      <c r="E26" s="46" t="n"/>
      <c r="F26" s="46" t="n"/>
      <c r="G26" s="46" t="n"/>
    </row>
    <row r="27" ht="15.75" customHeight="1" s="366"/>
    <row r="28" ht="15.75" customHeight="1" s="366">
      <c r="A28" s="27" t="inlineStr">
        <is>
          <t>Flat Number</t>
        </is>
      </c>
      <c r="B28" s="27" t="inlineStr">
        <is>
          <t>Previous Meter Reading</t>
        </is>
      </c>
      <c r="C28" s="27" t="inlineStr">
        <is>
          <t>Curret Meter Reading</t>
        </is>
      </c>
      <c r="D28" s="27" t="inlineStr">
        <is>
          <t>Total Units</t>
        </is>
      </c>
      <c r="E28" s="37" t="inlineStr">
        <is>
          <t>Water Bill</t>
        </is>
      </c>
      <c r="F28" s="22" t="inlineStr">
        <is>
          <t>CommonMaintanence</t>
        </is>
      </c>
      <c r="G28" s="22" t="inlineStr">
        <is>
          <t>Total to Pay</t>
        </is>
      </c>
      <c r="H28" s="1" t="inlineStr">
        <is>
          <t>Prev calc</t>
        </is>
      </c>
      <c r="I28" s="1" t="inlineStr">
        <is>
          <t>Diff</t>
        </is>
      </c>
    </row>
    <row r="29" ht="15.75" customHeight="1" s="366">
      <c r="A29" s="29" t="inlineStr">
        <is>
          <t>G1</t>
        </is>
      </c>
      <c r="B29" s="30" t="n">
        <v>0.99</v>
      </c>
      <c r="C29" s="30" t="n">
        <v>0.99</v>
      </c>
      <c r="D29" s="44">
        <f>(C29-B29)*1000</f>
        <v/>
      </c>
      <c r="E29" s="38">
        <f>ROUND(D29*D47,0)</f>
        <v/>
      </c>
      <c r="F29" s="22" t="n">
        <v>600</v>
      </c>
      <c r="G29" s="22">
        <f>SUM(E29:F29)</f>
        <v/>
      </c>
      <c r="H29" s="22" t="n">
        <v>600</v>
      </c>
      <c r="I29" s="1">
        <f>G29-H29</f>
        <v/>
      </c>
    </row>
    <row r="30" ht="15.75" customHeight="1" s="366">
      <c r="A30" s="29" t="inlineStr">
        <is>
          <t>G2</t>
        </is>
      </c>
      <c r="B30" s="30" t="n">
        <v>1.26</v>
      </c>
      <c r="C30" s="30" t="n">
        <v>4.1</v>
      </c>
      <c r="D30" s="22">
        <f>(C30-B30)*1000</f>
        <v/>
      </c>
      <c r="E30" s="38">
        <f>ROUND(D30*D47,0)</f>
        <v/>
      </c>
      <c r="F30" s="22" t="n">
        <v>600</v>
      </c>
      <c r="G30" s="22">
        <f>SUM(E30:F30)</f>
        <v/>
      </c>
      <c r="H30" s="22" t="n">
        <v>638</v>
      </c>
      <c r="I30" s="1">
        <f>G30-H30</f>
        <v/>
      </c>
    </row>
    <row r="31" ht="15.75" customHeight="1" s="366">
      <c r="A31" s="32" t="inlineStr">
        <is>
          <t>G3</t>
        </is>
      </c>
      <c r="B31" s="33" t="n">
        <v>71.15000000000001</v>
      </c>
      <c r="C31" s="33" t="n">
        <v>72.51000000000001</v>
      </c>
      <c r="D31" s="22">
        <f>(C31-B31)*1000</f>
        <v/>
      </c>
      <c r="E31" s="39">
        <f>ROUND(D31*D47,0)</f>
        <v/>
      </c>
      <c r="F31" s="22" t="n">
        <v>600</v>
      </c>
      <c r="G31" s="22">
        <f>SUM(E31:F31)</f>
        <v/>
      </c>
      <c r="H31" s="22" t="n">
        <v>618</v>
      </c>
      <c r="I31" s="1">
        <f>G31-H31</f>
        <v/>
      </c>
    </row>
    <row r="32" ht="15.75" customHeight="1" s="366">
      <c r="A32" s="32" t="inlineStr">
        <is>
          <t>G4</t>
        </is>
      </c>
      <c r="B32" s="33" t="n">
        <v>51.15</v>
      </c>
      <c r="C32" s="33" t="n">
        <v>59.22</v>
      </c>
      <c r="D32" s="22">
        <f>(C32-B32)*1000</f>
        <v/>
      </c>
      <c r="E32" s="39">
        <f>ROUND(D32*D47,0)</f>
        <v/>
      </c>
      <c r="F32" s="22" t="n">
        <v>600</v>
      </c>
      <c r="G32" s="22">
        <f>SUM(E32:F32)</f>
        <v/>
      </c>
      <c r="H32" s="22" t="n">
        <v>709</v>
      </c>
      <c r="I32" s="1">
        <f>G32-H32</f>
        <v/>
      </c>
    </row>
    <row r="33" ht="15.75" customHeight="1" s="366">
      <c r="A33" s="29" t="n">
        <v>101</v>
      </c>
      <c r="B33" s="30" t="n">
        <v>0.38</v>
      </c>
      <c r="C33" s="30" t="n">
        <v>0.38</v>
      </c>
      <c r="D33" s="22">
        <f>(C33-B33)*1000</f>
        <v/>
      </c>
      <c r="E33" s="38">
        <f>ROUND(D33*D47,0)</f>
        <v/>
      </c>
      <c r="F33" s="22" t="n">
        <v>600</v>
      </c>
      <c r="G33" s="22">
        <f>SUM(E33:F33)</f>
        <v/>
      </c>
      <c r="H33" s="22" t="n">
        <v>600</v>
      </c>
      <c r="I33" s="1">
        <f>G33-H33</f>
        <v/>
      </c>
    </row>
    <row r="34" ht="15.75" customHeight="1" s="366">
      <c r="A34" s="32" t="n">
        <v>102</v>
      </c>
      <c r="B34" s="33" t="n">
        <v>97.48999999999999</v>
      </c>
      <c r="C34" s="33" t="n">
        <v>109.4</v>
      </c>
      <c r="D34" s="22">
        <f>(C34-B34)*1000</f>
        <v/>
      </c>
      <c r="E34" s="39">
        <f>ROUND(D34*D47,0)</f>
        <v/>
      </c>
      <c r="F34" s="22" t="n">
        <v>600</v>
      </c>
      <c r="G34" s="22">
        <f>SUM(E34:F34)</f>
        <v/>
      </c>
      <c r="H34" s="22" t="n">
        <v>761</v>
      </c>
      <c r="I34" s="1">
        <f>G34-H34</f>
        <v/>
      </c>
    </row>
    <row r="35" ht="15.75" customHeight="1" s="366">
      <c r="A35" s="29" t="n">
        <v>103</v>
      </c>
      <c r="B35" s="30" t="n">
        <v>0.82</v>
      </c>
      <c r="C35" s="30" t="n">
        <v>0.82</v>
      </c>
      <c r="D35" s="22">
        <f>(C35-B35)*1000</f>
        <v/>
      </c>
      <c r="E35" s="38">
        <f>ROUND(D35*D47,0)</f>
        <v/>
      </c>
      <c r="F35" s="22" t="n">
        <v>600</v>
      </c>
      <c r="G35" s="22">
        <f>SUM(E35:F35)</f>
        <v/>
      </c>
      <c r="H35" s="22" t="n">
        <v>600</v>
      </c>
      <c r="I35" s="1">
        <f>G35-H35</f>
        <v/>
      </c>
    </row>
    <row r="36" ht="15.75" customHeight="1" s="366">
      <c r="A36" s="32" t="n">
        <v>104</v>
      </c>
      <c r="B36" s="45" t="n">
        <v>18.85</v>
      </c>
      <c r="C36" s="45" t="n">
        <v>32.22</v>
      </c>
      <c r="D36" s="22">
        <f>(C36-B36)*1000</f>
        <v/>
      </c>
      <c r="E36" s="39">
        <f>ROUND(D36*D47,0)</f>
        <v/>
      </c>
      <c r="F36" s="22" t="n">
        <v>600</v>
      </c>
      <c r="G36" s="22">
        <f>SUM(E36:F36)</f>
        <v/>
      </c>
      <c r="H36" s="22" t="n">
        <v>781</v>
      </c>
      <c r="I36" s="1">
        <f>G36-H36</f>
        <v/>
      </c>
    </row>
    <row r="37" ht="15.75" customHeight="1" s="366">
      <c r="A37" s="267" t="n">
        <v>201</v>
      </c>
      <c r="B37" s="268" t="n">
        <v>1.53</v>
      </c>
      <c r="C37" s="268" t="n">
        <v>1.53</v>
      </c>
      <c r="D37" s="22">
        <f>(C37-B37)*1000</f>
        <v/>
      </c>
      <c r="E37" s="38">
        <f>ROUND(D37*D47,0)</f>
        <v/>
      </c>
      <c r="F37" s="22" t="n">
        <v>600</v>
      </c>
      <c r="G37" s="22">
        <f>SUM(E37:F37)</f>
        <v/>
      </c>
      <c r="H37" s="22" t="n">
        <v>600</v>
      </c>
      <c r="I37" s="1">
        <f>G37-H37</f>
        <v/>
      </c>
    </row>
    <row r="38" ht="15.75" customHeight="1" s="366">
      <c r="A38" s="32" t="n">
        <v>202</v>
      </c>
      <c r="B38" s="33" t="n">
        <v>60.08</v>
      </c>
      <c r="C38" s="33" t="n">
        <v>67.06999999999999</v>
      </c>
      <c r="D38" s="22">
        <f>(C38-B38)*1000</f>
        <v/>
      </c>
      <c r="E38" s="39">
        <f>ROUND(D38*D47,0)</f>
        <v/>
      </c>
      <c r="F38" s="22" t="n">
        <v>600</v>
      </c>
      <c r="G38" s="22">
        <f>SUM(E38:F38)</f>
        <v/>
      </c>
      <c r="H38" s="22" t="n">
        <v>694</v>
      </c>
      <c r="I38" s="1">
        <f>G38-H38</f>
        <v/>
      </c>
    </row>
    <row r="39" ht="15.75" customHeight="1" s="366">
      <c r="A39" s="29" t="n">
        <v>203</v>
      </c>
      <c r="B39" s="30" t="n">
        <v>8.26</v>
      </c>
      <c r="C39" s="30" t="n">
        <v>14.76</v>
      </c>
      <c r="D39" s="22">
        <f>(C39-B39)*1000</f>
        <v/>
      </c>
      <c r="E39" s="38">
        <f>ROUND(D39*D47,0)</f>
        <v/>
      </c>
      <c r="F39" s="22" t="n">
        <v>600</v>
      </c>
      <c r="G39" s="22">
        <f>SUM(E39:F39)</f>
        <v/>
      </c>
      <c r="H39" s="22" t="n">
        <v>688</v>
      </c>
      <c r="I39" s="1">
        <f>G39-H39</f>
        <v/>
      </c>
    </row>
    <row r="40" ht="15.75" customHeight="1" s="366">
      <c r="A40" s="29" t="n">
        <v>204</v>
      </c>
      <c r="B40" s="30" t="n">
        <v>0.42</v>
      </c>
      <c r="C40" s="30" t="n">
        <v>3.93</v>
      </c>
      <c r="D40" s="22">
        <f>(C40-B40)*1000</f>
        <v/>
      </c>
      <c r="E40" s="38">
        <f>ROUND(D40*D47,0)</f>
        <v/>
      </c>
      <c r="F40" s="22" t="n">
        <v>600</v>
      </c>
      <c r="G40" s="22">
        <f>SUM(E40:F40)</f>
        <v/>
      </c>
      <c r="H40" s="22" t="n">
        <v>647</v>
      </c>
      <c r="I40" s="1">
        <f>G40-H40</f>
        <v/>
      </c>
    </row>
    <row r="41" ht="15.75" customHeight="1" s="366">
      <c r="A41" s="29" t="n">
        <v>301</v>
      </c>
      <c r="B41" s="30" t="n">
        <v>0.38</v>
      </c>
      <c r="C41" s="30" t="n">
        <v>0.38</v>
      </c>
      <c r="D41" s="22">
        <f>(C41-B41)*1000</f>
        <v/>
      </c>
      <c r="E41" s="38">
        <f>ROUND(D41*D47,0)</f>
        <v/>
      </c>
      <c r="F41" s="22" t="n">
        <v>600</v>
      </c>
      <c r="G41" s="22">
        <f>SUM(E41:F41)</f>
        <v/>
      </c>
      <c r="H41" s="22" t="n">
        <v>600</v>
      </c>
      <c r="I41" s="1">
        <f>G41-H41</f>
        <v/>
      </c>
    </row>
    <row r="42" ht="15.75" customHeight="1" s="366">
      <c r="A42" s="29" t="n">
        <v>302</v>
      </c>
      <c r="B42" s="30" t="n">
        <v>0.38</v>
      </c>
      <c r="C42" s="30" t="n">
        <v>0.38</v>
      </c>
      <c r="D42" s="22">
        <f>(C42-B42)*1000</f>
        <v/>
      </c>
      <c r="E42" s="38">
        <f>ROUND(D42*D47,0)</f>
        <v/>
      </c>
      <c r="F42" s="22" t="n">
        <v>600</v>
      </c>
      <c r="G42" s="22">
        <f>SUM(E42:F42)</f>
        <v/>
      </c>
      <c r="H42" s="22" t="n">
        <v>600</v>
      </c>
      <c r="I42" s="1">
        <f>G42-H42</f>
        <v/>
      </c>
    </row>
    <row r="43" ht="15.75" customHeight="1" s="366">
      <c r="A43" s="32" t="n">
        <v>303</v>
      </c>
      <c r="B43" s="33" t="n">
        <v>146.62</v>
      </c>
      <c r="C43" s="33" t="n">
        <v>166.1</v>
      </c>
      <c r="D43" s="22">
        <f>(C43-B43)*1000</f>
        <v/>
      </c>
      <c r="E43" s="39">
        <f>ROUND(D43*D47,0)</f>
        <v/>
      </c>
      <c r="F43" s="22" t="n">
        <v>600</v>
      </c>
      <c r="G43" s="22">
        <f>SUM(E43:F43)</f>
        <v/>
      </c>
      <c r="H43" s="22" t="n">
        <v>863</v>
      </c>
      <c r="I43" s="1">
        <f>G43-H43</f>
        <v/>
      </c>
    </row>
    <row r="44" ht="15.75" customHeight="1" s="366">
      <c r="A44" s="29" t="n">
        <v>304</v>
      </c>
      <c r="B44" s="30" t="n">
        <v>0.59</v>
      </c>
      <c r="C44" s="30" t="n">
        <v>0.59</v>
      </c>
      <c r="D44" s="22">
        <f>(C44-B44)*1000</f>
        <v/>
      </c>
      <c r="E44" s="38">
        <f>ROUND(D44*D47,0)</f>
        <v/>
      </c>
      <c r="F44" s="22" t="n">
        <v>600</v>
      </c>
      <c r="G44" s="22">
        <f>SUM(E44:F44)</f>
        <v/>
      </c>
      <c r="H44" s="22" t="n">
        <v>600</v>
      </c>
      <c r="I44" s="1">
        <f>G44-H44</f>
        <v/>
      </c>
    </row>
    <row r="45" ht="15.75" customHeight="1" s="366">
      <c r="A45" s="22" t="n"/>
      <c r="B45" s="22" t="n"/>
      <c r="C45" s="22" t="n"/>
      <c r="D45" s="22" t="n"/>
      <c r="E45" s="40" t="n">
        <v>1000</v>
      </c>
      <c r="F45" s="27">
        <f>SUM(F29:F44)</f>
        <v/>
      </c>
      <c r="G45" s="22">
        <f>SUM(G29:G44)</f>
        <v/>
      </c>
      <c r="H45" s="22" t="n">
        <v>10600</v>
      </c>
      <c r="I45" s="1">
        <f>G45-H45</f>
        <v/>
      </c>
    </row>
    <row r="46" ht="15.75" customHeight="1" s="366">
      <c r="A46" s="22" t="n"/>
      <c r="B46" s="22" t="inlineStr">
        <is>
          <t>Total Usage Units</t>
        </is>
      </c>
      <c r="C46" s="22" t="n"/>
      <c r="D46" s="44">
        <f>SUM(D29:D45)</f>
        <v/>
      </c>
      <c r="E46" s="41" t="n"/>
      <c r="F46" s="22" t="n"/>
      <c r="G46" s="22" t="n"/>
    </row>
    <row r="47" ht="15.75" customHeight="1" s="366">
      <c r="A47" s="22" t="n"/>
      <c r="B47" s="22" t="inlineStr">
        <is>
          <t>per Lt Cost With Manjira</t>
        </is>
      </c>
      <c r="C47" s="22" t="n"/>
      <c r="D47" s="22">
        <f>B50/D46</f>
        <v/>
      </c>
      <c r="E47" s="41" t="n"/>
      <c r="F47" s="22" t="n"/>
      <c r="G47" s="22" t="n"/>
    </row>
    <row r="50" ht="15.75" customHeight="1" s="366">
      <c r="A50" s="22" t="inlineStr">
        <is>
          <t>Total Water Bill</t>
        </is>
      </c>
      <c r="B50" s="30">
        <f>1000+2044</f>
        <v/>
      </c>
      <c r="C50" s="30" t="n"/>
    </row>
    <row r="51" ht="15.75" customHeight="1" s="366">
      <c r="A51" s="1" t="inlineStr">
        <is>
          <t xml:space="preserve">WATER Tanker </t>
        </is>
      </c>
      <c r="C51" s="1" t="n">
        <v>1000</v>
      </c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I51"/>
  <sheetViews>
    <sheetView topLeftCell="A26" workbookViewId="0">
      <selection activeCell="A37" activeCellId="1" sqref="A11:C11 A37:C37"/>
    </sheetView>
  </sheetViews>
  <sheetFormatPr baseColWidth="8" defaultColWidth="14.42578125" defaultRowHeight="15" customHeight="1"/>
  <cols>
    <col width="11.7109375" customWidth="1" style="366" min="1" max="1"/>
    <col width="19.140625" customWidth="1" style="366" min="2" max="2"/>
    <col width="17.7109375" customWidth="1" style="366" min="3" max="3"/>
    <col width="10.42578125" customWidth="1" style="366" min="4" max="4"/>
    <col width="13.28515625" customWidth="1" style="366" min="5" max="5"/>
    <col width="16.85546875" customWidth="1" style="366" min="6" max="6"/>
    <col width="11.42578125" customWidth="1" style="366" min="7" max="7"/>
    <col width="7.5703125" customWidth="1" style="366" min="8" max="9"/>
  </cols>
  <sheetData>
    <row r="2">
      <c r="A2" s="27" t="inlineStr">
        <is>
          <t>Flat Number</t>
        </is>
      </c>
      <c r="B2" s="27" t="inlineStr">
        <is>
          <t>Previous Meter Reading</t>
        </is>
      </c>
      <c r="C2" s="27" t="inlineStr">
        <is>
          <t>Curret Meter Reading</t>
        </is>
      </c>
      <c r="D2" s="27" t="inlineStr">
        <is>
          <t>Total Units</t>
        </is>
      </c>
      <c r="E2" s="37" t="inlineStr">
        <is>
          <t>Water Bill</t>
        </is>
      </c>
      <c r="F2" s="22" t="inlineStr">
        <is>
          <t>CommonMaintanence</t>
        </is>
      </c>
      <c r="G2" s="22" t="inlineStr">
        <is>
          <t>Total to Pay</t>
        </is>
      </c>
    </row>
    <row r="3">
      <c r="A3" s="29" t="inlineStr">
        <is>
          <t>G1</t>
        </is>
      </c>
      <c r="B3" s="30" t="n">
        <v>0.99</v>
      </c>
      <c r="C3" s="30" t="n">
        <v>0.99</v>
      </c>
      <c r="D3" s="44">
        <f>(C3-B3)*1000</f>
        <v/>
      </c>
      <c r="E3" s="38">
        <f>ROUND(D3*D21,0)</f>
        <v/>
      </c>
      <c r="F3" s="22" t="n">
        <v>600</v>
      </c>
      <c r="G3" s="22">
        <f>SUM(E3:F3)</f>
        <v/>
      </c>
    </row>
    <row r="4">
      <c r="A4" s="29" t="inlineStr">
        <is>
          <t>G2</t>
        </is>
      </c>
      <c r="B4" s="30" t="n">
        <v>4.1</v>
      </c>
      <c r="C4" s="30" t="n">
        <v>12.49</v>
      </c>
      <c r="D4" s="22">
        <f>(C4-B4)*1000</f>
        <v/>
      </c>
      <c r="E4" s="38">
        <f>ROUND(D4*D21,0)</f>
        <v/>
      </c>
      <c r="F4" s="22" t="n">
        <v>1000</v>
      </c>
      <c r="G4" s="22">
        <f>SUM(E4:F4)</f>
        <v/>
      </c>
    </row>
    <row r="5">
      <c r="A5" s="32" t="inlineStr">
        <is>
          <t>G3</t>
        </is>
      </c>
      <c r="B5" s="33" t="n">
        <v>72.51000000000001</v>
      </c>
      <c r="C5" s="33" t="n">
        <v>72.51000000000001</v>
      </c>
      <c r="D5" s="22">
        <f>(C5-B5)*1000</f>
        <v/>
      </c>
      <c r="E5" s="39">
        <f>ROUND(D5*D21,0)</f>
        <v/>
      </c>
      <c r="F5" s="22" t="n">
        <v>1000</v>
      </c>
      <c r="G5" s="22">
        <f>SUM(E5:F5)</f>
        <v/>
      </c>
    </row>
    <row r="6">
      <c r="A6" s="32" t="inlineStr">
        <is>
          <t>G4</t>
        </is>
      </c>
      <c r="B6" s="33" t="n">
        <v>59.22</v>
      </c>
      <c r="C6" s="33" t="n">
        <v>66.77</v>
      </c>
      <c r="D6" s="22">
        <f>(C6-B6)*1000</f>
        <v/>
      </c>
      <c r="E6" s="39">
        <f>ROUND(D6*D21,0)</f>
        <v/>
      </c>
      <c r="F6" s="22" t="n">
        <v>1000</v>
      </c>
      <c r="G6" s="22">
        <f>SUM(E6:F6)</f>
        <v/>
      </c>
    </row>
    <row r="7">
      <c r="A7" s="29" t="n">
        <v>101</v>
      </c>
      <c r="B7" s="30" t="n">
        <v>0.38</v>
      </c>
      <c r="C7" s="30" t="n">
        <v>0.38</v>
      </c>
      <c r="D7" s="22">
        <f>(C7-B7)*1000</f>
        <v/>
      </c>
      <c r="E7" s="38">
        <f>ROUND(D7*D21,0)</f>
        <v/>
      </c>
      <c r="F7" s="22" t="n">
        <v>600</v>
      </c>
      <c r="G7" s="22">
        <f>SUM(E7:F7)</f>
        <v/>
      </c>
    </row>
    <row r="8">
      <c r="A8" s="32" t="n">
        <v>102</v>
      </c>
      <c r="B8" s="33" t="n">
        <v>109.4</v>
      </c>
      <c r="C8" s="33" t="n">
        <v>119.75</v>
      </c>
      <c r="D8" s="22">
        <f>(C8-B8)*1000</f>
        <v/>
      </c>
      <c r="E8" s="39">
        <f>ROUND(D8*D21,0)</f>
        <v/>
      </c>
      <c r="F8" s="22" t="n">
        <v>1000</v>
      </c>
      <c r="G8" s="22">
        <f>SUM(E8:F8)</f>
        <v/>
      </c>
    </row>
    <row r="9">
      <c r="A9" s="29" t="n">
        <v>103</v>
      </c>
      <c r="B9" s="30" t="n">
        <v>0.82</v>
      </c>
      <c r="C9" s="30" t="n">
        <v>0.83</v>
      </c>
      <c r="D9" s="22">
        <f>(C9-B9)*1000</f>
        <v/>
      </c>
      <c r="E9" s="38">
        <f>ROUND(D9*D21,0)</f>
        <v/>
      </c>
      <c r="F9" s="22" t="n">
        <v>1000</v>
      </c>
      <c r="G9" s="22">
        <f>SUM(E9:F9)</f>
        <v/>
      </c>
    </row>
    <row r="10">
      <c r="A10" s="32" t="n">
        <v>104</v>
      </c>
      <c r="B10" s="45" t="n">
        <v>32.22</v>
      </c>
      <c r="C10" s="45" t="n">
        <v>38.01</v>
      </c>
      <c r="D10" s="22">
        <f>(C10-B10)*1000</f>
        <v/>
      </c>
      <c r="E10" s="39">
        <f>ROUND(D10*D21,0)</f>
        <v/>
      </c>
      <c r="F10" s="22" t="n">
        <v>1000</v>
      </c>
      <c r="G10" s="22">
        <f>SUM(E10:F10)</f>
        <v/>
      </c>
    </row>
    <row r="11">
      <c r="A11" s="267" t="n">
        <v>201</v>
      </c>
      <c r="B11" s="268" t="n">
        <v>1.53</v>
      </c>
      <c r="C11" s="268" t="n">
        <v>1.53</v>
      </c>
      <c r="D11" s="22">
        <f>(C11-B11)*1000</f>
        <v/>
      </c>
      <c r="E11" s="38">
        <f>ROUND(D11*D21,0)</f>
        <v/>
      </c>
      <c r="F11" s="22" t="n">
        <v>600</v>
      </c>
      <c r="G11" s="22">
        <f>SUM(E11:F11)</f>
        <v/>
      </c>
    </row>
    <row r="12">
      <c r="A12" s="32" t="n">
        <v>202</v>
      </c>
      <c r="B12" s="33" t="n">
        <v>67.06999999999999</v>
      </c>
      <c r="C12" s="33" t="n">
        <v>75.68000000000001</v>
      </c>
      <c r="D12" s="22">
        <f>(C12-B12)*1000</f>
        <v/>
      </c>
      <c r="E12" s="39">
        <f>ROUND(D12*D21,0)</f>
        <v/>
      </c>
      <c r="F12" s="22" t="n">
        <v>1000</v>
      </c>
      <c r="G12" s="22">
        <f>SUM(E12:F12)</f>
        <v/>
      </c>
    </row>
    <row r="13">
      <c r="A13" s="29" t="n">
        <v>203</v>
      </c>
      <c r="B13" s="30" t="n">
        <v>14.76</v>
      </c>
      <c r="C13" s="30" t="n">
        <v>17.03</v>
      </c>
      <c r="D13" s="22">
        <f>(C13-B13)*1000</f>
        <v/>
      </c>
      <c r="E13" s="38">
        <f>ROUND(D13*D21,0)</f>
        <v/>
      </c>
      <c r="F13" s="22" t="n">
        <v>1000</v>
      </c>
      <c r="G13" s="22">
        <f>SUM(E13:F13)</f>
        <v/>
      </c>
    </row>
    <row r="14">
      <c r="A14" s="29" t="n">
        <v>204</v>
      </c>
      <c r="B14" s="30" t="n">
        <v>3.93</v>
      </c>
      <c r="C14" s="30" t="n">
        <v>10.85</v>
      </c>
      <c r="D14" s="22">
        <f>(C14-B14)*1000</f>
        <v/>
      </c>
      <c r="E14" s="38">
        <f>ROUND(D14*D21,0)</f>
        <v/>
      </c>
      <c r="F14" s="22" t="n">
        <v>1000</v>
      </c>
      <c r="G14" s="22">
        <f>SUM(E14:F14)</f>
        <v/>
      </c>
    </row>
    <row r="15">
      <c r="A15" s="29" t="n">
        <v>301</v>
      </c>
      <c r="B15" s="30" t="n">
        <v>0.38</v>
      </c>
      <c r="C15" s="30" t="n">
        <v>0.38</v>
      </c>
      <c r="D15" s="22">
        <f>(C15-B15)*1000</f>
        <v/>
      </c>
      <c r="E15" s="38">
        <f>ROUND(D15*D21,0)</f>
        <v/>
      </c>
      <c r="F15" s="22" t="n">
        <v>600</v>
      </c>
      <c r="G15" s="22">
        <f>SUM(E15:F15)</f>
        <v/>
      </c>
    </row>
    <row r="16">
      <c r="A16" s="29" t="n">
        <v>302</v>
      </c>
      <c r="B16" s="30" t="n">
        <v>0.38</v>
      </c>
      <c r="C16" s="30" t="n">
        <v>0.38</v>
      </c>
      <c r="D16" s="22">
        <f>(C16-B16)*1000</f>
        <v/>
      </c>
      <c r="E16" s="38">
        <f>ROUND(D16*D21,0)</f>
        <v/>
      </c>
      <c r="F16" s="22" t="n">
        <v>600</v>
      </c>
      <c r="G16" s="22">
        <f>SUM(E16:F16)</f>
        <v/>
      </c>
    </row>
    <row r="17">
      <c r="A17" s="32" t="n">
        <v>303</v>
      </c>
      <c r="B17" s="33" t="n">
        <v>166.1</v>
      </c>
      <c r="C17" s="33" t="n">
        <v>184.96</v>
      </c>
      <c r="D17" s="22">
        <f>(C17-B17)*1000</f>
        <v/>
      </c>
      <c r="E17" s="39">
        <f>ROUND(D17*D21,0)</f>
        <v/>
      </c>
      <c r="F17" s="22" t="n">
        <v>1000</v>
      </c>
      <c r="G17" s="22">
        <f>SUM(E17:F17)</f>
        <v/>
      </c>
    </row>
    <row r="18">
      <c r="A18" s="29" t="n">
        <v>304</v>
      </c>
      <c r="B18" s="30" t="n">
        <v>0.59</v>
      </c>
      <c r="C18" s="30" t="n">
        <v>0.59</v>
      </c>
      <c r="D18" s="22">
        <f>(C18-B18)*1000</f>
        <v/>
      </c>
      <c r="E18" s="38">
        <f>ROUND(D18*D21,0)</f>
        <v/>
      </c>
      <c r="F18" s="22" t="n">
        <v>600</v>
      </c>
      <c r="G18" s="22">
        <f>SUM(E18:F18)</f>
        <v/>
      </c>
    </row>
    <row r="19">
      <c r="A19" s="22" t="n"/>
      <c r="B19" s="22" t="n"/>
      <c r="C19" s="22" t="n"/>
      <c r="D19" s="22" t="n"/>
      <c r="E19" s="40">
        <f>SUM(E3:E18)</f>
        <v/>
      </c>
      <c r="F19" s="27">
        <f>SUM(F3:F18)</f>
        <v/>
      </c>
      <c r="G19" s="22">
        <f>SUM(E19:F19)</f>
        <v/>
      </c>
    </row>
    <row r="20">
      <c r="A20" s="22" t="n"/>
      <c r="B20" s="22" t="inlineStr">
        <is>
          <t>Total Usage Units</t>
        </is>
      </c>
      <c r="C20" s="22" t="n"/>
      <c r="D20" s="44">
        <f>SUM(D3:D19)</f>
        <v/>
      </c>
      <c r="E20" s="41" t="n"/>
      <c r="F20" s="22" t="n"/>
      <c r="G20" s="22" t="n"/>
    </row>
    <row r="21" ht="15.75" customHeight="1" s="366">
      <c r="A21" s="22" t="n"/>
      <c r="B21" s="22" t="inlineStr">
        <is>
          <t>per Lt Cost With Manjira</t>
        </is>
      </c>
      <c r="C21" s="22" t="n"/>
      <c r="D21" s="22">
        <f>B24/D20</f>
        <v/>
      </c>
      <c r="E21" s="41" t="n"/>
      <c r="F21" s="22" t="n"/>
      <c r="G21" s="22" t="n"/>
    </row>
    <row r="22" ht="15.75" customHeight="1" s="366">
      <c r="A22" s="22" t="n"/>
      <c r="B22" s="22" t="n"/>
      <c r="C22" s="22" t="n"/>
      <c r="D22" s="22" t="n"/>
      <c r="E22" s="41" t="n"/>
      <c r="F22" s="22" t="n"/>
      <c r="G22" s="22" t="n"/>
    </row>
    <row r="23" ht="15.75" customHeight="1" s="366">
      <c r="A23" s="22" t="n"/>
      <c r="B23" s="22" t="n"/>
      <c r="C23" s="22" t="n"/>
      <c r="D23" s="22" t="n"/>
      <c r="E23" s="41" t="n"/>
      <c r="F23" s="22" t="n"/>
      <c r="G23" s="22" t="n"/>
    </row>
    <row r="24" ht="15.75" customHeight="1" s="366">
      <c r="A24" s="22" t="inlineStr">
        <is>
          <t>Total Water Bill</t>
        </is>
      </c>
      <c r="B24" s="30" t="n">
        <v>4000</v>
      </c>
      <c r="C24" s="30" t="n"/>
      <c r="D24" s="22" t="n"/>
      <c r="E24" s="41" t="n"/>
      <c r="F24" s="22" t="n"/>
      <c r="G24" s="22" t="n"/>
    </row>
    <row r="25" ht="30" customHeight="1" s="366">
      <c r="A25" s="47" t="inlineStr">
        <is>
          <t xml:space="preserve">WATER Tankers(4) </t>
        </is>
      </c>
      <c r="C25" s="1" t="n">
        <v>4000</v>
      </c>
    </row>
    <row r="26" ht="15.75" customHeight="1" s="366">
      <c r="A26" s="46" t="n"/>
      <c r="B26" s="46" t="n"/>
      <c r="C26" s="46" t="n"/>
      <c r="D26" s="46" t="n"/>
      <c r="E26" s="46" t="n"/>
      <c r="F26" s="46" t="n"/>
      <c r="G26" s="46" t="n"/>
    </row>
    <row r="27" ht="15.75" customHeight="1" s="366"/>
    <row r="28" ht="15.75" customHeight="1" s="366">
      <c r="A28" s="27" t="inlineStr">
        <is>
          <t>Flat Number</t>
        </is>
      </c>
      <c r="B28" s="27" t="inlineStr">
        <is>
          <t>Previous Meter Reading</t>
        </is>
      </c>
      <c r="C28" s="27" t="inlineStr">
        <is>
          <t>Curret Meter Reading</t>
        </is>
      </c>
      <c r="D28" s="27" t="inlineStr">
        <is>
          <t>Total Units</t>
        </is>
      </c>
      <c r="E28" s="37" t="inlineStr">
        <is>
          <t>Water Bill</t>
        </is>
      </c>
      <c r="F28" s="22" t="inlineStr">
        <is>
          <t>CommonMaintanence</t>
        </is>
      </c>
      <c r="G28" s="22" t="inlineStr">
        <is>
          <t>Total to Pay</t>
        </is>
      </c>
      <c r="H28" s="1" t="inlineStr">
        <is>
          <t>Prev calc</t>
        </is>
      </c>
      <c r="I28" s="1" t="inlineStr">
        <is>
          <t>Diff</t>
        </is>
      </c>
    </row>
    <row r="29" ht="15.75" customHeight="1" s="366">
      <c r="A29" s="29" t="inlineStr">
        <is>
          <t>G1</t>
        </is>
      </c>
      <c r="B29" s="30" t="n">
        <v>0.99</v>
      </c>
      <c r="C29" s="30" t="n">
        <v>0.99</v>
      </c>
      <c r="D29" s="44">
        <f>(C29-B29)*1000</f>
        <v/>
      </c>
      <c r="E29" s="38">
        <f>ROUND(D29*D47,0)</f>
        <v/>
      </c>
      <c r="F29" s="22" t="n">
        <v>600</v>
      </c>
      <c r="G29" s="22">
        <f>SUM(E29:F29)</f>
        <v/>
      </c>
      <c r="H29" s="1" t="n">
        <v>600</v>
      </c>
      <c r="I29" s="1">
        <f>G29-H29</f>
        <v/>
      </c>
    </row>
    <row r="30" ht="15.75" customHeight="1" s="366">
      <c r="A30" s="29" t="inlineStr">
        <is>
          <t>G2</t>
        </is>
      </c>
      <c r="B30" s="30" t="n">
        <v>4.1</v>
      </c>
      <c r="C30" s="30" t="n">
        <v>12.49</v>
      </c>
      <c r="D30" s="22">
        <f>(C30-B30)*1000</f>
        <v/>
      </c>
      <c r="E30" s="38">
        <f>ROUND(D30*D47,0)</f>
        <v/>
      </c>
      <c r="F30" s="22" t="n">
        <v>1000</v>
      </c>
      <c r="G30" s="22">
        <f>SUM(E30:F30)</f>
        <v/>
      </c>
      <c r="H30" s="1" t="n">
        <v>1488</v>
      </c>
      <c r="I30" s="1">
        <f>G30-H30</f>
        <v/>
      </c>
    </row>
    <row r="31" ht="15.75" customHeight="1" s="366">
      <c r="A31" s="32" t="inlineStr">
        <is>
          <t>G3</t>
        </is>
      </c>
      <c r="B31" s="33" t="n">
        <v>72.51000000000001</v>
      </c>
      <c r="C31" s="33" t="n">
        <v>72.51000000000001</v>
      </c>
      <c r="D31" s="22">
        <f>(C31-B31)*1000</f>
        <v/>
      </c>
      <c r="E31" s="39">
        <f>ROUND(D31*D47,0)</f>
        <v/>
      </c>
      <c r="F31" s="22" t="n">
        <v>1000</v>
      </c>
      <c r="G31" s="22">
        <f>SUM(E31:F31)</f>
        <v/>
      </c>
      <c r="H31" s="1" t="n">
        <v>1000</v>
      </c>
      <c r="I31" s="1">
        <f>G31-H31</f>
        <v/>
      </c>
    </row>
    <row r="32" ht="15.75" customHeight="1" s="366">
      <c r="A32" s="32" t="inlineStr">
        <is>
          <t>G4</t>
        </is>
      </c>
      <c r="B32" s="33" t="n">
        <v>59.22</v>
      </c>
      <c r="C32" s="33" t="n">
        <v>66.77</v>
      </c>
      <c r="D32" s="22">
        <f>(C32-B32)*1000</f>
        <v/>
      </c>
      <c r="E32" s="39">
        <f>ROUND(D32*D47,0)</f>
        <v/>
      </c>
      <c r="F32" s="22" t="n">
        <v>1000</v>
      </c>
      <c r="G32" s="22">
        <f>SUM(E32:F32)</f>
        <v/>
      </c>
      <c r="H32" s="1" t="n">
        <v>1439</v>
      </c>
      <c r="I32" s="1">
        <f>G32-H32</f>
        <v/>
      </c>
    </row>
    <row r="33" ht="15.75" customHeight="1" s="366">
      <c r="A33" s="29" t="n">
        <v>101</v>
      </c>
      <c r="B33" s="30" t="n">
        <v>0.38</v>
      </c>
      <c r="C33" s="30" t="n">
        <v>0.38</v>
      </c>
      <c r="D33" s="22">
        <f>(C33-B33)*1000</f>
        <v/>
      </c>
      <c r="E33" s="38">
        <f>ROUND(D33*D47,0)</f>
        <v/>
      </c>
      <c r="F33" s="22" t="n">
        <v>600</v>
      </c>
      <c r="G33" s="22">
        <f>SUM(E33:F33)</f>
        <v/>
      </c>
      <c r="H33" s="1" t="n">
        <v>600</v>
      </c>
      <c r="I33" s="1">
        <f>G33-H33</f>
        <v/>
      </c>
    </row>
    <row r="34" ht="15.75" customHeight="1" s="366">
      <c r="A34" s="32" t="n">
        <v>102</v>
      </c>
      <c r="B34" s="33" t="n">
        <v>109.4</v>
      </c>
      <c r="C34" s="33" t="n">
        <v>119.75</v>
      </c>
      <c r="D34" s="22">
        <f>(C34-B34)*1000</f>
        <v/>
      </c>
      <c r="E34" s="39">
        <f>ROUND(D34*D47,0)</f>
        <v/>
      </c>
      <c r="F34" s="22" t="n">
        <v>1000</v>
      </c>
      <c r="G34" s="22">
        <f>SUM(E34:F34)</f>
        <v/>
      </c>
      <c r="H34" s="1" t="n">
        <v>1602</v>
      </c>
      <c r="I34" s="1">
        <f>G34-H34</f>
        <v/>
      </c>
    </row>
    <row r="35" ht="15.75" customHeight="1" s="366">
      <c r="A35" s="29" t="n">
        <v>103</v>
      </c>
      <c r="B35" s="30" t="n">
        <v>0.82</v>
      </c>
      <c r="C35" s="30" t="n">
        <v>0.83</v>
      </c>
      <c r="D35" s="22">
        <f>(C35-B35)*1000</f>
        <v/>
      </c>
      <c r="E35" s="38">
        <f>ROUND(D35*D47,0)</f>
        <v/>
      </c>
      <c r="F35" s="22" t="n">
        <v>1000</v>
      </c>
      <c r="G35" s="22">
        <f>SUM(E35:F35)</f>
        <v/>
      </c>
      <c r="H35" s="1" t="n">
        <v>1001</v>
      </c>
      <c r="I35" s="1">
        <f>G35-H35</f>
        <v/>
      </c>
    </row>
    <row r="36" ht="15.75" customHeight="1" s="366">
      <c r="A36" s="32" t="n">
        <v>104</v>
      </c>
      <c r="B36" s="45" t="n">
        <v>32.22</v>
      </c>
      <c r="C36" s="45" t="n">
        <v>38.01</v>
      </c>
      <c r="D36" s="22">
        <f>(C36-B36)*1000</f>
        <v/>
      </c>
      <c r="E36" s="39">
        <f>ROUND(D36*D47,0)</f>
        <v/>
      </c>
      <c r="F36" s="22" t="n">
        <v>1000</v>
      </c>
      <c r="G36" s="22">
        <f>SUM(E36:F36)</f>
        <v/>
      </c>
      <c r="H36" s="1" t="n">
        <v>1337</v>
      </c>
      <c r="I36" s="1">
        <f>G36-H36</f>
        <v/>
      </c>
    </row>
    <row r="37" ht="15.75" customHeight="1" s="366">
      <c r="A37" s="267" t="n">
        <v>201</v>
      </c>
      <c r="B37" s="268" t="n">
        <v>1.53</v>
      </c>
      <c r="C37" s="268" t="n">
        <v>1.53</v>
      </c>
      <c r="D37" s="22">
        <f>(C37-B37)*1000</f>
        <v/>
      </c>
      <c r="E37" s="38">
        <f>ROUND(D37*D47,0)</f>
        <v/>
      </c>
      <c r="F37" s="22" t="n">
        <v>600</v>
      </c>
      <c r="G37" s="22">
        <f>SUM(E37:F37)</f>
        <v/>
      </c>
      <c r="H37" s="1" t="n">
        <v>600</v>
      </c>
      <c r="I37" s="1">
        <f>G37-H37</f>
        <v/>
      </c>
    </row>
    <row r="38" ht="15.75" customHeight="1" s="366">
      <c r="A38" s="32" t="n">
        <v>202</v>
      </c>
      <c r="B38" s="33" t="n">
        <v>67.06999999999999</v>
      </c>
      <c r="C38" s="33" t="n">
        <v>75.68000000000001</v>
      </c>
      <c r="D38" s="22">
        <f>(C38-B38)*1000</f>
        <v/>
      </c>
      <c r="E38" s="39">
        <f>ROUND(D38*D47,0)</f>
        <v/>
      </c>
      <c r="F38" s="22" t="n">
        <v>1000</v>
      </c>
      <c r="G38" s="22">
        <f>SUM(E38:F38)</f>
        <v/>
      </c>
      <c r="H38" s="1" t="n">
        <v>1501</v>
      </c>
      <c r="I38" s="1">
        <f>G38-H38</f>
        <v/>
      </c>
    </row>
    <row r="39" ht="15.75" customHeight="1" s="366">
      <c r="A39" s="29" t="n">
        <v>203</v>
      </c>
      <c r="B39" s="30" t="n">
        <v>14.76</v>
      </c>
      <c r="C39" s="30" t="n">
        <v>17.03</v>
      </c>
      <c r="D39" s="22">
        <f>(C39-B39)*1000</f>
        <v/>
      </c>
      <c r="E39" s="38">
        <f>ROUND(D39*D47,0)</f>
        <v/>
      </c>
      <c r="F39" s="22" t="n">
        <v>1000</v>
      </c>
      <c r="G39" s="22">
        <f>SUM(E39:F39)</f>
        <v/>
      </c>
      <c r="H39" s="1" t="n">
        <v>1132</v>
      </c>
      <c r="I39" s="1">
        <f>G39-H39</f>
        <v/>
      </c>
    </row>
    <row r="40" ht="15.75" customHeight="1" s="366">
      <c r="A40" s="29" t="n">
        <v>204</v>
      </c>
      <c r="B40" s="30" t="n">
        <v>3.93</v>
      </c>
      <c r="C40" s="30" t="n">
        <v>10.85</v>
      </c>
      <c r="D40" s="22">
        <f>(C40-B40)*1000</f>
        <v/>
      </c>
      <c r="E40" s="38">
        <f>ROUND(D40*D47,0)</f>
        <v/>
      </c>
      <c r="F40" s="22" t="n">
        <v>1000</v>
      </c>
      <c r="G40" s="22">
        <f>SUM(E40:F40)</f>
        <v/>
      </c>
      <c r="H40" s="1" t="n">
        <v>1403</v>
      </c>
      <c r="I40" s="1">
        <f>G40-H40</f>
        <v/>
      </c>
    </row>
    <row r="41" ht="15.75" customHeight="1" s="366">
      <c r="A41" s="29" t="n">
        <v>301</v>
      </c>
      <c r="B41" s="30" t="n">
        <v>0.38</v>
      </c>
      <c r="C41" s="30" t="n">
        <v>0.38</v>
      </c>
      <c r="D41" s="22">
        <f>(C41-B41)*1000</f>
        <v/>
      </c>
      <c r="E41" s="38">
        <f>ROUND(D41*D47,0)</f>
        <v/>
      </c>
      <c r="F41" s="22" t="n">
        <v>600</v>
      </c>
      <c r="G41" s="22">
        <f>SUM(E41:F41)</f>
        <v/>
      </c>
      <c r="H41" s="1" t="n">
        <v>600</v>
      </c>
      <c r="I41" s="1">
        <f>G41-H41</f>
        <v/>
      </c>
    </row>
    <row r="42" ht="15.75" customHeight="1" s="366">
      <c r="A42" s="29" t="n">
        <v>302</v>
      </c>
      <c r="B42" s="30" t="n">
        <v>0.38</v>
      </c>
      <c r="C42" s="30" t="n">
        <v>0.38</v>
      </c>
      <c r="D42" s="22">
        <f>(C42-B42)*1000</f>
        <v/>
      </c>
      <c r="E42" s="38">
        <f>ROUND(D42*D47,0)</f>
        <v/>
      </c>
      <c r="F42" s="22" t="n">
        <v>600</v>
      </c>
      <c r="G42" s="22">
        <f>SUM(E42:F42)</f>
        <v/>
      </c>
      <c r="H42" s="1" t="n">
        <v>600</v>
      </c>
      <c r="I42" s="1">
        <f>G42-H42</f>
        <v/>
      </c>
    </row>
    <row r="43" ht="15.75" customHeight="1" s="366">
      <c r="A43" s="32" t="n">
        <v>303</v>
      </c>
      <c r="B43" s="33" t="n">
        <v>166.1</v>
      </c>
      <c r="C43" s="33" t="n">
        <v>184.96</v>
      </c>
      <c r="D43" s="22">
        <f>(C43-B43)*1000</f>
        <v/>
      </c>
      <c r="E43" s="39">
        <f>ROUND(D43*D47,0)</f>
        <v/>
      </c>
      <c r="F43" s="22" t="n">
        <v>1000</v>
      </c>
      <c r="G43" s="22">
        <f>SUM(E43:F43)</f>
        <v/>
      </c>
      <c r="H43" s="1" t="n">
        <v>2097</v>
      </c>
      <c r="I43" s="1">
        <f>G43-H43</f>
        <v/>
      </c>
    </row>
    <row r="44" ht="15.75" customHeight="1" s="366">
      <c r="A44" s="29" t="n">
        <v>304</v>
      </c>
      <c r="B44" s="30" t="n">
        <v>0.59</v>
      </c>
      <c r="C44" s="30" t="n">
        <v>0.59</v>
      </c>
      <c r="D44" s="22">
        <f>(C44-B44)*1000</f>
        <v/>
      </c>
      <c r="E44" s="38">
        <f>ROUND(D44*D47,0)</f>
        <v/>
      </c>
      <c r="F44" s="22" t="n">
        <v>600</v>
      </c>
      <c r="G44" s="22">
        <f>SUM(E44:F44)</f>
        <v/>
      </c>
      <c r="H44" s="1" t="n">
        <v>600</v>
      </c>
      <c r="I44" s="1">
        <f>G44-H44</f>
        <v/>
      </c>
    </row>
    <row r="45" ht="15.75" customHeight="1" s="366">
      <c r="A45" s="22" t="n"/>
      <c r="B45" s="22" t="n"/>
      <c r="C45" s="22" t="n"/>
      <c r="D45" s="22" t="n"/>
      <c r="E45" s="40">
        <f>SUM(E29:E44)</f>
        <v/>
      </c>
      <c r="F45" s="27">
        <f>SUM(F29:F44)</f>
        <v/>
      </c>
      <c r="G45" s="22">
        <f>SUM(E45:F45)</f>
        <v/>
      </c>
      <c r="H45" s="1" t="n">
        <v>17600</v>
      </c>
      <c r="I45" s="1">
        <f>G45-H45</f>
        <v/>
      </c>
    </row>
    <row r="46" ht="15.75" customHeight="1" s="366">
      <c r="A46" s="22" t="n"/>
      <c r="B46" s="22" t="inlineStr">
        <is>
          <t>Total Usage Units</t>
        </is>
      </c>
      <c r="C46" s="22" t="n"/>
      <c r="D46" s="44">
        <f>SUM(D29:D45)</f>
        <v/>
      </c>
      <c r="E46" s="41" t="n"/>
      <c r="F46" s="22" t="n"/>
      <c r="G46" s="22" t="n"/>
    </row>
    <row r="47" ht="15.75" customHeight="1" s="366">
      <c r="A47" s="22" t="n"/>
      <c r="B47" s="22" t="inlineStr">
        <is>
          <t>per Lt Cost With Manjira</t>
        </is>
      </c>
      <c r="C47" s="22" t="n"/>
      <c r="D47" s="22">
        <f>B50/D46</f>
        <v/>
      </c>
      <c r="E47" s="41" t="n"/>
      <c r="F47" s="22" t="n"/>
      <c r="G47" s="22" t="n"/>
    </row>
    <row r="50" ht="15.75" customHeight="1" s="366">
      <c r="A50" s="22" t="inlineStr">
        <is>
          <t>Total Water Bill</t>
        </is>
      </c>
      <c r="B50" s="30">
        <f>4000+2044</f>
        <v/>
      </c>
      <c r="C50" s="30" t="n"/>
    </row>
    <row r="51" ht="30" customHeight="1" s="366">
      <c r="A51" s="47" t="inlineStr">
        <is>
          <t xml:space="preserve">WATER Tankers(4) </t>
        </is>
      </c>
      <c r="C51" s="1" t="n">
        <v>4000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J51"/>
  <sheetViews>
    <sheetView topLeftCell="A26" workbookViewId="0">
      <selection activeCell="A37" activeCellId="3" sqref="I4 I8 A11:C11 A37:C37"/>
    </sheetView>
  </sheetViews>
  <sheetFormatPr baseColWidth="8" defaultColWidth="14.42578125" defaultRowHeight="15" customHeight="1"/>
  <cols>
    <col width="13.140625" customWidth="1" style="366" min="1" max="1"/>
    <col width="17.85546875" customWidth="1" style="366" min="2" max="2"/>
    <col width="19.42578125" customWidth="1" style="366" min="3" max="3"/>
    <col width="13.7109375" customWidth="1" style="366" min="4" max="4"/>
    <col width="10.140625" customWidth="1" style="366" min="5" max="5"/>
    <col width="16.28515625" customWidth="1" style="366" min="6" max="6"/>
    <col width="28.42578125" customWidth="1" style="366" min="7" max="7"/>
    <col width="10.42578125" customWidth="1" style="366" min="8" max="8"/>
    <col width="28.85546875" customWidth="1" style="366" min="9" max="9"/>
    <col width="7.5703125" customWidth="1" style="366" min="10" max="10"/>
  </cols>
  <sheetData>
    <row r="2">
      <c r="A2" s="27" t="inlineStr">
        <is>
          <t>Flat Number</t>
        </is>
      </c>
      <c r="B2" s="27" t="inlineStr">
        <is>
          <t>Previous Meter Reading</t>
        </is>
      </c>
      <c r="C2" s="27" t="inlineStr">
        <is>
          <t>Curret Meter Reading</t>
        </is>
      </c>
      <c r="D2" s="27" t="inlineStr">
        <is>
          <t>Total Units</t>
        </is>
      </c>
      <c r="E2" s="37" t="inlineStr">
        <is>
          <t>Water Bill</t>
        </is>
      </c>
      <c r="F2" s="22" t="inlineStr">
        <is>
          <t>CommonMaintanence</t>
        </is>
      </c>
      <c r="G2" s="22" t="inlineStr">
        <is>
          <t>Common meter bill paid extra Amount</t>
        </is>
      </c>
      <c r="H2" s="22" t="inlineStr">
        <is>
          <t>Total to Pay</t>
        </is>
      </c>
    </row>
    <row r="3">
      <c r="A3" s="29" t="inlineStr">
        <is>
          <t>G1</t>
        </is>
      </c>
      <c r="B3" s="30" t="n">
        <v>0.99</v>
      </c>
      <c r="C3" s="30" t="n">
        <v>1.09</v>
      </c>
      <c r="D3" s="44">
        <f>(C3-B3)*1000</f>
        <v/>
      </c>
      <c r="E3" s="38">
        <f>ROUND(D3*D21,0)</f>
        <v/>
      </c>
      <c r="F3" s="22" t="n">
        <v>600</v>
      </c>
      <c r="G3" s="22" t="n">
        <v>139</v>
      </c>
      <c r="H3" s="22">
        <f>SUM(E3:F3:G3)</f>
        <v/>
      </c>
    </row>
    <row r="4">
      <c r="A4" s="29" t="inlineStr">
        <is>
          <t>G2</t>
        </is>
      </c>
      <c r="B4" s="30" t="n">
        <v>12.49</v>
      </c>
      <c r="C4" s="30" t="n">
        <v>18.59</v>
      </c>
      <c r="D4" s="22">
        <f>(C4-B4)*1000</f>
        <v/>
      </c>
      <c r="E4" s="38">
        <f>ROUND(D4*D21,0)</f>
        <v/>
      </c>
      <c r="F4" s="22" t="n">
        <v>1000</v>
      </c>
      <c r="G4" s="22" t="n">
        <v>139</v>
      </c>
      <c r="H4" s="22">
        <f>SUM(E4:F4)</f>
        <v/>
      </c>
      <c r="I4" s="269" t="inlineStr">
        <is>
          <t>G2 Owner will paid the 139.00 Amount</t>
        </is>
      </c>
    </row>
    <row r="5">
      <c r="A5" s="32" t="inlineStr">
        <is>
          <t>G3</t>
        </is>
      </c>
      <c r="B5" s="33" t="n">
        <v>72.51000000000001</v>
      </c>
      <c r="C5" s="33" t="n">
        <v>72.59999999999999</v>
      </c>
      <c r="D5" s="22">
        <f>(C5-B5)*1000</f>
        <v/>
      </c>
      <c r="E5" s="39">
        <f>ROUND(D5*D21,0)</f>
        <v/>
      </c>
      <c r="F5" s="22" t="n">
        <v>1000</v>
      </c>
      <c r="G5" s="22" t="n">
        <v>139</v>
      </c>
      <c r="H5" s="22">
        <f>SUM(E5:F5:G5)</f>
        <v/>
      </c>
    </row>
    <row r="6">
      <c r="A6" s="32" t="inlineStr">
        <is>
          <t>G4</t>
        </is>
      </c>
      <c r="B6" s="33" t="n">
        <v>66.77</v>
      </c>
      <c r="C6" s="33" t="n">
        <v>74.84999999999999</v>
      </c>
      <c r="D6" s="22">
        <f>(C6-B6)*1000</f>
        <v/>
      </c>
      <c r="E6" s="39">
        <f>ROUND(D6*D21,0)</f>
        <v/>
      </c>
      <c r="F6" s="22" t="n">
        <v>1000</v>
      </c>
      <c r="G6" s="22" t="n">
        <v>139</v>
      </c>
      <c r="H6" s="22">
        <f>SUM(E6:F6:G6)</f>
        <v/>
      </c>
    </row>
    <row r="7">
      <c r="A7" s="29" t="n">
        <v>101</v>
      </c>
      <c r="B7" s="30" t="n">
        <v>0.38</v>
      </c>
      <c r="C7" s="30" t="n">
        <v>0.38</v>
      </c>
      <c r="D7" s="22">
        <f>(C7-B7)*1000</f>
        <v/>
      </c>
      <c r="E7" s="38">
        <f>ROUND(D7*D21,0)</f>
        <v/>
      </c>
      <c r="F7" s="22" t="n">
        <v>600</v>
      </c>
      <c r="G7" s="22" t="n">
        <v>139</v>
      </c>
      <c r="H7" s="22">
        <f>SUM(E7:F7:G7)</f>
        <v/>
      </c>
    </row>
    <row r="8">
      <c r="A8" s="32" t="n">
        <v>102</v>
      </c>
      <c r="B8" s="33" t="n">
        <v>119.75</v>
      </c>
      <c r="C8" s="33" t="n">
        <v>133.74</v>
      </c>
      <c r="D8" s="22">
        <f>(C8-B8)*1000</f>
        <v/>
      </c>
      <c r="E8" s="39">
        <f>ROUND(D8*D21,0)</f>
        <v/>
      </c>
      <c r="F8" s="22" t="n">
        <v>1000</v>
      </c>
      <c r="G8" s="22" t="n">
        <v>139</v>
      </c>
      <c r="H8" s="22">
        <f>SUM(E8:F8)</f>
        <v/>
      </c>
      <c r="I8" s="269" t="inlineStr">
        <is>
          <t>102 Owner will paid the 139.00 Amount</t>
        </is>
      </c>
    </row>
    <row r="9">
      <c r="A9" s="29" t="n">
        <v>103</v>
      </c>
      <c r="B9" s="30" t="n">
        <v>0.83</v>
      </c>
      <c r="C9" s="30" t="n">
        <v>0.83</v>
      </c>
      <c r="D9" s="22">
        <f>(C9-B9)*1000</f>
        <v/>
      </c>
      <c r="E9" s="38">
        <f>ROUND(D9*D21,0)</f>
        <v/>
      </c>
      <c r="F9" s="22" t="n">
        <v>1000</v>
      </c>
      <c r="G9" s="22" t="n">
        <v>139</v>
      </c>
      <c r="H9" s="22">
        <f>SUM(E9:F9:G9)</f>
        <v/>
      </c>
    </row>
    <row r="10">
      <c r="A10" s="32" t="n">
        <v>104</v>
      </c>
      <c r="B10" s="45" t="n">
        <v>38.01</v>
      </c>
      <c r="C10" s="45" t="n">
        <v>42.45</v>
      </c>
      <c r="D10" s="22">
        <f>(C10-B10)*1000</f>
        <v/>
      </c>
      <c r="E10" s="39">
        <f>ROUND(D10*D21,0)</f>
        <v/>
      </c>
      <c r="F10" s="22" t="n">
        <v>1000</v>
      </c>
      <c r="G10" s="22" t="n">
        <v>139</v>
      </c>
      <c r="H10" s="22">
        <f>SUM(E10:F10:G10)</f>
        <v/>
      </c>
    </row>
    <row r="11">
      <c r="A11" s="267" t="n">
        <v>201</v>
      </c>
      <c r="B11" s="268" t="n">
        <v>1.53</v>
      </c>
      <c r="C11" s="268" t="n">
        <v>1.53</v>
      </c>
      <c r="D11" s="22">
        <f>(C11-B11)*1000</f>
        <v/>
      </c>
      <c r="E11" s="38">
        <f>ROUND(D11*D21,0)</f>
        <v/>
      </c>
      <c r="F11" s="22" t="n">
        <v>600</v>
      </c>
      <c r="G11" s="22" t="n">
        <v>139</v>
      </c>
      <c r="H11" s="22">
        <f>SUM(E11:F11:G11)</f>
        <v/>
      </c>
    </row>
    <row r="12">
      <c r="A12" s="32" t="n">
        <v>202</v>
      </c>
      <c r="B12" s="33" t="n">
        <v>75.68000000000001</v>
      </c>
      <c r="C12" s="33" t="n">
        <v>86.58</v>
      </c>
      <c r="D12" s="22">
        <f>(C12-B12)*1000</f>
        <v/>
      </c>
      <c r="E12" s="39">
        <f>ROUND(D12*D21,0)</f>
        <v/>
      </c>
      <c r="F12" s="22" t="n">
        <v>1000</v>
      </c>
      <c r="G12" s="22" t="n">
        <v>139</v>
      </c>
      <c r="H12" s="22">
        <f>SUM(E12:F12:G12)</f>
        <v/>
      </c>
    </row>
    <row r="13">
      <c r="A13" s="29" t="n">
        <v>203</v>
      </c>
      <c r="B13" s="30" t="n">
        <v>17.03</v>
      </c>
      <c r="C13" s="30" t="n">
        <v>31.59</v>
      </c>
      <c r="D13" s="22">
        <f>(C13-B13)*1000</f>
        <v/>
      </c>
      <c r="E13" s="38">
        <f>ROUND(D13*D21,0)</f>
        <v/>
      </c>
      <c r="F13" s="22" t="n">
        <v>1000</v>
      </c>
      <c r="G13" s="22" t="n">
        <v>139</v>
      </c>
      <c r="H13" s="22">
        <f>SUM(E13:F13:G13)</f>
        <v/>
      </c>
    </row>
    <row r="14">
      <c r="A14" s="29" t="n">
        <v>204</v>
      </c>
      <c r="B14" s="30" t="n">
        <v>10.85</v>
      </c>
      <c r="C14" s="30" t="n">
        <v>22.86</v>
      </c>
      <c r="D14" s="22">
        <f>(C14-B14)*1000</f>
        <v/>
      </c>
      <c r="E14" s="38">
        <f>ROUND(D14*D21,0)</f>
        <v/>
      </c>
      <c r="F14" s="22" t="n">
        <v>1000</v>
      </c>
      <c r="G14" s="22" t="n">
        <v>139</v>
      </c>
      <c r="H14" s="22">
        <f>SUM(E14:F14:G14)</f>
        <v/>
      </c>
    </row>
    <row r="15">
      <c r="A15" s="29" t="n">
        <v>301</v>
      </c>
      <c r="B15" s="30" t="n">
        <v>0.38</v>
      </c>
      <c r="C15" s="30" t="n">
        <v>0.38</v>
      </c>
      <c r="D15" s="22">
        <f>(C15-B15)*1000</f>
        <v/>
      </c>
      <c r="E15" s="38">
        <f>ROUND(D15*D21,0)</f>
        <v/>
      </c>
      <c r="F15" s="22" t="n">
        <v>600</v>
      </c>
      <c r="G15" s="22" t="n">
        <v>139</v>
      </c>
      <c r="H15" s="22">
        <f>SUM(E15:F15:G15)</f>
        <v/>
      </c>
    </row>
    <row r="16">
      <c r="A16" s="29" t="n">
        <v>302</v>
      </c>
      <c r="B16" s="30" t="n">
        <v>0.38</v>
      </c>
      <c r="C16" s="30" t="n">
        <v>0.38</v>
      </c>
      <c r="D16" s="22">
        <f>(C16-B16)*1000</f>
        <v/>
      </c>
      <c r="E16" s="38">
        <f>ROUND(D16*D21,0)</f>
        <v/>
      </c>
      <c r="F16" s="22" t="n">
        <v>600</v>
      </c>
      <c r="G16" s="22" t="n">
        <v>139</v>
      </c>
      <c r="H16" s="22">
        <f>SUM(E16:F16:G16)</f>
        <v/>
      </c>
    </row>
    <row r="17">
      <c r="A17" s="32" t="n">
        <v>303</v>
      </c>
      <c r="B17" s="33" t="n">
        <v>184.96</v>
      </c>
      <c r="C17" s="33" t="n">
        <v>200.12</v>
      </c>
      <c r="D17" s="22">
        <f>(C17-B17)*1000</f>
        <v/>
      </c>
      <c r="E17" s="39">
        <f>ROUND(D17*D21,0)</f>
        <v/>
      </c>
      <c r="F17" s="22" t="n">
        <v>1000</v>
      </c>
      <c r="G17" s="22" t="n">
        <v>139</v>
      </c>
      <c r="H17" s="22">
        <f>SUM(E17:F17:G17)</f>
        <v/>
      </c>
    </row>
    <row r="18">
      <c r="A18" s="29" t="n">
        <v>304</v>
      </c>
      <c r="B18" s="30" t="n">
        <v>0.59</v>
      </c>
      <c r="C18" s="30" t="n">
        <v>0.59</v>
      </c>
      <c r="D18" s="22">
        <f>(C18-B18)*1000</f>
        <v/>
      </c>
      <c r="E18" s="38">
        <f>ROUND(D18*D21,0)</f>
        <v/>
      </c>
      <c r="F18" s="22" t="n">
        <v>600</v>
      </c>
      <c r="G18" s="22" t="n">
        <v>139</v>
      </c>
      <c r="H18" s="22">
        <f>SUM(E18:F18:G18)</f>
        <v/>
      </c>
    </row>
    <row r="19">
      <c r="A19" s="22" t="n"/>
      <c r="B19" s="22" t="n"/>
      <c r="C19" s="22" t="n"/>
      <c r="D19" s="22" t="n"/>
      <c r="E19" s="40">
        <f>SUM(E3:E18)</f>
        <v/>
      </c>
      <c r="F19" s="27">
        <f>SUM(F3:F18)</f>
        <v/>
      </c>
      <c r="G19" s="27">
        <f>SUM(G3:G18)</f>
        <v/>
      </c>
      <c r="H19" s="22">
        <f>SUM(E19:F19:G19)</f>
        <v/>
      </c>
    </row>
    <row r="20">
      <c r="A20" s="22" t="n"/>
      <c r="B20" s="22" t="inlineStr">
        <is>
          <t>Total Usage Units</t>
        </is>
      </c>
      <c r="C20" s="22" t="n"/>
      <c r="D20" s="44">
        <f>SUM(D3:D19)</f>
        <v/>
      </c>
      <c r="E20" s="41" t="n"/>
      <c r="F20" s="22" t="n"/>
      <c r="G20" s="22" t="n"/>
      <c r="H20" s="22" t="n"/>
    </row>
    <row r="21" ht="15.75" customHeight="1" s="366">
      <c r="A21" s="22" t="n"/>
      <c r="B21" s="22" t="inlineStr">
        <is>
          <t>per Lt Cost With Manjira</t>
        </is>
      </c>
      <c r="C21" s="22" t="n"/>
      <c r="D21" s="22">
        <f>B24/D20</f>
        <v/>
      </c>
      <c r="E21" s="41" t="n"/>
      <c r="F21" s="22" t="n"/>
      <c r="G21" s="22" t="n"/>
      <c r="H21" s="22" t="n"/>
    </row>
    <row r="22" ht="15.75" customHeight="1" s="366">
      <c r="A22" s="22" t="n"/>
      <c r="B22" s="22" t="n"/>
      <c r="C22" s="22" t="n"/>
      <c r="D22" s="22" t="n"/>
      <c r="E22" s="41" t="n"/>
      <c r="F22" s="22" t="n"/>
      <c r="G22" s="22" t="n"/>
      <c r="H22" s="22" t="n"/>
    </row>
    <row r="23" ht="15.75" customHeight="1" s="366">
      <c r="A23" s="22" t="n"/>
      <c r="B23" s="22" t="n"/>
      <c r="C23" s="22" t="n"/>
      <c r="D23" s="22" t="n"/>
      <c r="E23" s="41" t="n"/>
      <c r="F23" s="22" t="n"/>
      <c r="G23" s="22" t="n"/>
      <c r="H23" s="22" t="n"/>
    </row>
    <row r="24" ht="15.75" customHeight="1" s="366">
      <c r="A24" s="22" t="inlineStr">
        <is>
          <t>Total Water Bill</t>
        </is>
      </c>
      <c r="B24" s="30" t="n">
        <v>3000</v>
      </c>
      <c r="C24" s="30" t="n"/>
      <c r="D24" s="22" t="n"/>
      <c r="E24" s="41" t="n"/>
      <c r="F24" s="22" t="n"/>
      <c r="G24" s="22" t="n"/>
      <c r="H24" s="22" t="n"/>
    </row>
    <row r="25" ht="30" customHeight="1" s="366">
      <c r="A25" s="47" t="inlineStr">
        <is>
          <t xml:space="preserve">WATER Tankers(3) </t>
        </is>
      </c>
      <c r="C25" s="1" t="n">
        <v>3000</v>
      </c>
    </row>
    <row r="26" ht="15.75" customHeight="1" s="366">
      <c r="A26" s="46" t="n"/>
      <c r="B26" s="46" t="n"/>
      <c r="C26" s="46" t="n"/>
      <c r="D26" s="46" t="n"/>
      <c r="E26" s="46" t="n"/>
      <c r="F26" s="46" t="n"/>
      <c r="G26" s="46" t="n"/>
      <c r="H26" s="46" t="n"/>
    </row>
    <row r="27" ht="15.75" customHeight="1" s="366"/>
    <row r="28" ht="15.75" customHeight="1" s="366">
      <c r="A28" s="27" t="inlineStr">
        <is>
          <t>Flat Number</t>
        </is>
      </c>
      <c r="B28" s="27" t="inlineStr">
        <is>
          <t>Previous Meter Reading</t>
        </is>
      </c>
      <c r="C28" s="27" t="inlineStr">
        <is>
          <t>Curret Meter Reading</t>
        </is>
      </c>
      <c r="D28" s="27" t="inlineStr">
        <is>
          <t>Total Units</t>
        </is>
      </c>
      <c r="E28" s="37" t="inlineStr">
        <is>
          <t>Water Bill</t>
        </is>
      </c>
      <c r="F28" s="22" t="inlineStr">
        <is>
          <t>CommonMaintanence</t>
        </is>
      </c>
      <c r="G28" s="22" t="inlineStr">
        <is>
          <t>Common meter bill paid extra Amount</t>
        </is>
      </c>
      <c r="H28" s="22" t="inlineStr">
        <is>
          <t>Total to Pay</t>
        </is>
      </c>
      <c r="J28" s="1" t="inlineStr">
        <is>
          <t>Diff</t>
        </is>
      </c>
    </row>
    <row r="29" ht="15.75" customHeight="1" s="366">
      <c r="A29" s="29" t="inlineStr">
        <is>
          <t>G1</t>
        </is>
      </c>
      <c r="B29" s="30" t="n">
        <v>0.99</v>
      </c>
      <c r="C29" s="30" t="n">
        <v>1.09</v>
      </c>
      <c r="D29" s="44">
        <f>(C29-B29)*1000</f>
        <v/>
      </c>
      <c r="E29" s="38">
        <f>ROUND(D29*D47,0)</f>
        <v/>
      </c>
      <c r="F29" s="22" t="n">
        <v>600</v>
      </c>
      <c r="G29" s="22" t="n">
        <v>139</v>
      </c>
      <c r="H29" s="22">
        <f>SUM(E29:F29:G29)</f>
        <v/>
      </c>
      <c r="I29" s="1" t="n">
        <v>743</v>
      </c>
      <c r="J29" s="1">
        <f>H29-I29</f>
        <v/>
      </c>
    </row>
    <row r="30" ht="15.75" customHeight="1" s="366">
      <c r="A30" s="29" t="inlineStr">
        <is>
          <t>G2</t>
        </is>
      </c>
      <c r="B30" s="30" t="n">
        <v>12.49</v>
      </c>
      <c r="C30" s="30" t="n">
        <v>18.59</v>
      </c>
      <c r="D30" s="22">
        <f>(C30-B30)*1000</f>
        <v/>
      </c>
      <c r="E30" s="38">
        <f>ROUND(D30*D47,0)</f>
        <v/>
      </c>
      <c r="F30" s="22" t="n">
        <v>1000</v>
      </c>
      <c r="G30" s="22" t="n">
        <v>139</v>
      </c>
      <c r="H30" s="22">
        <f>SUM(E30:F30)</f>
        <v/>
      </c>
      <c r="I30" s="1" t="n">
        <v>1214</v>
      </c>
      <c r="J30" s="1">
        <f>H30-I30</f>
        <v/>
      </c>
    </row>
    <row r="31" ht="15.75" customHeight="1" s="366">
      <c r="A31" s="32" t="inlineStr">
        <is>
          <t>G3</t>
        </is>
      </c>
      <c r="B31" s="33" t="n">
        <v>72.51000000000001</v>
      </c>
      <c r="C31" s="33" t="n">
        <v>72.59999999999999</v>
      </c>
      <c r="D31" s="22">
        <f>(C31-B31)*1000</f>
        <v/>
      </c>
      <c r="E31" s="39">
        <f>ROUND(D31*D47,0)</f>
        <v/>
      </c>
      <c r="F31" s="22" t="n">
        <v>1000</v>
      </c>
      <c r="G31" s="22" t="n">
        <v>139</v>
      </c>
      <c r="H31" s="22">
        <f>SUM(E31:F31:G31)</f>
        <v/>
      </c>
      <c r="I31" s="1" t="n">
        <v>1142</v>
      </c>
      <c r="J31" s="1">
        <f>H31-I31</f>
        <v/>
      </c>
    </row>
    <row r="32" ht="15.75" customHeight="1" s="366">
      <c r="A32" s="32" t="inlineStr">
        <is>
          <t>G4</t>
        </is>
      </c>
      <c r="B32" s="33" t="n">
        <v>66.77</v>
      </c>
      <c r="C32" s="33" t="n">
        <v>74.84999999999999</v>
      </c>
      <c r="D32" s="22">
        <f>(C32-B32)*1000</f>
        <v/>
      </c>
      <c r="E32" s="39">
        <f>ROUND(D32*D47,0)</f>
        <v/>
      </c>
      <c r="F32" s="22" t="n">
        <v>1000</v>
      </c>
      <c r="G32" s="22" t="n">
        <v>139</v>
      </c>
      <c r="H32" s="22">
        <f>SUM(E32:F32:G32)</f>
        <v/>
      </c>
      <c r="I32" s="1" t="n">
        <v>1423</v>
      </c>
      <c r="J32" s="1">
        <f>H32-I32</f>
        <v/>
      </c>
    </row>
    <row r="33" ht="15.75" customHeight="1" s="366">
      <c r="A33" s="29" t="n">
        <v>101</v>
      </c>
      <c r="B33" s="30" t="n">
        <v>0.38</v>
      </c>
      <c r="C33" s="30" t="n">
        <v>0.38</v>
      </c>
      <c r="D33" s="22">
        <f>(C33-B33)*1000</f>
        <v/>
      </c>
      <c r="E33" s="38">
        <f>ROUND(D33*D47,0)</f>
        <v/>
      </c>
      <c r="F33" s="22" t="n">
        <v>600</v>
      </c>
      <c r="G33" s="22" t="n">
        <v>139</v>
      </c>
      <c r="H33" s="22">
        <f>SUM(E33:F33:G33)</f>
        <v/>
      </c>
      <c r="I33" s="1" t="n">
        <v>739</v>
      </c>
      <c r="J33" s="1">
        <f>H33-I33</f>
        <v/>
      </c>
    </row>
    <row r="34" ht="15.75" customHeight="1" s="366">
      <c r="A34" s="32" t="n">
        <v>102</v>
      </c>
      <c r="B34" s="33" t="n">
        <v>119.75</v>
      </c>
      <c r="C34" s="33" t="n">
        <v>133.74</v>
      </c>
      <c r="D34" s="22">
        <f>(C34-B34)*1000</f>
        <v/>
      </c>
      <c r="E34" s="39">
        <f>ROUND(D34*D47,0)</f>
        <v/>
      </c>
      <c r="F34" s="22" t="n">
        <v>1000</v>
      </c>
      <c r="G34" s="22" t="n">
        <v>139</v>
      </c>
      <c r="H34" s="22">
        <f>SUM(E34:F34)</f>
        <v/>
      </c>
      <c r="I34" s="1" t="n">
        <v>1491</v>
      </c>
      <c r="J34" s="1">
        <f>H34-I34</f>
        <v/>
      </c>
    </row>
    <row r="35" ht="15.75" customHeight="1" s="366">
      <c r="A35" s="29" t="n">
        <v>103</v>
      </c>
      <c r="B35" s="30" t="n">
        <v>0.83</v>
      </c>
      <c r="C35" s="30" t="n">
        <v>0.83</v>
      </c>
      <c r="D35" s="22">
        <f>(C35-B35)*1000</f>
        <v/>
      </c>
      <c r="E35" s="38">
        <f>ROUND(D35*D47,0)</f>
        <v/>
      </c>
      <c r="F35" s="22" t="n">
        <v>1000</v>
      </c>
      <c r="G35" s="22" t="n">
        <v>139</v>
      </c>
      <c r="H35" s="22">
        <f>SUM(E35:F35:G35)</f>
        <v/>
      </c>
      <c r="I35" s="1" t="n">
        <v>1139</v>
      </c>
      <c r="J35" s="1">
        <f>H35-I35</f>
        <v/>
      </c>
    </row>
    <row r="36" ht="15.75" customHeight="1" s="366">
      <c r="A36" s="32" t="n">
        <v>104</v>
      </c>
      <c r="B36" s="45" t="n">
        <v>38.01</v>
      </c>
      <c r="C36" s="45" t="n">
        <v>42.45</v>
      </c>
      <c r="D36" s="22">
        <f>(C36-B36)*1000</f>
        <v/>
      </c>
      <c r="E36" s="39">
        <f>ROUND(D36*D47,0)</f>
        <v/>
      </c>
      <c r="F36" s="22" t="n">
        <v>1000</v>
      </c>
      <c r="G36" s="22" t="n">
        <v>139</v>
      </c>
      <c r="H36" s="22">
        <f>SUM(E36:F36:G36)</f>
        <v/>
      </c>
      <c r="I36" s="1" t="n">
        <v>1295</v>
      </c>
      <c r="J36" s="1">
        <f>H36-I36</f>
        <v/>
      </c>
    </row>
    <row r="37" ht="15.75" customHeight="1" s="366">
      <c r="A37" s="267" t="n">
        <v>201</v>
      </c>
      <c r="B37" s="268" t="n">
        <v>1.53</v>
      </c>
      <c r="C37" s="268" t="n">
        <v>1.53</v>
      </c>
      <c r="D37" s="22">
        <f>(C37-B37)*1000</f>
        <v/>
      </c>
      <c r="E37" s="38">
        <f>ROUND(D37*D47,0)</f>
        <v/>
      </c>
      <c r="F37" s="22" t="n">
        <v>600</v>
      </c>
      <c r="G37" s="22" t="n">
        <v>139</v>
      </c>
      <c r="H37" s="22">
        <f>SUM(E37:F37:G37)</f>
        <v/>
      </c>
      <c r="I37" s="1" t="n">
        <v>739</v>
      </c>
      <c r="J37" s="1">
        <f>H37-I37</f>
        <v/>
      </c>
    </row>
    <row r="38" ht="15.75" customHeight="1" s="366">
      <c r="A38" s="32" t="n">
        <v>202</v>
      </c>
      <c r="B38" s="33" t="n">
        <v>75.68000000000001</v>
      </c>
      <c r="C38" s="33" t="n">
        <v>86.58</v>
      </c>
      <c r="D38" s="22">
        <f>(C38-B38)*1000</f>
        <v/>
      </c>
      <c r="E38" s="39">
        <f>ROUND(D38*D47,0)</f>
        <v/>
      </c>
      <c r="F38" s="22" t="n">
        <v>1000</v>
      </c>
      <c r="G38" s="22" t="n">
        <v>139</v>
      </c>
      <c r="H38" s="22">
        <f>SUM(E38:F38:G38)</f>
        <v/>
      </c>
      <c r="I38" s="1" t="n">
        <v>1522</v>
      </c>
      <c r="J38" s="1">
        <f>H38-I38</f>
        <v/>
      </c>
    </row>
    <row r="39" ht="15.75" customHeight="1" s="366">
      <c r="A39" s="29" t="n">
        <v>203</v>
      </c>
      <c r="B39" s="30" t="n">
        <v>17.03</v>
      </c>
      <c r="C39" s="30" t="n">
        <v>31.59</v>
      </c>
      <c r="D39" s="22">
        <f>(C39-B39)*1000</f>
        <v/>
      </c>
      <c r="E39" s="38">
        <f>ROUND(D39*D47,0)</f>
        <v/>
      </c>
      <c r="F39" s="22" t="n">
        <v>1000</v>
      </c>
      <c r="G39" s="22" t="n">
        <v>139</v>
      </c>
      <c r="H39" s="22">
        <f>SUM(E39:F39:G39)</f>
        <v/>
      </c>
      <c r="I39" s="1" t="n">
        <v>1650</v>
      </c>
      <c r="J39" s="1">
        <f>H39-I39</f>
        <v/>
      </c>
    </row>
    <row r="40" ht="15.75" customHeight="1" s="366">
      <c r="A40" s="29" t="n">
        <v>204</v>
      </c>
      <c r="B40" s="30" t="n">
        <v>10.85</v>
      </c>
      <c r="C40" s="30" t="n">
        <v>22.86</v>
      </c>
      <c r="D40" s="22">
        <f>(C40-B40)*1000</f>
        <v/>
      </c>
      <c r="E40" s="38">
        <f>ROUND(D40*D47,0)</f>
        <v/>
      </c>
      <c r="F40" s="22" t="n">
        <v>1000</v>
      </c>
      <c r="G40" s="22" t="n">
        <v>139</v>
      </c>
      <c r="H40" s="22">
        <f>SUM(E40:F40:G40)</f>
        <v/>
      </c>
      <c r="I40" s="1" t="n">
        <v>1561</v>
      </c>
      <c r="J40" s="1">
        <f>H40-I40</f>
        <v/>
      </c>
    </row>
    <row r="41" ht="15.75" customHeight="1" s="366">
      <c r="A41" s="29" t="n">
        <v>301</v>
      </c>
      <c r="B41" s="30" t="n">
        <v>0.38</v>
      </c>
      <c r="C41" s="30" t="n">
        <v>0.38</v>
      </c>
      <c r="D41" s="22">
        <f>(C41-B41)*1000</f>
        <v/>
      </c>
      <c r="E41" s="38">
        <f>ROUND(D41*D47,0)</f>
        <v/>
      </c>
      <c r="F41" s="22" t="n">
        <v>600</v>
      </c>
      <c r="G41" s="22" t="n">
        <v>139</v>
      </c>
      <c r="H41" s="22">
        <f>SUM(E41:F41:G41)</f>
        <v/>
      </c>
      <c r="I41" s="1" t="n">
        <v>739</v>
      </c>
      <c r="J41" s="1">
        <f>H41-I41</f>
        <v/>
      </c>
    </row>
    <row r="42" ht="15.75" customHeight="1" s="366">
      <c r="A42" s="29" t="n">
        <v>302</v>
      </c>
      <c r="B42" s="30" t="n">
        <v>0.38</v>
      </c>
      <c r="C42" s="30" t="n">
        <v>0.38</v>
      </c>
      <c r="D42" s="22">
        <f>(C42-B42)*1000</f>
        <v/>
      </c>
      <c r="E42" s="38">
        <f>ROUND(D42*D47,0)</f>
        <v/>
      </c>
      <c r="F42" s="22" t="n">
        <v>600</v>
      </c>
      <c r="G42" s="22" t="n">
        <v>139</v>
      </c>
      <c r="H42" s="22">
        <f>SUM(E42:F42:G42)</f>
        <v/>
      </c>
      <c r="I42" s="1" t="n">
        <v>739</v>
      </c>
      <c r="J42" s="1">
        <f>H42-I42</f>
        <v/>
      </c>
    </row>
    <row r="43" ht="15.75" customHeight="1" s="366">
      <c r="A43" s="32" t="n">
        <v>303</v>
      </c>
      <c r="B43" s="33" t="n">
        <v>184.96</v>
      </c>
      <c r="C43" s="33" t="n">
        <v>200.12</v>
      </c>
      <c r="D43" s="22">
        <f>(C43-B43)*1000</f>
        <v/>
      </c>
      <c r="E43" s="39">
        <f>ROUND(D43*D47,0)</f>
        <v/>
      </c>
      <c r="F43" s="22" t="n">
        <v>1000</v>
      </c>
      <c r="G43" s="22" t="n">
        <v>139</v>
      </c>
      <c r="H43" s="22">
        <f>SUM(E43:F43:G43)</f>
        <v/>
      </c>
      <c r="I43" s="1" t="n">
        <v>1671</v>
      </c>
      <c r="J43" s="1">
        <f>H43-I43</f>
        <v/>
      </c>
    </row>
    <row r="44" ht="15.75" customHeight="1" s="366">
      <c r="A44" s="29" t="n">
        <v>304</v>
      </c>
      <c r="B44" s="30" t="n">
        <v>0.59</v>
      </c>
      <c r="C44" s="30" t="n">
        <v>0.59</v>
      </c>
      <c r="D44" s="22">
        <f>(C44-B44)*1000</f>
        <v/>
      </c>
      <c r="E44" s="38">
        <f>ROUND(D44*D47,0)</f>
        <v/>
      </c>
      <c r="F44" s="22" t="n">
        <v>600</v>
      </c>
      <c r="G44" s="22" t="n">
        <v>139</v>
      </c>
      <c r="H44" s="22">
        <f>SUM(E44:F44:G44)</f>
        <v/>
      </c>
      <c r="I44" s="1" t="n">
        <v>739</v>
      </c>
      <c r="J44" s="1">
        <f>H44-I44</f>
        <v/>
      </c>
    </row>
    <row r="45" ht="15.75" customHeight="1" s="366">
      <c r="A45" s="22" t="n"/>
      <c r="B45" s="22" t="n"/>
      <c r="C45" s="22" t="n"/>
      <c r="D45" s="22" t="n"/>
      <c r="E45" s="40">
        <f>SUM(E29:E44)</f>
        <v/>
      </c>
      <c r="F45" s="27">
        <f>SUM(F29:F44)</f>
        <v/>
      </c>
      <c r="G45" s="27">
        <f>SUM(G29:G44)</f>
        <v/>
      </c>
      <c r="H45" s="22">
        <f>SUM(E45:F45:G45)</f>
        <v/>
      </c>
      <c r="I45" s="1" t="n">
        <v>18824</v>
      </c>
      <c r="J45" s="1">
        <f>H45-I45</f>
        <v/>
      </c>
    </row>
    <row r="46" ht="15.75" customHeight="1" s="366">
      <c r="A46" s="22" t="n"/>
      <c r="B46" s="22" t="inlineStr">
        <is>
          <t>Total Usage Units</t>
        </is>
      </c>
      <c r="C46" s="22" t="n"/>
      <c r="D46" s="44">
        <f>SUM(D29:D45)</f>
        <v/>
      </c>
      <c r="E46" s="41" t="n"/>
      <c r="F46" s="22" t="n"/>
      <c r="G46" s="22" t="n"/>
      <c r="H46" s="22" t="n"/>
    </row>
    <row r="47" ht="15.75" customHeight="1" s="366">
      <c r="A47" s="22" t="n"/>
      <c r="B47" s="22" t="inlineStr">
        <is>
          <t>per Lt Cost With Manjira</t>
        </is>
      </c>
      <c r="C47" s="22" t="n"/>
      <c r="D47" s="22">
        <f>B50/D46</f>
        <v/>
      </c>
      <c r="E47" s="41" t="n"/>
      <c r="F47" s="22" t="n"/>
      <c r="G47" s="22" t="n"/>
      <c r="H47" s="22" t="n"/>
    </row>
    <row r="50" ht="15.75" customHeight="1" s="366">
      <c r="A50" s="22" t="inlineStr">
        <is>
          <t>Total Water Bill</t>
        </is>
      </c>
      <c r="B50" s="30">
        <f>3000+2044</f>
        <v/>
      </c>
      <c r="C50" s="30" t="n"/>
    </row>
    <row r="51" ht="30" customHeight="1" s="366">
      <c r="A51" s="47" t="inlineStr">
        <is>
          <t xml:space="preserve">WATER Tankers(3) </t>
        </is>
      </c>
      <c r="C51" s="1" t="n">
        <v>3000</v>
      </c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M77"/>
  <sheetViews>
    <sheetView topLeftCell="A55" workbookViewId="0">
      <selection activeCell="A66" activeCellId="2" sqref="A13:C13 A41:C41 A66"/>
    </sheetView>
  </sheetViews>
  <sheetFormatPr baseColWidth="8" defaultColWidth="14.42578125" defaultRowHeight="15" customHeight="1"/>
  <cols>
    <col width="10.7109375" customWidth="1" style="366" min="1" max="1"/>
    <col width="13.28515625" customWidth="1" style="366" min="2" max="2"/>
    <col width="12.28515625" customWidth="1" style="366" min="3" max="3"/>
    <col width="9.28515625" customWidth="1" style="366" min="4" max="5"/>
    <col width="9.85546875" customWidth="1" style="366" min="6" max="6"/>
    <col width="11.7109375" customWidth="1" style="366" min="7" max="7"/>
    <col width="13.140625" customWidth="1" style="366" min="8" max="8"/>
    <col width="16.28515625" customWidth="1" style="366" min="9" max="9"/>
    <col width="7.5703125" customWidth="1" style="366" min="10" max="11"/>
    <col width="22.140625" customWidth="1" style="366" min="12" max="12"/>
    <col width="7.5703125" customWidth="1" style="366" min="13" max="13"/>
  </cols>
  <sheetData>
    <row r="2">
      <c r="A2" s="27" t="inlineStr">
        <is>
          <t>Flat Number</t>
        </is>
      </c>
      <c r="B2" s="27" t="inlineStr">
        <is>
          <t>Previous Meter Reading</t>
        </is>
      </c>
      <c r="C2" s="27" t="inlineStr">
        <is>
          <t>Curret Meter Reading</t>
        </is>
      </c>
      <c r="D2" s="27" t="inlineStr">
        <is>
          <t>Total Units</t>
        </is>
      </c>
      <c r="E2" s="37" t="inlineStr">
        <is>
          <t>Water Bill</t>
        </is>
      </c>
      <c r="F2" s="22" t="inlineStr">
        <is>
          <t>CommonMaintanence</t>
        </is>
      </c>
      <c r="G2" s="41" t="inlineStr">
        <is>
          <t>Total to Pay</t>
        </is>
      </c>
      <c r="H2" s="27" t="inlineStr">
        <is>
          <t>Payment Status</t>
        </is>
      </c>
      <c r="L2" s="48" t="inlineStr">
        <is>
          <t>Carpus Fund Amounts</t>
        </is>
      </c>
    </row>
    <row r="3">
      <c r="A3" s="49" t="inlineStr">
        <is>
          <t>Shop-1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50" t="inlineStr">
        <is>
          <t>NA</t>
        </is>
      </c>
      <c r="F3" s="22" t="n">
        <v>300</v>
      </c>
      <c r="G3" s="41" t="n">
        <v>300</v>
      </c>
      <c r="H3" s="51" t="n">
        <v>300</v>
      </c>
      <c r="L3" s="48" t="n"/>
    </row>
    <row r="4">
      <c r="A4" s="49" t="inlineStr">
        <is>
          <t>Shop-2</t>
        </is>
      </c>
      <c r="B4" s="29" t="inlineStr">
        <is>
          <t>NA</t>
        </is>
      </c>
      <c r="C4" s="29" t="inlineStr">
        <is>
          <t>NA</t>
        </is>
      </c>
      <c r="D4" s="29" t="inlineStr">
        <is>
          <t>NA</t>
        </is>
      </c>
      <c r="E4" s="50" t="inlineStr">
        <is>
          <t>NA</t>
        </is>
      </c>
      <c r="F4" s="22" t="n">
        <v>300</v>
      </c>
      <c r="G4" s="41" t="n">
        <v>300</v>
      </c>
      <c r="H4" s="51" t="n">
        <v>300</v>
      </c>
      <c r="L4" s="48" t="n"/>
    </row>
    <row r="5">
      <c r="A5" s="29" t="inlineStr">
        <is>
          <t>G1</t>
        </is>
      </c>
      <c r="B5" s="30" t="n">
        <v>1.09</v>
      </c>
      <c r="C5" s="30" t="n">
        <v>1.09</v>
      </c>
      <c r="D5" s="44">
        <f>(C5-B5)*1000</f>
        <v/>
      </c>
      <c r="E5" s="38">
        <f>ROUND(D5*D23,0)</f>
        <v/>
      </c>
      <c r="F5" s="22" t="n">
        <v>600</v>
      </c>
      <c r="G5" s="41">
        <f>SUM(E5:F5)</f>
        <v/>
      </c>
      <c r="H5" s="51" t="n">
        <v>600</v>
      </c>
      <c r="L5" s="270" t="inlineStr">
        <is>
          <t>Flat No</t>
        </is>
      </c>
      <c r="M5" s="270" t="inlineStr">
        <is>
          <t>Amount</t>
        </is>
      </c>
    </row>
    <row r="6">
      <c r="A6" s="29" t="inlineStr">
        <is>
          <t>G2</t>
        </is>
      </c>
      <c r="B6" s="30" t="n">
        <v>18.59</v>
      </c>
      <c r="C6" s="30" t="n">
        <v>27.39</v>
      </c>
      <c r="D6" s="22">
        <f>(C6-B6)*1000</f>
        <v/>
      </c>
      <c r="E6" s="38">
        <f>ROUND(D6*D23,0)</f>
        <v/>
      </c>
      <c r="F6" s="22" t="n">
        <v>1000</v>
      </c>
      <c r="G6" s="41">
        <f>SUM(E6:F6)</f>
        <v/>
      </c>
      <c r="H6" s="51" t="n">
        <v>1632</v>
      </c>
      <c r="L6" s="22" t="inlineStr">
        <is>
          <t>G2</t>
        </is>
      </c>
      <c r="M6" s="22" t="n">
        <v>5000</v>
      </c>
    </row>
    <row r="7">
      <c r="A7" s="32" t="inlineStr">
        <is>
          <t>G3</t>
        </is>
      </c>
      <c r="B7" s="33" t="n">
        <v>72.59999999999999</v>
      </c>
      <c r="C7" s="33" t="n">
        <v>84.19</v>
      </c>
      <c r="D7" s="22">
        <f>(C7-B7)*1000</f>
        <v/>
      </c>
      <c r="E7" s="39">
        <f>ROUND(D7*D23,0)</f>
        <v/>
      </c>
      <c r="F7" s="22" t="n">
        <v>1000</v>
      </c>
      <c r="G7" s="41">
        <f>SUM(E7:F7)</f>
        <v/>
      </c>
      <c r="H7" s="51" t="n">
        <v>1833</v>
      </c>
      <c r="L7" s="22" t="inlineStr">
        <is>
          <t>G3</t>
        </is>
      </c>
      <c r="M7" s="22" t="n">
        <v>5000</v>
      </c>
    </row>
    <row r="8">
      <c r="A8" s="32" t="inlineStr">
        <is>
          <t>G4</t>
        </is>
      </c>
      <c r="B8" s="33" t="n">
        <v>74.84999999999999</v>
      </c>
      <c r="C8" s="33" t="n">
        <v>83.56</v>
      </c>
      <c r="D8" s="22">
        <f>(C8-B8)*1000</f>
        <v/>
      </c>
      <c r="E8" s="39">
        <f>ROUND(D8*D23,0)</f>
        <v/>
      </c>
      <c r="F8" s="22" t="n">
        <v>1000</v>
      </c>
      <c r="G8" s="41">
        <f>SUM(E8:F8)</f>
        <v/>
      </c>
      <c r="H8" s="51" t="n">
        <v>1626</v>
      </c>
      <c r="L8" s="22" t="inlineStr">
        <is>
          <t>G4</t>
        </is>
      </c>
      <c r="M8" s="22" t="n">
        <v>5000</v>
      </c>
    </row>
    <row r="9">
      <c r="A9" s="29" t="n">
        <v>101</v>
      </c>
      <c r="B9" s="30" t="n">
        <v>0.38</v>
      </c>
      <c r="C9" s="30" t="n">
        <v>0.38</v>
      </c>
      <c r="D9" s="22">
        <f>(C9-B9)*1000</f>
        <v/>
      </c>
      <c r="E9" s="38">
        <f>ROUND(D9*D23,0)</f>
        <v/>
      </c>
      <c r="F9" s="22" t="n">
        <v>600</v>
      </c>
      <c r="G9" s="41">
        <f>SUM(E9:F9)</f>
        <v/>
      </c>
      <c r="H9" s="51" t="n">
        <v>600</v>
      </c>
      <c r="L9" s="52" t="inlineStr">
        <is>
          <t>102</t>
        </is>
      </c>
      <c r="M9" s="22" t="n">
        <v>5000</v>
      </c>
    </row>
    <row r="10">
      <c r="A10" s="32" t="n">
        <v>102</v>
      </c>
      <c r="B10" s="33" t="n">
        <v>133.74</v>
      </c>
      <c r="C10" s="33" t="n">
        <v>139.19</v>
      </c>
      <c r="D10" s="22">
        <f>(C10-B10)*1000</f>
        <v/>
      </c>
      <c r="E10" s="39">
        <f>ROUND(D10*D23,0)</f>
        <v/>
      </c>
      <c r="F10" s="22" t="n">
        <v>1000</v>
      </c>
      <c r="G10" s="41">
        <f>SUM(E10:F10)</f>
        <v/>
      </c>
      <c r="H10" s="51" t="n">
        <v>1392</v>
      </c>
      <c r="L10" s="22" t="inlineStr">
        <is>
          <t>103</t>
        </is>
      </c>
      <c r="M10" s="22" t="n">
        <v>5000</v>
      </c>
    </row>
    <row r="11">
      <c r="A11" s="29" t="n">
        <v>103</v>
      </c>
      <c r="B11" s="30" t="n">
        <v>0.83</v>
      </c>
      <c r="C11" s="30" t="n">
        <v>0.83</v>
      </c>
      <c r="D11" s="22">
        <f>(C11-B11)*1000</f>
        <v/>
      </c>
      <c r="E11" s="38">
        <f>ROUND(D11*D23,0)</f>
        <v/>
      </c>
      <c r="F11" s="22" t="n">
        <v>1000</v>
      </c>
      <c r="G11" s="41">
        <f>SUM(E11:F11)</f>
        <v/>
      </c>
      <c r="H11" s="51" t="n">
        <v>1000</v>
      </c>
      <c r="L11" s="22" t="inlineStr">
        <is>
          <t>104</t>
        </is>
      </c>
      <c r="M11" s="22" t="n">
        <v>5000</v>
      </c>
    </row>
    <row r="12">
      <c r="A12" s="32" t="n">
        <v>104</v>
      </c>
      <c r="B12" s="45" t="n">
        <v>42.45</v>
      </c>
      <c r="C12" s="45" t="n">
        <v>47.4</v>
      </c>
      <c r="D12" s="22">
        <f>(C12-B12)*1000</f>
        <v/>
      </c>
      <c r="E12" s="39">
        <f>ROUND(D12*D23,0)</f>
        <v/>
      </c>
      <c r="F12" s="22" t="n">
        <v>1000</v>
      </c>
      <c r="G12" s="41">
        <f>SUM(E12:F12)</f>
        <v/>
      </c>
      <c r="H12" s="51" t="n">
        <v>1356</v>
      </c>
      <c r="L12" s="22" t="inlineStr">
        <is>
          <t>202</t>
        </is>
      </c>
      <c r="M12" s="22" t="n">
        <v>5000</v>
      </c>
    </row>
    <row r="13">
      <c r="A13" s="267" t="n">
        <v>201</v>
      </c>
      <c r="B13" s="268" t="n">
        <v>1.53</v>
      </c>
      <c r="C13" s="268" t="n">
        <v>1.59</v>
      </c>
      <c r="D13" s="22">
        <f>(C13-B13)*1000</f>
        <v/>
      </c>
      <c r="E13" s="38">
        <f>ROUND(D13*D23,0)</f>
        <v/>
      </c>
      <c r="F13" s="22" t="n">
        <v>600</v>
      </c>
      <c r="G13" s="41">
        <f>SUM(E13:F13)</f>
        <v/>
      </c>
      <c r="H13" s="51" t="n">
        <v>600</v>
      </c>
      <c r="L13" s="22" t="inlineStr">
        <is>
          <t>203</t>
        </is>
      </c>
      <c r="M13" s="22" t="n">
        <v>5000</v>
      </c>
    </row>
    <row r="14">
      <c r="A14" s="32" t="n">
        <v>202</v>
      </c>
      <c r="B14" s="33" t="n">
        <v>86.58</v>
      </c>
      <c r="C14" s="33" t="n">
        <v>95.34999999999999</v>
      </c>
      <c r="D14" s="22">
        <f>(C14-B14)*1000</f>
        <v/>
      </c>
      <c r="E14" s="39">
        <f>ROUND(D14*D23,0)</f>
        <v/>
      </c>
      <c r="F14" s="22" t="n">
        <v>1000</v>
      </c>
      <c r="G14" s="41">
        <f>SUM(E14:F14)</f>
        <v/>
      </c>
      <c r="H14" s="51" t="n">
        <v>1630</v>
      </c>
      <c r="L14" s="22" t="inlineStr">
        <is>
          <t>204</t>
        </is>
      </c>
      <c r="M14" s="22" t="n">
        <v>5000</v>
      </c>
    </row>
    <row r="15">
      <c r="A15" s="29" t="n">
        <v>203</v>
      </c>
      <c r="B15" s="30" t="n">
        <v>31.59</v>
      </c>
      <c r="C15" s="30" t="n">
        <v>43.25</v>
      </c>
      <c r="D15" s="22">
        <f>(C15-B15)*1000</f>
        <v/>
      </c>
      <c r="E15" s="38">
        <f>ROUND(D15*D23,0)</f>
        <v/>
      </c>
      <c r="F15" s="22" t="n">
        <v>1000</v>
      </c>
      <c r="G15" s="41">
        <f>SUM(E15:F15)</f>
        <v/>
      </c>
      <c r="H15" s="51" t="n">
        <v>1838</v>
      </c>
      <c r="L15" s="22" t="inlineStr">
        <is>
          <t>303</t>
        </is>
      </c>
      <c r="M15" s="22" t="n">
        <v>5000</v>
      </c>
    </row>
    <row r="16">
      <c r="A16" s="29" t="n">
        <v>204</v>
      </c>
      <c r="B16" s="30" t="n">
        <v>22.86</v>
      </c>
      <c r="C16" s="30" t="n">
        <v>30.21</v>
      </c>
      <c r="D16" s="22">
        <f>(C16-B16)*1000</f>
        <v/>
      </c>
      <c r="E16" s="38">
        <f>ROUND(D16*D23,0)</f>
        <v/>
      </c>
      <c r="F16" s="22" t="n">
        <v>1000</v>
      </c>
      <c r="G16" s="41">
        <f>SUM(E16:F16)</f>
        <v/>
      </c>
      <c r="H16" s="51" t="n">
        <v>1528</v>
      </c>
    </row>
    <row r="17">
      <c r="A17" s="29" t="n">
        <v>301</v>
      </c>
      <c r="B17" s="30" t="n">
        <v>0.38</v>
      </c>
      <c r="C17" s="30" t="n">
        <v>0.38</v>
      </c>
      <c r="D17" s="22">
        <f>(C17-B17)*1000</f>
        <v/>
      </c>
      <c r="E17" s="38">
        <f>ROUND(D17*D23,0)</f>
        <v/>
      </c>
      <c r="F17" s="22" t="n">
        <v>600</v>
      </c>
      <c r="G17" s="41">
        <f>SUM(E17:F17)</f>
        <v/>
      </c>
      <c r="H17" s="51" t="n">
        <v>600</v>
      </c>
      <c r="L17" s="53" t="inlineStr">
        <is>
          <t>Expendeatures&amp; Collections of June 2021</t>
        </is>
      </c>
    </row>
    <row r="18">
      <c r="A18" s="29" t="n">
        <v>302</v>
      </c>
      <c r="B18" s="30" t="n">
        <v>0.38</v>
      </c>
      <c r="C18" s="30" t="n">
        <v>0.38</v>
      </c>
      <c r="D18" s="22">
        <f>(C18-B18)*1000</f>
        <v/>
      </c>
      <c r="E18" s="38">
        <f>ROUND(D18*D23,0)</f>
        <v/>
      </c>
      <c r="F18" s="22" t="n">
        <v>600</v>
      </c>
      <c r="G18" s="41">
        <f>SUM(E18:F18)</f>
        <v/>
      </c>
      <c r="H18" s="51" t="n">
        <v>600</v>
      </c>
      <c r="L18" s="54" t="inlineStr">
        <is>
          <t>Collection Amount</t>
        </is>
      </c>
      <c r="M18" s="15" t="n">
        <v>24870</v>
      </c>
    </row>
    <row r="19">
      <c r="A19" s="32" t="n">
        <v>303</v>
      </c>
      <c r="B19" s="33" t="n">
        <v>200.12</v>
      </c>
      <c r="C19" s="33" t="n">
        <v>216.19</v>
      </c>
      <c r="D19" s="22">
        <f>(C19-B19)*1000</f>
        <v/>
      </c>
      <c r="E19" s="39">
        <f>ROUND(D19*D23,0)</f>
        <v/>
      </c>
      <c r="F19" s="22" t="n">
        <v>1000</v>
      </c>
      <c r="G19" s="41">
        <f>SUM(E19:F19)</f>
        <v/>
      </c>
      <c r="H19" s="51" t="n">
        <v>2155</v>
      </c>
      <c r="L19" s="266" t="inlineStr">
        <is>
          <t>Expendeature Amt</t>
        </is>
      </c>
      <c r="M19" s="15" t="n">
        <v>15995</v>
      </c>
    </row>
    <row r="20">
      <c r="A20" s="29" t="n">
        <v>304</v>
      </c>
      <c r="B20" s="30" t="n">
        <v>0.59</v>
      </c>
      <c r="C20" s="30" t="n">
        <v>0.68</v>
      </c>
      <c r="D20" s="22">
        <f>(C20-B20)*1000</f>
        <v/>
      </c>
      <c r="E20" s="38">
        <f>ROUND(D20*D23,0)</f>
        <v/>
      </c>
      <c r="F20" s="22" t="n">
        <v>600</v>
      </c>
      <c r="G20" s="41">
        <f>SUM(E20:F20)</f>
        <v/>
      </c>
      <c r="H20" s="51" t="n">
        <v>600</v>
      </c>
    </row>
    <row r="21" ht="15.75" customHeight="1" s="366">
      <c r="A21" s="22" t="n"/>
      <c r="B21" s="22" t="n"/>
      <c r="C21" s="22" t="n"/>
      <c r="D21" s="22" t="n"/>
      <c r="E21" s="40">
        <f>SUM(E5:E20)</f>
        <v/>
      </c>
      <c r="F21" s="27">
        <f>SUM(F3:F20)</f>
        <v/>
      </c>
      <c r="G21" s="22">
        <f>SUM(E21:F21)</f>
        <v/>
      </c>
      <c r="H21" s="55">
        <f>SUM(H3:H20)</f>
        <v/>
      </c>
      <c r="L21" s="56" t="inlineStr">
        <is>
          <t>June Month AptBalance</t>
        </is>
      </c>
      <c r="M21" s="57">
        <f>M18-M19</f>
        <v/>
      </c>
    </row>
    <row r="22" ht="15.75" customHeight="1" s="366">
      <c r="A22" s="22" t="n"/>
      <c r="B22" s="22" t="inlineStr">
        <is>
          <t>Total Usage Units</t>
        </is>
      </c>
      <c r="C22" s="22" t="n"/>
      <c r="D22" s="44">
        <f>SUM(D5:D21)</f>
        <v/>
      </c>
      <c r="E22" s="41" t="n"/>
      <c r="F22" s="22" t="n"/>
      <c r="G22" s="22" t="n"/>
    </row>
    <row r="23" ht="17.25" customHeight="1" s="366">
      <c r="A23" s="22" t="n"/>
      <c r="B23" s="22" t="inlineStr">
        <is>
          <t>per Lt Cost With Manjira</t>
        </is>
      </c>
      <c r="C23" s="22" t="n"/>
      <c r="D23" s="22">
        <f>B26/D22</f>
        <v/>
      </c>
      <c r="E23" s="41" t="n"/>
      <c r="F23" s="22" t="n"/>
      <c r="G23" s="22" t="n"/>
      <c r="L23" s="58" t="inlineStr">
        <is>
          <t>Carpus fund Amt(June 2021)</t>
        </is>
      </c>
      <c r="M23" s="59" t="n">
        <v>40000</v>
      </c>
    </row>
    <row r="24" ht="15.75" customHeight="1" s="366">
      <c r="A24" s="22" t="n"/>
      <c r="B24" s="22" t="n"/>
      <c r="C24" s="22" t="n"/>
      <c r="D24" s="22" t="n"/>
      <c r="E24" s="41" t="n"/>
      <c r="F24" s="22" t="n"/>
      <c r="G24" s="22" t="n"/>
    </row>
    <row r="25" ht="15.75" customHeight="1" s="366">
      <c r="A25" s="22" t="n"/>
      <c r="B25" s="22" t="n"/>
      <c r="C25" s="22" t="n"/>
      <c r="D25" s="22" t="n"/>
      <c r="E25" s="41" t="n"/>
      <c r="F25" s="22" t="n"/>
      <c r="G25" s="22" t="n"/>
    </row>
    <row r="26" ht="15.75" customHeight="1" s="366">
      <c r="A26" s="22" t="inlineStr">
        <is>
          <t>Total Water Bill</t>
        </is>
      </c>
      <c r="B26" s="30">
        <f>6000</f>
        <v/>
      </c>
      <c r="C26" s="30" t="n"/>
      <c r="D26" s="22" t="n"/>
      <c r="E26" s="41" t="n"/>
      <c r="F26" s="22" t="n"/>
      <c r="G26" s="22" t="n"/>
    </row>
    <row r="27" ht="30" customHeight="1" s="366">
      <c r="A27" s="47" t="inlineStr">
        <is>
          <t xml:space="preserve">WATER Tankers(6) </t>
        </is>
      </c>
      <c r="C27" s="1" t="n">
        <v>6000</v>
      </c>
    </row>
    <row r="28" ht="15.75" customHeight="1" s="366">
      <c r="A28" s="46" t="n"/>
      <c r="B28" s="46" t="n"/>
      <c r="C28" s="46" t="n"/>
      <c r="D28" s="46" t="n"/>
      <c r="E28" s="46" t="n"/>
      <c r="F28" s="46" t="n"/>
      <c r="G28" s="46" t="n"/>
      <c r="H28" s="46" t="n"/>
    </row>
    <row r="29" ht="15.75" customHeight="1" s="366"/>
    <row r="30" ht="15.75" customHeight="1" s="366">
      <c r="A30" s="27" t="inlineStr">
        <is>
          <t>Flat Number</t>
        </is>
      </c>
      <c r="B30" s="27" t="inlineStr">
        <is>
          <t>Previous Meter Reading</t>
        </is>
      </c>
      <c r="C30" s="27" t="inlineStr">
        <is>
          <t>Curret Meter Reading</t>
        </is>
      </c>
      <c r="D30" s="27" t="inlineStr">
        <is>
          <t>Total Units</t>
        </is>
      </c>
      <c r="E30" s="37" t="inlineStr">
        <is>
          <t>Water Bill</t>
        </is>
      </c>
      <c r="F30" s="22" t="inlineStr">
        <is>
          <t>CommonMaintanence</t>
        </is>
      </c>
      <c r="G30" s="41" t="inlineStr">
        <is>
          <t>Total to Pay</t>
        </is>
      </c>
      <c r="H30" s="27" t="n"/>
      <c r="I30" s="36" t="n"/>
      <c r="J30" s="266" t="inlineStr">
        <is>
          <t>Diff</t>
        </is>
      </c>
      <c r="K30" s="36" t="n"/>
      <c r="L30" s="36" t="n"/>
      <c r="M30" s="36" t="n"/>
    </row>
    <row r="31" ht="15.75" customHeight="1" s="366">
      <c r="A31" s="49" t="inlineStr">
        <is>
          <t>Shop-1</t>
        </is>
      </c>
      <c r="B31" s="29" t="inlineStr">
        <is>
          <t>NA</t>
        </is>
      </c>
      <c r="C31" s="29" t="inlineStr">
        <is>
          <t>NA</t>
        </is>
      </c>
      <c r="D31" s="29" t="inlineStr">
        <is>
          <t>NA</t>
        </is>
      </c>
      <c r="E31" s="50" t="inlineStr">
        <is>
          <t>NA</t>
        </is>
      </c>
      <c r="F31" s="22" t="n">
        <v>300</v>
      </c>
      <c r="G31" s="41" t="n">
        <v>300</v>
      </c>
      <c r="H31" s="51" t="n"/>
      <c r="I31" s="1" t="n">
        <v>300</v>
      </c>
      <c r="J31" s="1">
        <f>G31-I31</f>
        <v/>
      </c>
    </row>
    <row r="32" ht="15.75" customHeight="1" s="366">
      <c r="A32" s="49" t="inlineStr">
        <is>
          <t>Shop-2</t>
        </is>
      </c>
      <c r="B32" s="29" t="inlineStr">
        <is>
          <t>NA</t>
        </is>
      </c>
      <c r="C32" s="29" t="inlineStr">
        <is>
          <t>NA</t>
        </is>
      </c>
      <c r="D32" s="29" t="inlineStr">
        <is>
          <t>NA</t>
        </is>
      </c>
      <c r="E32" s="50" t="inlineStr">
        <is>
          <t>NA</t>
        </is>
      </c>
      <c r="F32" s="22" t="n">
        <v>300</v>
      </c>
      <c r="G32" s="41" t="n">
        <v>300</v>
      </c>
      <c r="H32" s="51" t="n"/>
      <c r="I32" s="1" t="n">
        <v>300</v>
      </c>
      <c r="J32" s="1">
        <f>G32-I32</f>
        <v/>
      </c>
    </row>
    <row r="33" ht="15.75" customHeight="1" s="366">
      <c r="A33" s="29" t="inlineStr">
        <is>
          <t>G1</t>
        </is>
      </c>
      <c r="B33" s="30" t="n">
        <v>1.09</v>
      </c>
      <c r="C33" s="30" t="n">
        <v>1.09</v>
      </c>
      <c r="D33" s="44">
        <f>(C33-B33)*1000</f>
        <v/>
      </c>
      <c r="E33" s="38">
        <f>ROUND(D33*D51,0)</f>
        <v/>
      </c>
      <c r="F33" s="22" t="n">
        <v>600</v>
      </c>
      <c r="G33" s="41">
        <f>SUM(E33:F33)</f>
        <v/>
      </c>
      <c r="H33" s="51" t="n"/>
      <c r="I33" s="1" t="n">
        <v>600</v>
      </c>
      <c r="J33" s="1">
        <f>G33-I33</f>
        <v/>
      </c>
    </row>
    <row r="34" ht="15.75" customHeight="1" s="366">
      <c r="A34" s="29" t="inlineStr">
        <is>
          <t>G2</t>
        </is>
      </c>
      <c r="B34" s="30" t="n">
        <v>18.59</v>
      </c>
      <c r="C34" s="30" t="n">
        <v>27.39</v>
      </c>
      <c r="D34" s="22">
        <f>(C34-B34)*1000</f>
        <v/>
      </c>
      <c r="E34" s="38">
        <f>ROUND(D34*D51,0)</f>
        <v/>
      </c>
      <c r="F34" s="22" t="n">
        <v>1000</v>
      </c>
      <c r="G34" s="41">
        <f>SUM(E34:F34)</f>
        <v/>
      </c>
      <c r="H34" s="51" t="n"/>
      <c r="I34" s="1" t="n">
        <v>1632</v>
      </c>
      <c r="J34" s="1">
        <f>G34-I34</f>
        <v/>
      </c>
    </row>
    <row r="35" ht="15.75" customHeight="1" s="366">
      <c r="A35" s="32" t="inlineStr">
        <is>
          <t>G3</t>
        </is>
      </c>
      <c r="B35" s="33" t="n">
        <v>72.59999999999999</v>
      </c>
      <c r="C35" s="33" t="n">
        <v>84.19</v>
      </c>
      <c r="D35" s="22">
        <f>(C35-B35)*1000</f>
        <v/>
      </c>
      <c r="E35" s="39">
        <f>ROUND(D35*D51,0)</f>
        <v/>
      </c>
      <c r="F35" s="22" t="n">
        <v>1000</v>
      </c>
      <c r="G35" s="41">
        <f>SUM(E35:F35)</f>
        <v/>
      </c>
      <c r="H35" s="51" t="n"/>
      <c r="I35" s="1" t="n">
        <v>1833</v>
      </c>
      <c r="J35" s="1">
        <f>G35-I35</f>
        <v/>
      </c>
    </row>
    <row r="36" ht="15.75" customHeight="1" s="366">
      <c r="A36" s="32" t="inlineStr">
        <is>
          <t>G4</t>
        </is>
      </c>
      <c r="B36" s="33" t="n">
        <v>74.84999999999999</v>
      </c>
      <c r="C36" s="33" t="n">
        <v>83.56</v>
      </c>
      <c r="D36" s="22">
        <f>(C36-B36)*1000</f>
        <v/>
      </c>
      <c r="E36" s="39">
        <f>ROUND(D36*D51,0)</f>
        <v/>
      </c>
      <c r="F36" s="22" t="n">
        <v>1000</v>
      </c>
      <c r="G36" s="41">
        <f>SUM(E36:F36)</f>
        <v/>
      </c>
      <c r="H36" s="51" t="n"/>
      <c r="I36" s="1" t="n">
        <v>1626</v>
      </c>
      <c r="J36" s="1">
        <f>G36-I36</f>
        <v/>
      </c>
    </row>
    <row r="37" ht="15.75" customHeight="1" s="366">
      <c r="A37" s="29" t="n">
        <v>101</v>
      </c>
      <c r="B37" s="30" t="n">
        <v>0.38</v>
      </c>
      <c r="C37" s="30" t="n">
        <v>0.38</v>
      </c>
      <c r="D37" s="22">
        <f>(C37-B37)*1000</f>
        <v/>
      </c>
      <c r="E37" s="38">
        <f>ROUND(D37*D51,0)</f>
        <v/>
      </c>
      <c r="F37" s="22" t="n">
        <v>600</v>
      </c>
      <c r="G37" s="41">
        <f>SUM(E37:F37)</f>
        <v/>
      </c>
      <c r="H37" s="51" t="n"/>
      <c r="I37" s="1" t="n">
        <v>600</v>
      </c>
      <c r="J37" s="1">
        <f>G37-I37</f>
        <v/>
      </c>
    </row>
    <row r="38" ht="15.75" customHeight="1" s="366">
      <c r="A38" s="32" t="n">
        <v>102</v>
      </c>
      <c r="B38" s="33" t="n">
        <v>133.74</v>
      </c>
      <c r="C38" s="33" t="n">
        <v>139.19</v>
      </c>
      <c r="D38" s="22">
        <f>(C38-B38)*1000</f>
        <v/>
      </c>
      <c r="E38" s="39">
        <f>ROUND(D38*D51,0)</f>
        <v/>
      </c>
      <c r="F38" s="22" t="n">
        <v>1000</v>
      </c>
      <c r="G38" s="41">
        <f>SUM(E38:F38)</f>
        <v/>
      </c>
      <c r="H38" s="51" t="n"/>
      <c r="I38" s="1" t="n">
        <v>1392</v>
      </c>
      <c r="J38" s="1">
        <f>G38-I38</f>
        <v/>
      </c>
    </row>
    <row r="39" ht="15.75" customHeight="1" s="366">
      <c r="A39" s="29" t="n">
        <v>103</v>
      </c>
      <c r="B39" s="30" t="n">
        <v>0.83</v>
      </c>
      <c r="C39" s="30" t="n">
        <v>0.83</v>
      </c>
      <c r="D39" s="22">
        <f>(C39-B39)*1000</f>
        <v/>
      </c>
      <c r="E39" s="38">
        <f>ROUND(D39*D51,0)</f>
        <v/>
      </c>
      <c r="F39" s="22" t="n">
        <v>1000</v>
      </c>
      <c r="G39" s="41">
        <f>SUM(E39:F39)</f>
        <v/>
      </c>
      <c r="H39" s="51" t="n"/>
      <c r="I39" s="1" t="n">
        <v>1000</v>
      </c>
      <c r="J39" s="1">
        <f>G39-I39</f>
        <v/>
      </c>
    </row>
    <row r="40" ht="15.75" customHeight="1" s="366">
      <c r="A40" s="32" t="n">
        <v>104</v>
      </c>
      <c r="B40" s="45" t="n">
        <v>42.45</v>
      </c>
      <c r="C40" s="45" t="n">
        <v>47.4</v>
      </c>
      <c r="D40" s="22">
        <f>(C40-B40)*1000</f>
        <v/>
      </c>
      <c r="E40" s="39">
        <f>ROUND(D40*D51,0)</f>
        <v/>
      </c>
      <c r="F40" s="22" t="n">
        <v>1000</v>
      </c>
      <c r="G40" s="41">
        <f>SUM(E40:F40)</f>
        <v/>
      </c>
      <c r="H40" s="51" t="n"/>
      <c r="I40" s="1" t="n">
        <v>1356</v>
      </c>
      <c r="J40" s="1">
        <f>G40-I40</f>
        <v/>
      </c>
    </row>
    <row r="41" ht="15.75" customHeight="1" s="366">
      <c r="A41" s="267" t="n">
        <v>201</v>
      </c>
      <c r="B41" s="268" t="n">
        <v>1.53</v>
      </c>
      <c r="C41" s="268" t="n">
        <v>1.59</v>
      </c>
      <c r="D41" s="22">
        <f>(C41-B41)*1000</f>
        <v/>
      </c>
      <c r="E41" s="38">
        <f>ROUND(D41*D51,0)</f>
        <v/>
      </c>
      <c r="F41" s="22" t="n">
        <v>600</v>
      </c>
      <c r="G41" s="41">
        <f>SUM(E41:F41)</f>
        <v/>
      </c>
      <c r="H41" s="51" t="n"/>
      <c r="I41" s="1" t="n">
        <v>604</v>
      </c>
      <c r="J41" s="1">
        <f>G41-I41</f>
        <v/>
      </c>
    </row>
    <row r="42" ht="15.75" customHeight="1" s="366">
      <c r="A42" s="32" t="n">
        <v>202</v>
      </c>
      <c r="B42" s="33" t="n">
        <v>86.58</v>
      </c>
      <c r="C42" s="33" t="n">
        <v>95.34999999999999</v>
      </c>
      <c r="D42" s="22">
        <f>(C42-B42)*1000</f>
        <v/>
      </c>
      <c r="E42" s="39">
        <f>ROUND(D42*D51,0)</f>
        <v/>
      </c>
      <c r="F42" s="22" t="n">
        <v>1000</v>
      </c>
      <c r="G42" s="41">
        <f>SUM(E42:F42)</f>
        <v/>
      </c>
      <c r="H42" s="51" t="n"/>
      <c r="I42" s="1" t="n">
        <v>1630</v>
      </c>
      <c r="J42" s="1">
        <f>G42-I42</f>
        <v/>
      </c>
    </row>
    <row r="43" ht="15.75" customHeight="1" s="366">
      <c r="A43" s="29" t="n">
        <v>203</v>
      </c>
      <c r="B43" s="30" t="n">
        <v>31.59</v>
      </c>
      <c r="C43" s="30" t="n">
        <v>43.25</v>
      </c>
      <c r="D43" s="22">
        <f>(C43-B43)*1000</f>
        <v/>
      </c>
      <c r="E43" s="38">
        <f>ROUND(D43*D51,0)</f>
        <v/>
      </c>
      <c r="F43" s="22" t="n">
        <v>1000</v>
      </c>
      <c r="G43" s="41">
        <f>SUM(E43:F43)</f>
        <v/>
      </c>
      <c r="H43" s="51" t="n"/>
      <c r="I43" s="1" t="n">
        <v>1838</v>
      </c>
      <c r="J43" s="1">
        <f>G43-I43</f>
        <v/>
      </c>
    </row>
    <row r="44" ht="15.75" customHeight="1" s="366">
      <c r="A44" s="29" t="n">
        <v>204</v>
      </c>
      <c r="B44" s="30" t="n">
        <v>22.86</v>
      </c>
      <c r="C44" s="30" t="n">
        <v>30.21</v>
      </c>
      <c r="D44" s="22">
        <f>(C44-B44)*1000</f>
        <v/>
      </c>
      <c r="E44" s="38">
        <f>ROUND(D44*D51,0)</f>
        <v/>
      </c>
      <c r="F44" s="22" t="n">
        <v>1000</v>
      </c>
      <c r="G44" s="41">
        <f>SUM(E44:F44)</f>
        <v/>
      </c>
      <c r="H44" s="51" t="n"/>
      <c r="I44" s="1" t="n">
        <v>1528</v>
      </c>
      <c r="J44" s="1">
        <f>G44-I44</f>
        <v/>
      </c>
    </row>
    <row r="45" ht="15.75" customHeight="1" s="366">
      <c r="A45" s="29" t="n">
        <v>301</v>
      </c>
      <c r="B45" s="30" t="n">
        <v>0.38</v>
      </c>
      <c r="C45" s="30" t="n">
        <v>0.38</v>
      </c>
      <c r="D45" s="22">
        <f>(C45-B45)*1000</f>
        <v/>
      </c>
      <c r="E45" s="38">
        <f>ROUND(D45*D51,0)</f>
        <v/>
      </c>
      <c r="F45" s="22" t="n">
        <v>600</v>
      </c>
      <c r="G45" s="41">
        <f>SUM(E45:F45)</f>
        <v/>
      </c>
      <c r="H45" s="51" t="n"/>
      <c r="I45" s="1" t="n">
        <v>600</v>
      </c>
      <c r="J45" s="1">
        <f>G45-I45</f>
        <v/>
      </c>
    </row>
    <row r="46" ht="15.75" customHeight="1" s="366">
      <c r="A46" s="29" t="n">
        <v>302</v>
      </c>
      <c r="B46" s="30" t="n">
        <v>0.38</v>
      </c>
      <c r="C46" s="30" t="n">
        <v>0.38</v>
      </c>
      <c r="D46" s="22">
        <f>(C46-B46)*1000</f>
        <v/>
      </c>
      <c r="E46" s="38">
        <f>ROUND(D46*D51,0)</f>
        <v/>
      </c>
      <c r="F46" s="22" t="n">
        <v>600</v>
      </c>
      <c r="G46" s="41">
        <f>SUM(E46:F46)</f>
        <v/>
      </c>
      <c r="H46" s="51" t="n"/>
      <c r="I46" s="1" t="n">
        <v>600</v>
      </c>
      <c r="J46" s="1">
        <f>G46-I46</f>
        <v/>
      </c>
    </row>
    <row r="47" ht="15.75" customHeight="1" s="366">
      <c r="A47" s="32" t="n">
        <v>303</v>
      </c>
      <c r="B47" s="33" t="n">
        <v>200.12</v>
      </c>
      <c r="C47" s="33" t="n">
        <v>216.19</v>
      </c>
      <c r="D47" s="22">
        <f>(C47-B47)*1000</f>
        <v/>
      </c>
      <c r="E47" s="39">
        <f>ROUND(D47*D51,0)</f>
        <v/>
      </c>
      <c r="F47" s="22" t="n">
        <v>1000</v>
      </c>
      <c r="G47" s="41">
        <f>SUM(E47:F47)</f>
        <v/>
      </c>
      <c r="H47" s="51" t="n"/>
      <c r="I47" s="1" t="n">
        <v>2155</v>
      </c>
      <c r="J47" s="1">
        <f>G47-I47</f>
        <v/>
      </c>
    </row>
    <row r="48" ht="15.75" customHeight="1" s="366">
      <c r="A48" s="29" t="n">
        <v>304</v>
      </c>
      <c r="B48" s="30" t="n">
        <v>0.59</v>
      </c>
      <c r="C48" s="30" t="n">
        <v>0.68</v>
      </c>
      <c r="D48" s="22">
        <f>(C48-B48)*1000</f>
        <v/>
      </c>
      <c r="E48" s="38">
        <f>ROUND(D48*D51,0)</f>
        <v/>
      </c>
      <c r="F48" s="22" t="n">
        <v>600</v>
      </c>
      <c r="G48" s="41">
        <f>SUM(E48:F48)</f>
        <v/>
      </c>
      <c r="H48" s="51" t="n"/>
      <c r="I48" s="1" t="n">
        <v>606</v>
      </c>
      <c r="J48" s="1">
        <f>G48-I48</f>
        <v/>
      </c>
    </row>
    <row r="49" ht="15.75" customHeight="1" s="366">
      <c r="A49" s="22" t="n"/>
      <c r="B49" s="22" t="n"/>
      <c r="C49" s="22" t="n"/>
      <c r="D49" s="22" t="n"/>
      <c r="E49" s="40">
        <f>SUM(E33:E48)</f>
        <v/>
      </c>
      <c r="F49" s="27">
        <f>SUM(F31:F48)</f>
        <v/>
      </c>
      <c r="G49" s="22">
        <f>SUM(E49:F49)</f>
        <v/>
      </c>
      <c r="H49" s="55" t="n"/>
      <c r="I49" s="1" t="n">
        <v>20200</v>
      </c>
      <c r="J49" s="1">
        <f>G49-I49</f>
        <v/>
      </c>
    </row>
    <row r="50" ht="15.75" customHeight="1" s="366">
      <c r="A50" s="22" t="n"/>
      <c r="B50" s="22" t="inlineStr">
        <is>
          <t>Total Usage Units</t>
        </is>
      </c>
      <c r="C50" s="22" t="n"/>
      <c r="D50" s="44">
        <f>SUM(D33:D49)</f>
        <v/>
      </c>
      <c r="E50" s="41" t="n"/>
      <c r="F50" s="22" t="n"/>
      <c r="G50" s="22" t="n"/>
    </row>
    <row r="51" ht="15.75" customHeight="1" s="366">
      <c r="A51" s="22" t="n"/>
      <c r="B51" s="22" t="inlineStr">
        <is>
          <t>per Lt Cost With Manjira</t>
        </is>
      </c>
      <c r="C51" s="22" t="n"/>
      <c r="D51" s="22">
        <f>B54/D50</f>
        <v/>
      </c>
      <c r="E51" s="41" t="n"/>
      <c r="F51" s="22" t="n"/>
      <c r="G51" s="22" t="n"/>
    </row>
    <row r="52" ht="15.75" customHeight="1" s="366">
      <c r="A52" s="22" t="n"/>
      <c r="B52" s="22" t="n"/>
      <c r="C52" s="22" t="n"/>
      <c r="D52" s="22" t="n"/>
      <c r="E52" s="41" t="n"/>
      <c r="F52" s="22" t="n"/>
      <c r="G52" s="22" t="n"/>
    </row>
    <row r="53" ht="15.75" customHeight="1" s="366">
      <c r="A53" s="22" t="n"/>
      <c r="B53" s="22" t="n"/>
      <c r="C53" s="22" t="n"/>
      <c r="D53" s="22" t="n"/>
      <c r="E53" s="41" t="n"/>
      <c r="F53" s="22" t="n"/>
      <c r="G53" s="22" t="n"/>
    </row>
    <row r="54" ht="15.75" customHeight="1" s="366">
      <c r="A54" s="22" t="inlineStr">
        <is>
          <t>Total Water Bill</t>
        </is>
      </c>
      <c r="B54" s="30">
        <f>6000+2044</f>
        <v/>
      </c>
      <c r="C54" s="30" t="n"/>
      <c r="D54" s="22" t="n"/>
      <c r="E54" s="41" t="n"/>
      <c r="F54" s="22" t="n"/>
      <c r="G54" s="22" t="n"/>
    </row>
    <row r="55" ht="30" customHeight="1" s="366">
      <c r="A55" s="47" t="inlineStr">
        <is>
          <t xml:space="preserve">WATER Tankers(6) </t>
        </is>
      </c>
      <c r="C55" s="1" t="n">
        <v>6000</v>
      </c>
    </row>
    <row r="56" ht="15.75" customHeight="1" s="366"/>
    <row r="57" ht="15.75" customHeight="1" s="366">
      <c r="A57" s="40" t="inlineStr">
        <is>
          <t>Flat Number</t>
        </is>
      </c>
      <c r="B57" s="60" t="inlineStr">
        <is>
          <t xml:space="preserve"> April Diff</t>
        </is>
      </c>
      <c r="C57" s="60" t="inlineStr">
        <is>
          <t xml:space="preserve"> May Diff</t>
        </is>
      </c>
      <c r="D57" s="60" t="inlineStr">
        <is>
          <t>Jun Diff</t>
        </is>
      </c>
      <c r="E57" s="60" t="inlineStr">
        <is>
          <t>Jul Diff</t>
        </is>
      </c>
      <c r="F57" s="61" t="inlineStr">
        <is>
          <t>Total Diff</t>
        </is>
      </c>
      <c r="G57" s="62" t="inlineStr">
        <is>
          <t>Paid status</t>
        </is>
      </c>
      <c r="L57" s="335" t="inlineStr">
        <is>
          <t>Type</t>
        </is>
      </c>
      <c r="M57" s="335" t="inlineStr">
        <is>
          <t>Amount</t>
        </is>
      </c>
    </row>
    <row r="58" ht="15.75" customHeight="1" s="366">
      <c r="A58" s="327" t="inlineStr">
        <is>
          <t>G1</t>
        </is>
      </c>
      <c r="B58" s="29" t="n">
        <v>0</v>
      </c>
      <c r="C58" s="29" t="n">
        <v>0</v>
      </c>
      <c r="D58" s="29" t="n">
        <v>2</v>
      </c>
      <c r="E58" s="29" t="n">
        <v>0</v>
      </c>
      <c r="F58" s="64">
        <f>SUM(B58:E58)</f>
        <v/>
      </c>
      <c r="L58" s="1" t="inlineStr">
        <is>
          <t>Manjeera additional water</t>
        </is>
      </c>
      <c r="M58" s="1" t="n">
        <v>8172</v>
      </c>
    </row>
    <row r="59" ht="15.75" customHeight="1" s="366">
      <c r="A59" s="327" t="inlineStr">
        <is>
          <t>G2</t>
        </is>
      </c>
      <c r="B59" s="29" t="n">
        <v>79</v>
      </c>
      <c r="C59" s="29" t="n">
        <v>250</v>
      </c>
      <c r="D59" s="29" t="n">
        <v>146</v>
      </c>
      <c r="E59" s="29" t="n">
        <v>216</v>
      </c>
      <c r="F59" s="32">
        <f>SUM(B59:E59)</f>
        <v/>
      </c>
      <c r="G59" s="1" t="n">
        <v>691</v>
      </c>
      <c r="L59" s="1" t="inlineStr">
        <is>
          <t>Maintenance</t>
        </is>
      </c>
      <c r="M59" s="1" t="n">
        <v>20190</v>
      </c>
    </row>
    <row r="60" ht="15.75" customHeight="1" s="366">
      <c r="A60" s="65" t="inlineStr">
        <is>
          <t>G3</t>
        </is>
      </c>
      <c r="B60" s="29" t="n">
        <v>38</v>
      </c>
      <c r="C60" s="29" t="n">
        <v>0</v>
      </c>
      <c r="D60" s="29" t="n">
        <v>2</v>
      </c>
      <c r="E60" s="29" t="n">
        <v>284</v>
      </c>
      <c r="F60" s="32">
        <f>SUM(B60:E60)</f>
        <v/>
      </c>
      <c r="G60" s="1" t="n">
        <v>324</v>
      </c>
      <c r="L60" s="1" t="inlineStr">
        <is>
          <t>Bore maintenance used</t>
        </is>
      </c>
      <c r="M60" s="1" t="n">
        <v>3000</v>
      </c>
    </row>
    <row r="61" ht="15.75" customHeight="1" s="366">
      <c r="A61" s="65" t="inlineStr">
        <is>
          <t>G4</t>
        </is>
      </c>
      <c r="B61" s="29" t="n">
        <v>223</v>
      </c>
      <c r="C61" s="29" t="n">
        <v>225</v>
      </c>
      <c r="D61" s="29" t="n">
        <v>193</v>
      </c>
      <c r="E61" s="29" t="n">
        <v>213</v>
      </c>
      <c r="F61" s="32">
        <f>SUM(B61:E61)</f>
        <v/>
      </c>
      <c r="G61" s="1" t="n">
        <v>854</v>
      </c>
      <c r="L61" s="66" t="inlineStr">
        <is>
          <t>Amount received</t>
        </is>
      </c>
      <c r="M61" s="66">
        <f>SUM(M58:M60)</f>
        <v/>
      </c>
    </row>
    <row r="62" ht="15.75" customHeight="1" s="366">
      <c r="A62" s="327" t="n">
        <v>101</v>
      </c>
      <c r="B62" s="29" t="n">
        <v>0</v>
      </c>
      <c r="C62" s="29" t="n">
        <v>0</v>
      </c>
      <c r="D62" s="29" t="n">
        <v>0</v>
      </c>
      <c r="E62" s="29" t="n">
        <v>0</v>
      </c>
      <c r="F62" s="64">
        <f>SUM(B62:E62)</f>
        <v/>
      </c>
      <c r="L62" s="1" t="inlineStr">
        <is>
          <t>June balance</t>
        </is>
      </c>
      <c r="M62" s="1" t="n">
        <v>8875</v>
      </c>
    </row>
    <row r="63" ht="15.75" customHeight="1" s="366">
      <c r="A63" s="65" t="n">
        <v>102</v>
      </c>
      <c r="B63" s="29" t="n">
        <v>329</v>
      </c>
      <c r="C63" s="29" t="n">
        <v>308</v>
      </c>
      <c r="D63" s="29" t="n">
        <v>335</v>
      </c>
      <c r="E63" s="29" t="n">
        <v>133</v>
      </c>
      <c r="F63" s="29">
        <f>SUM(B63:E63)</f>
        <v/>
      </c>
      <c r="G63" s="67" t="n">
        <v>1105</v>
      </c>
      <c r="L63" s="55" t="inlineStr">
        <is>
          <t>Total</t>
        </is>
      </c>
      <c r="M63" s="55">
        <f>SUM(M61:M62)</f>
        <v/>
      </c>
    </row>
    <row r="64" ht="15.75" customHeight="1" s="366">
      <c r="A64" s="327" t="n">
        <v>103</v>
      </c>
      <c r="B64" s="29" t="n">
        <v>0</v>
      </c>
      <c r="C64" s="29" t="n">
        <v>0</v>
      </c>
      <c r="D64" s="29" t="n">
        <v>0</v>
      </c>
      <c r="E64" s="29" t="n">
        <v>0</v>
      </c>
      <c r="F64" s="64">
        <f>SUM(B64:E64)</f>
        <v/>
      </c>
    </row>
    <row r="65" ht="15.75" customHeight="1" s="366">
      <c r="A65" s="65" t="n">
        <v>104</v>
      </c>
      <c r="B65" s="29" t="n">
        <v>369</v>
      </c>
      <c r="C65" s="29" t="n">
        <v>172</v>
      </c>
      <c r="D65" s="29" t="n">
        <v>106</v>
      </c>
      <c r="E65" s="29" t="n">
        <v>121</v>
      </c>
      <c r="F65" s="32">
        <f>SUM(B65:E65)</f>
        <v/>
      </c>
      <c r="G65" s="1" t="n">
        <v>768</v>
      </c>
      <c r="L65" s="68" t="inlineStr">
        <is>
          <t>Expendutre</t>
        </is>
      </c>
    </row>
    <row r="66" ht="15.75" customHeight="1" s="366">
      <c r="A66" s="271" t="n">
        <v>201</v>
      </c>
      <c r="B66" s="29" t="n">
        <v>0</v>
      </c>
      <c r="C66" s="29" t="n">
        <v>0</v>
      </c>
      <c r="D66" s="29" t="n">
        <v>0</v>
      </c>
      <c r="E66" s="29" t="n">
        <v>2</v>
      </c>
      <c r="F66" s="64">
        <f>SUM(B66:E66)</f>
        <v/>
      </c>
      <c r="L66" s="1" t="inlineStr">
        <is>
          <t>Watchman</t>
        </is>
      </c>
      <c r="M66" s="1" t="n">
        <v>6000</v>
      </c>
    </row>
    <row r="67" ht="15.75" customHeight="1" s="366">
      <c r="A67" s="65" t="n">
        <v>202</v>
      </c>
      <c r="B67" s="29" t="n">
        <v>193</v>
      </c>
      <c r="C67" s="29" t="n">
        <v>256</v>
      </c>
      <c r="D67" s="29" t="n">
        <v>261</v>
      </c>
      <c r="E67" s="29" t="n">
        <v>215</v>
      </c>
      <c r="F67" s="32">
        <f>SUM(B67:E67)</f>
        <v/>
      </c>
      <c r="G67" s="1" t="n">
        <v>925</v>
      </c>
      <c r="L67" s="1" t="inlineStr">
        <is>
          <t>Watchman 04 days</t>
        </is>
      </c>
      <c r="M67" s="1" t="n">
        <v>800</v>
      </c>
    </row>
    <row r="68" ht="15.75" customHeight="1" s="366">
      <c r="A68" s="327" t="n">
        <v>203</v>
      </c>
      <c r="B68" s="29" t="n">
        <v>179</v>
      </c>
      <c r="C68" s="29" t="n">
        <v>68</v>
      </c>
      <c r="D68" s="29" t="n">
        <v>349</v>
      </c>
      <c r="E68" s="29" t="n">
        <v>285</v>
      </c>
      <c r="F68" s="32">
        <f>SUM(B68:E68)</f>
        <v/>
      </c>
      <c r="G68" s="1" t="n">
        <v>881</v>
      </c>
      <c r="L68" s="1" t="inlineStr">
        <is>
          <t>Common  power bill</t>
        </is>
      </c>
      <c r="M68" s="1" t="n">
        <v>2783</v>
      </c>
    </row>
    <row r="69" ht="15.75" customHeight="1" s="366">
      <c r="A69" s="327" t="n">
        <v>204</v>
      </c>
      <c r="B69" s="29" t="n">
        <v>97</v>
      </c>
      <c r="C69" s="29" t="n">
        <v>205</v>
      </c>
      <c r="D69" s="29" t="n">
        <v>287</v>
      </c>
      <c r="E69" s="29" t="n">
        <v>180</v>
      </c>
      <c r="F69" s="32">
        <f>SUM(B69:E69)</f>
        <v/>
      </c>
      <c r="G69" s="1" t="n">
        <v>769</v>
      </c>
      <c r="L69" s="1" t="inlineStr">
        <is>
          <t>Lift maintenance</t>
        </is>
      </c>
      <c r="M69" s="1" t="n">
        <v>3000</v>
      </c>
    </row>
    <row r="70" ht="15.75" customHeight="1" s="366">
      <c r="A70" s="327" t="n">
        <v>301</v>
      </c>
      <c r="B70" s="29" t="n">
        <v>0</v>
      </c>
      <c r="C70" s="29" t="n">
        <v>0</v>
      </c>
      <c r="D70" s="29" t="n">
        <v>0</v>
      </c>
      <c r="E70" s="29" t="n">
        <v>0</v>
      </c>
      <c r="F70" s="64">
        <f>SUM(B70:E70)</f>
        <v/>
      </c>
      <c r="L70" s="1" t="inlineStr">
        <is>
          <t>Manjeera water bill</t>
        </is>
      </c>
      <c r="M70" s="1" t="n">
        <v>14308</v>
      </c>
    </row>
    <row r="71" ht="15.75" customHeight="1" s="366">
      <c r="A71" s="327" t="n">
        <v>302</v>
      </c>
      <c r="B71" s="29" t="n">
        <v>0</v>
      </c>
      <c r="C71" s="29" t="n">
        <v>0</v>
      </c>
      <c r="D71" s="29" t="n">
        <v>0</v>
      </c>
      <c r="E71" s="29" t="n">
        <v>0</v>
      </c>
      <c r="F71" s="64">
        <f>SUM(B71:E71)</f>
        <v/>
      </c>
      <c r="L71" s="1" t="inlineStr">
        <is>
          <t>Chepuru</t>
        </is>
      </c>
      <c r="M71" s="1" t="n">
        <v>110</v>
      </c>
    </row>
    <row r="72" ht="15.75" customHeight="1" s="366">
      <c r="A72" s="65" t="n">
        <v>303</v>
      </c>
      <c r="B72" s="29" t="n">
        <v>538</v>
      </c>
      <c r="C72" s="29" t="n">
        <v>561</v>
      </c>
      <c r="D72" s="29" t="n">
        <v>363</v>
      </c>
      <c r="E72" s="29" t="n">
        <v>393</v>
      </c>
      <c r="F72" s="32">
        <f>SUM(B72:E72)</f>
        <v/>
      </c>
      <c r="G72" s="1" t="n">
        <v>1855</v>
      </c>
      <c r="L72" s="1" t="inlineStr">
        <is>
          <t>Lizol2L</t>
        </is>
      </c>
      <c r="M72" s="1" t="n">
        <v>340</v>
      </c>
    </row>
    <row r="73" ht="15.75" customHeight="1" s="366">
      <c r="A73" s="327" t="n">
        <v>304</v>
      </c>
      <c r="B73" s="29" t="n">
        <v>0</v>
      </c>
      <c r="C73" s="29" t="n">
        <v>0</v>
      </c>
      <c r="D73" s="29" t="n">
        <v>0</v>
      </c>
      <c r="E73" s="29" t="n">
        <v>3</v>
      </c>
      <c r="F73" s="64">
        <f>SUM(B73:E73)</f>
        <v/>
      </c>
      <c r="L73" s="1" t="inlineStr">
        <is>
          <t>Dust pan</t>
        </is>
      </c>
      <c r="M73" s="1" t="n">
        <v>65</v>
      </c>
    </row>
    <row r="74" ht="15.75" customHeight="1" s="366">
      <c r="B74" s="29" t="n">
        <v>2044</v>
      </c>
      <c r="C74" s="29" t="n">
        <v>2045</v>
      </c>
      <c r="D74" s="29" t="n">
        <v>2044</v>
      </c>
      <c r="E74" s="29" t="n">
        <v>2045</v>
      </c>
      <c r="F74" s="29">
        <f>SUM(F58:F73)</f>
        <v/>
      </c>
      <c r="G74" s="55">
        <f>SUM(G58:G73)</f>
        <v/>
      </c>
      <c r="L74" s="1" t="inlineStr">
        <is>
          <t>Water tanker</t>
        </is>
      </c>
      <c r="M74" s="1" t="n">
        <v>5000</v>
      </c>
    </row>
    <row r="75" ht="15.75" customHeight="1" s="366">
      <c r="D75" s="32" t="inlineStr">
        <is>
          <t>Bill Generated</t>
        </is>
      </c>
      <c r="E75" s="368" t="n"/>
      <c r="F75" s="34" t="n">
        <v>14308</v>
      </c>
      <c r="L75" s="55" t="inlineStr">
        <is>
          <t>Total</t>
        </is>
      </c>
      <c r="M75" s="55">
        <f>SUM(M66:M74)</f>
        <v/>
      </c>
    </row>
    <row r="76" ht="15.75" customHeight="1" s="366">
      <c r="D76" s="32" t="inlineStr">
        <is>
          <t>Diff</t>
        </is>
      </c>
      <c r="E76" s="368" t="n"/>
      <c r="F76" s="34">
        <f>F75-F74</f>
        <v/>
      </c>
    </row>
    <row r="77" ht="15.75" customHeight="1" s="366">
      <c r="L77" s="69" t="inlineStr">
        <is>
          <t>JUL balance</t>
        </is>
      </c>
      <c r="M77" s="70">
        <f>M63-M75</f>
        <v/>
      </c>
    </row>
  </sheetData>
  <mergeCells count="2">
    <mergeCell ref="D76:E76"/>
    <mergeCell ref="D75:E75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M76"/>
  <sheetViews>
    <sheetView workbookViewId="0">
      <selection activeCell="C13" sqref="C13"/>
    </sheetView>
  </sheetViews>
  <sheetFormatPr baseColWidth="8" defaultColWidth="14.42578125" defaultRowHeight="15" customHeight="1"/>
  <cols>
    <col width="10.7109375" customWidth="1" style="366" min="1" max="1"/>
    <col width="13.28515625" customWidth="1" style="366" min="2" max="2"/>
    <col width="12.28515625" customWidth="1" style="366" min="3" max="3"/>
    <col width="9.28515625" customWidth="1" style="366" min="4" max="5"/>
    <col width="9.85546875" customWidth="1" style="366" min="6" max="6"/>
    <col width="11.7109375" customWidth="1" style="366" min="7" max="7"/>
    <col width="13.140625" customWidth="1" style="366" min="8" max="8"/>
    <col width="24.42578125" customWidth="1" style="366" min="9" max="9"/>
    <col width="7.85546875" customWidth="1" style="366" min="10" max="10"/>
    <col width="7.5703125" customWidth="1" style="366" min="11" max="11"/>
    <col width="22.140625" customWidth="1" style="366" min="12" max="12"/>
    <col width="7.85546875" customWidth="1" style="366" min="13" max="33"/>
  </cols>
  <sheetData>
    <row r="2">
      <c r="A2" s="49" t="inlineStr">
        <is>
          <t>Flat Number</t>
        </is>
      </c>
      <c r="B2" s="49" t="inlineStr">
        <is>
          <t>Previous Meter Reading</t>
        </is>
      </c>
      <c r="C2" s="49" t="inlineStr">
        <is>
          <t>Curret Meter Reading</t>
        </is>
      </c>
      <c r="D2" s="49" t="inlineStr">
        <is>
          <t>Total Units</t>
        </is>
      </c>
      <c r="E2" s="71" t="inlineStr">
        <is>
          <t>Water Bill</t>
        </is>
      </c>
      <c r="F2" s="29" t="inlineStr">
        <is>
          <t>CommonMaintanence</t>
        </is>
      </c>
      <c r="G2" s="327" t="inlineStr">
        <is>
          <t>Total to Pay</t>
        </is>
      </c>
      <c r="H2" s="49" t="inlineStr">
        <is>
          <t>Payment Status</t>
        </is>
      </c>
      <c r="I2" s="330" t="n"/>
      <c r="J2" s="330" t="n"/>
      <c r="K2" s="330" t="n"/>
      <c r="L2" s="335" t="inlineStr">
        <is>
          <t>Type</t>
        </is>
      </c>
      <c r="M2" s="335" t="inlineStr">
        <is>
          <t>Amount</t>
        </is>
      </c>
    </row>
    <row r="3">
      <c r="A3" s="72" t="inlineStr">
        <is>
          <t>Shop-1</t>
        </is>
      </c>
      <c r="B3" s="32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50" t="inlineStr">
        <is>
          <t>NA</t>
        </is>
      </c>
      <c r="F3" s="29" t="n">
        <v>300</v>
      </c>
      <c r="G3" s="327" t="n">
        <v>300</v>
      </c>
      <c r="H3" s="51" t="n">
        <v>300</v>
      </c>
      <c r="I3" s="330" t="n"/>
      <c r="J3" s="330" t="n"/>
      <c r="K3" s="330" t="n"/>
      <c r="L3" s="47" t="n"/>
    </row>
    <row r="4">
      <c r="A4" s="72" t="inlineStr">
        <is>
          <t>Shop-2</t>
        </is>
      </c>
      <c r="B4" s="32" t="inlineStr">
        <is>
          <t>NA</t>
        </is>
      </c>
      <c r="C4" s="29" t="inlineStr">
        <is>
          <t>NA</t>
        </is>
      </c>
      <c r="D4" s="29" t="inlineStr">
        <is>
          <t>NA</t>
        </is>
      </c>
      <c r="E4" s="50" t="inlineStr">
        <is>
          <t>NA</t>
        </is>
      </c>
      <c r="F4" s="29" t="n">
        <v>300</v>
      </c>
      <c r="G4" s="327" t="n">
        <v>300</v>
      </c>
      <c r="H4" s="51" t="n">
        <v>300</v>
      </c>
      <c r="I4" s="330" t="n"/>
      <c r="J4" s="330" t="n"/>
      <c r="K4" s="330" t="n"/>
      <c r="L4" s="1" t="inlineStr">
        <is>
          <t>Maintenance Received</t>
        </is>
      </c>
      <c r="M4" s="1" t="n">
        <v>21944</v>
      </c>
    </row>
    <row r="5">
      <c r="A5" s="73" t="inlineStr">
        <is>
          <t>G1</t>
        </is>
      </c>
      <c r="B5" s="74" t="n">
        <v>1.09</v>
      </c>
      <c r="C5" s="30" t="n">
        <v>1.09</v>
      </c>
      <c r="D5" s="30">
        <f>(C5-B5)*1000</f>
        <v/>
      </c>
      <c r="E5" s="50">
        <f>ROUND(D5*D23,0)</f>
        <v/>
      </c>
      <c r="F5" s="29" t="n">
        <v>600</v>
      </c>
      <c r="G5" s="327">
        <f>SUM(E5:F5)</f>
        <v/>
      </c>
      <c r="H5" s="51" t="n">
        <v>600</v>
      </c>
      <c r="I5" s="330" t="n"/>
      <c r="J5" s="330" t="n"/>
      <c r="K5" s="330" t="n"/>
    </row>
    <row r="6">
      <c r="A6" s="32" t="inlineStr">
        <is>
          <t>G2</t>
        </is>
      </c>
      <c r="B6" s="33" t="n">
        <v>27.39</v>
      </c>
      <c r="C6" s="30" t="n">
        <v>35.15</v>
      </c>
      <c r="D6" s="29">
        <f>(C6-B6)*1000</f>
        <v/>
      </c>
      <c r="E6" s="50">
        <f>ROUND(D6*D23,0)</f>
        <v/>
      </c>
      <c r="F6" s="29" t="n">
        <v>1000</v>
      </c>
      <c r="G6" s="327">
        <f>SUM(E6:F6)</f>
        <v/>
      </c>
      <c r="H6" s="51" t="n">
        <v>1641</v>
      </c>
      <c r="I6" s="330" t="n"/>
      <c r="J6" s="330" t="n"/>
      <c r="K6" s="330" t="n"/>
      <c r="L6" s="66" t="inlineStr">
        <is>
          <t>Amount received</t>
        </is>
      </c>
      <c r="M6" s="66">
        <f>SUM(M3:M5)</f>
        <v/>
      </c>
    </row>
    <row r="7">
      <c r="A7" s="32" t="inlineStr">
        <is>
          <t>G3</t>
        </is>
      </c>
      <c r="B7" s="33" t="n">
        <v>84.19</v>
      </c>
      <c r="C7" s="30" t="n">
        <v>93.87</v>
      </c>
      <c r="D7" s="29">
        <f>(C7-B7)*1000</f>
        <v/>
      </c>
      <c r="E7" s="50">
        <f>ROUND(D7*D23,0)</f>
        <v/>
      </c>
      <c r="F7" s="29" t="n">
        <v>1000</v>
      </c>
      <c r="G7" s="327">
        <f>SUM(E7:F7)</f>
        <v/>
      </c>
      <c r="H7" s="51" t="n">
        <v>1799</v>
      </c>
      <c r="I7" s="330" t="n"/>
      <c r="J7" s="330" t="n"/>
      <c r="K7" s="330" t="n"/>
      <c r="L7" s="1" t="inlineStr">
        <is>
          <t>Jul balance</t>
        </is>
      </c>
      <c r="M7" s="1" t="n">
        <v>7831</v>
      </c>
    </row>
    <row r="8">
      <c r="A8" s="32" t="inlineStr">
        <is>
          <t>G4</t>
        </is>
      </c>
      <c r="B8" s="33" t="n">
        <v>83.56</v>
      </c>
      <c r="C8" s="30" t="n">
        <v>90.73999999999999</v>
      </c>
      <c r="D8" s="29">
        <f>(C8-B8)*1000</f>
        <v/>
      </c>
      <c r="E8" s="50">
        <f>ROUND(D8*D23,0)</f>
        <v/>
      </c>
      <c r="F8" s="29" t="n">
        <v>1000</v>
      </c>
      <c r="G8" s="327">
        <f>SUM(E8:F8)</f>
        <v/>
      </c>
      <c r="H8" s="51" t="n">
        <v>1593</v>
      </c>
      <c r="I8" s="330" t="n"/>
      <c r="J8" s="330" t="n"/>
      <c r="K8" s="330" t="n"/>
      <c r="L8" s="55" t="inlineStr">
        <is>
          <t>Total</t>
        </is>
      </c>
      <c r="M8" s="55">
        <f>SUM(M6:M7)</f>
        <v/>
      </c>
    </row>
    <row r="9">
      <c r="A9" s="73" t="n">
        <v>101</v>
      </c>
      <c r="B9" s="74" t="n">
        <v>0.38</v>
      </c>
      <c r="C9" s="30" t="n">
        <v>0.38</v>
      </c>
      <c r="D9" s="29">
        <f>(C9-B9)*1000</f>
        <v/>
      </c>
      <c r="E9" s="50">
        <f>ROUND(D9*D23,0)</f>
        <v/>
      </c>
      <c r="F9" s="29" t="n">
        <v>600</v>
      </c>
      <c r="G9" s="327">
        <f>SUM(E9:F9)</f>
        <v/>
      </c>
      <c r="H9" s="51" t="n">
        <v>600</v>
      </c>
      <c r="I9" s="330" t="n"/>
      <c r="J9" s="330" t="n"/>
      <c r="K9" s="330" t="n"/>
    </row>
    <row r="10">
      <c r="A10" s="32" t="n">
        <v>102</v>
      </c>
      <c r="B10" s="33" t="n">
        <v>139.19</v>
      </c>
      <c r="C10" s="30" t="n">
        <v>146.85</v>
      </c>
      <c r="D10" s="29">
        <f>(C10-B10)*1000</f>
        <v/>
      </c>
      <c r="E10" s="50">
        <f>ROUND(D10*D23,0)</f>
        <v/>
      </c>
      <c r="F10" s="29" t="n">
        <v>1000</v>
      </c>
      <c r="G10" s="327">
        <f>SUM(E10:F10)</f>
        <v/>
      </c>
      <c r="H10" s="51" t="n">
        <v>1633</v>
      </c>
      <c r="I10" s="330" t="n"/>
      <c r="J10" s="330" t="n"/>
      <c r="K10" s="330" t="n"/>
      <c r="L10" s="68" t="inlineStr">
        <is>
          <t>Expendutre</t>
        </is>
      </c>
    </row>
    <row r="11">
      <c r="A11" s="75" t="n">
        <v>103</v>
      </c>
      <c r="B11" s="76" t="n">
        <v>0.83</v>
      </c>
      <c r="C11" s="30" t="n">
        <v>0.83</v>
      </c>
      <c r="D11" s="29">
        <f>(C11-B11)*1000</f>
        <v/>
      </c>
      <c r="E11" s="50">
        <f>ROUND(D11*D23,0)</f>
        <v/>
      </c>
      <c r="F11" s="29" t="n">
        <v>1000</v>
      </c>
      <c r="G11" s="327">
        <f>SUM(E11:F11)</f>
        <v/>
      </c>
      <c r="H11" s="51" t="n">
        <v>1000</v>
      </c>
      <c r="I11" s="330" t="n"/>
      <c r="J11" s="330" t="n"/>
      <c r="K11" s="330" t="n"/>
      <c r="L11" s="1" t="inlineStr">
        <is>
          <t>Watchman</t>
        </is>
      </c>
      <c r="M11" s="1" t="n">
        <v>6500</v>
      </c>
    </row>
    <row r="12">
      <c r="A12" s="32" t="n">
        <v>104</v>
      </c>
      <c r="B12" s="45" t="n">
        <v>47.4</v>
      </c>
      <c r="C12" s="77" t="n">
        <v>61.12</v>
      </c>
      <c r="D12" s="29">
        <f>(C12-B12)*1000</f>
        <v/>
      </c>
      <c r="E12" s="50">
        <f>ROUND(D12*D23,0)</f>
        <v/>
      </c>
      <c r="F12" s="29" t="n">
        <v>1000</v>
      </c>
      <c r="G12" s="327">
        <f>SUM(E12:F12)</f>
        <v/>
      </c>
      <c r="H12" s="51" t="n">
        <v>2133</v>
      </c>
      <c r="I12" s="330" t="n"/>
      <c r="J12" s="330" t="n"/>
      <c r="K12" s="330" t="n"/>
      <c r="L12" s="1" t="inlineStr">
        <is>
          <t>Drainage issue</t>
        </is>
      </c>
      <c r="M12" s="1" t="n">
        <v>400</v>
      </c>
    </row>
    <row r="13">
      <c r="A13" s="78" t="n">
        <v>201</v>
      </c>
      <c r="B13" s="79" t="n">
        <v>1.59</v>
      </c>
      <c r="C13" s="268" t="n">
        <v>1.59</v>
      </c>
      <c r="D13" s="29">
        <f>(C13-B13)*1000</f>
        <v/>
      </c>
      <c r="E13" s="50">
        <f>ROUND(D13*D23,0)</f>
        <v/>
      </c>
      <c r="F13" s="29" t="n">
        <v>600</v>
      </c>
      <c r="G13" s="327">
        <f>SUM(E13:F13)</f>
        <v/>
      </c>
      <c r="H13" s="51" t="n">
        <v>600</v>
      </c>
      <c r="I13" s="330" t="n"/>
      <c r="J13" s="330" t="n"/>
      <c r="K13" s="330" t="n"/>
      <c r="L13" s="1" t="inlineStr">
        <is>
          <t>Common  power bill</t>
        </is>
      </c>
      <c r="M13" s="1" t="n">
        <v>6418</v>
      </c>
    </row>
    <row r="14">
      <c r="A14" s="32" t="n">
        <v>202</v>
      </c>
      <c r="B14" s="33" t="n">
        <v>95.34999999999999</v>
      </c>
      <c r="C14" s="30" t="n">
        <v>103.08</v>
      </c>
      <c r="D14" s="29">
        <f>(C14-B14)*1000</f>
        <v/>
      </c>
      <c r="E14" s="50">
        <f>ROUND(D14*D23,0)</f>
        <v/>
      </c>
      <c r="F14" s="29" t="n">
        <v>1000</v>
      </c>
      <c r="G14" s="327">
        <f>SUM(E14:F14)</f>
        <v/>
      </c>
      <c r="H14" s="51" t="n">
        <v>1638</v>
      </c>
      <c r="I14" s="330" t="n"/>
      <c r="J14" s="330" t="n"/>
      <c r="K14" s="330" t="n"/>
      <c r="L14" s="1" t="inlineStr">
        <is>
          <t>Bulbs</t>
        </is>
      </c>
      <c r="M14" s="1" t="n">
        <v>350</v>
      </c>
    </row>
    <row r="15">
      <c r="A15" s="32" t="n">
        <v>203</v>
      </c>
      <c r="B15" s="33" t="n">
        <v>43.25</v>
      </c>
      <c r="C15" s="30" t="n">
        <v>53.9</v>
      </c>
      <c r="D15" s="29">
        <f>(C15-B15)*1000</f>
        <v/>
      </c>
      <c r="E15" s="50">
        <f>ROUND(D15*D23,0)</f>
        <v/>
      </c>
      <c r="F15" s="29" t="n">
        <v>1000</v>
      </c>
      <c r="G15" s="327">
        <f>SUM(E15:F15)</f>
        <v/>
      </c>
      <c r="H15" s="51" t="n">
        <v>1880</v>
      </c>
      <c r="I15" s="330" t="n"/>
      <c r="J15" s="330" t="n"/>
      <c r="K15" s="330" t="n"/>
      <c r="L15" s="1" t="inlineStr">
        <is>
          <t>Manjeera water bill</t>
        </is>
      </c>
      <c r="M15" s="1" t="n">
        <v>2044</v>
      </c>
    </row>
    <row r="16">
      <c r="A16" s="32" t="n">
        <v>204</v>
      </c>
      <c r="B16" s="33" t="n">
        <v>30.21</v>
      </c>
      <c r="C16" s="30" t="n">
        <v>36.9</v>
      </c>
      <c r="D16" s="29">
        <f>(C16-B16)*1000</f>
        <v/>
      </c>
      <c r="E16" s="50">
        <f>ROUND(D16*D23,0)</f>
        <v/>
      </c>
      <c r="F16" s="29" t="n">
        <v>1000</v>
      </c>
      <c r="G16" s="327">
        <f>SUM(E16:F16)</f>
        <v/>
      </c>
      <c r="H16" s="51" t="n">
        <v>1553</v>
      </c>
      <c r="I16" s="330" t="n"/>
      <c r="J16" s="330" t="n"/>
      <c r="K16" s="330" t="n"/>
      <c r="L16" s="1" t="inlineStr">
        <is>
          <t>Muggu</t>
        </is>
      </c>
      <c r="M16" s="1" t="n">
        <v>100</v>
      </c>
    </row>
    <row r="17">
      <c r="A17" s="73" t="n">
        <v>301</v>
      </c>
      <c r="B17" s="74" t="n">
        <v>0.38</v>
      </c>
      <c r="C17" s="30" t="n">
        <v>0.38</v>
      </c>
      <c r="D17" s="29">
        <f>(C17-B17)*1000</f>
        <v/>
      </c>
      <c r="E17" s="50">
        <f>ROUND(D17*D23,0)</f>
        <v/>
      </c>
      <c r="F17" s="29" t="n">
        <v>600</v>
      </c>
      <c r="G17" s="327">
        <f>SUM(E17:F17)</f>
        <v/>
      </c>
      <c r="H17" s="51" t="n">
        <v>600</v>
      </c>
      <c r="I17" s="330" t="n"/>
      <c r="J17" s="330" t="n"/>
      <c r="K17" s="330" t="n"/>
      <c r="L17" s="1" t="inlineStr">
        <is>
          <t>Drainage Work</t>
        </is>
      </c>
      <c r="M17" s="1" t="n">
        <v>600</v>
      </c>
    </row>
    <row r="18">
      <c r="A18" s="73" t="n">
        <v>302</v>
      </c>
      <c r="B18" s="74" t="n">
        <v>0.38</v>
      </c>
      <c r="C18" s="30" t="n">
        <v>0.38</v>
      </c>
      <c r="D18" s="29">
        <f>(C18-B18)*1000</f>
        <v/>
      </c>
      <c r="E18" s="50">
        <f>ROUND(D18*D23,0)</f>
        <v/>
      </c>
      <c r="F18" s="29" t="n">
        <v>600</v>
      </c>
      <c r="G18" s="327">
        <f>SUM(E18:F18)</f>
        <v/>
      </c>
      <c r="H18" s="51" t="n">
        <v>600</v>
      </c>
      <c r="I18" s="330" t="n"/>
      <c r="J18" s="330" t="n"/>
      <c r="K18" s="330" t="n"/>
      <c r="L18" s="1" t="inlineStr">
        <is>
          <t>Drainage Work (Jagadish)</t>
        </is>
      </c>
      <c r="M18" s="1" t="n">
        <v>400</v>
      </c>
    </row>
    <row r="19">
      <c r="A19" s="32" t="n">
        <v>303</v>
      </c>
      <c r="B19" s="33" t="n">
        <v>216.19</v>
      </c>
      <c r="C19" s="30" t="n">
        <v>230.41</v>
      </c>
      <c r="D19" s="29">
        <f>(C19-B19)*1000</f>
        <v/>
      </c>
      <c r="E19" s="50">
        <f>ROUND(D19*D23,0)</f>
        <v/>
      </c>
      <c r="F19" s="29" t="n">
        <v>1000</v>
      </c>
      <c r="G19" s="327">
        <f>SUM(E19:F19)</f>
        <v/>
      </c>
      <c r="H19" s="51" t="n">
        <v>2174</v>
      </c>
      <c r="I19" s="330" t="n"/>
      <c r="J19" s="330" t="n"/>
      <c r="K19" s="330" t="n"/>
      <c r="L19" s="1" t="inlineStr">
        <is>
          <t>Water tanker</t>
        </is>
      </c>
      <c r="M19" s="1" t="n">
        <v>5000</v>
      </c>
    </row>
    <row r="20">
      <c r="A20" s="73" t="n">
        <v>304</v>
      </c>
      <c r="B20" s="74" t="n">
        <v>0.68</v>
      </c>
      <c r="C20" s="30" t="n">
        <v>0.68</v>
      </c>
      <c r="D20" s="29">
        <f>(C20-B20)*1000</f>
        <v/>
      </c>
      <c r="E20" s="50">
        <f>ROUND(D20*D23,0)</f>
        <v/>
      </c>
      <c r="F20" s="29" t="n">
        <v>600</v>
      </c>
      <c r="G20" s="327">
        <f>SUM(E20:F20)</f>
        <v/>
      </c>
      <c r="H20" s="51">
        <f>600+700</f>
        <v/>
      </c>
      <c r="I20" s="330" t="inlineStr">
        <is>
          <t>700 pending amt received</t>
        </is>
      </c>
      <c r="J20" s="330" t="n"/>
      <c r="K20" s="330" t="n"/>
      <c r="L20" s="55" t="inlineStr">
        <is>
          <t>Total</t>
        </is>
      </c>
      <c r="M20" s="55">
        <f>SUM(M11:M19)</f>
        <v/>
      </c>
    </row>
    <row r="21" ht="15.75" customHeight="1" s="366">
      <c r="A21" s="29" t="n"/>
      <c r="B21" s="29" t="n"/>
      <c r="C21" s="29" t="n"/>
      <c r="D21" s="29" t="n"/>
      <c r="E21" s="357">
        <f>SUM(E5:E20)</f>
        <v/>
      </c>
      <c r="F21" s="49">
        <f>SUM(F3:F20)</f>
        <v/>
      </c>
      <c r="G21" s="29">
        <f>SUM(E21:F21)</f>
        <v/>
      </c>
      <c r="H21" s="330">
        <f>SUM(H3:H20)</f>
        <v/>
      </c>
      <c r="I21" s="81" t="inlineStr">
        <is>
          <t>JUL balance</t>
        </is>
      </c>
      <c r="J21" s="81" t="n">
        <v>7831</v>
      </c>
      <c r="K21" s="330" t="n"/>
    </row>
    <row r="22" ht="15.75" customHeight="1" s="366">
      <c r="A22" s="29" t="n"/>
      <c r="B22" s="29" t="inlineStr">
        <is>
          <t>Total Usage Units</t>
        </is>
      </c>
      <c r="C22" s="29" t="n"/>
      <c r="D22" s="30">
        <f>SUM(D5:D21)</f>
        <v/>
      </c>
      <c r="E22" s="327" t="n"/>
      <c r="F22" s="29" t="n"/>
      <c r="G22" s="29" t="n"/>
      <c r="H22" s="330" t="n"/>
      <c r="I22" s="330" t="n"/>
      <c r="J22" s="330" t="n"/>
      <c r="K22" s="330" t="n"/>
      <c r="L22" s="69" t="inlineStr">
        <is>
          <t>Aug balance</t>
        </is>
      </c>
      <c r="M22" s="70">
        <f>M8-M20</f>
        <v/>
      </c>
    </row>
    <row r="23" ht="17.25" customHeight="1" s="366">
      <c r="A23" s="29" t="n"/>
      <c r="B23" s="29" t="inlineStr">
        <is>
          <t>per Lt Cost With Manjira</t>
        </is>
      </c>
      <c r="C23" s="29" t="n"/>
      <c r="D23" s="29">
        <f>B26/D22</f>
        <v/>
      </c>
      <c r="E23" s="327" t="n"/>
      <c r="F23" s="29" t="n"/>
      <c r="G23" s="29" t="n"/>
      <c r="H23" s="330" t="n"/>
      <c r="I23" s="330" t="n"/>
      <c r="J23" s="330" t="n"/>
      <c r="K23" s="330" t="n"/>
      <c r="L23" s="82" t="n"/>
      <c r="M23" s="83" t="n"/>
    </row>
    <row r="24" ht="15.75" customHeight="1" s="366">
      <c r="A24" s="29" t="n"/>
      <c r="B24" s="29" t="n"/>
      <c r="C24" s="29" t="n"/>
      <c r="D24" s="29" t="n"/>
      <c r="E24" s="327" t="n"/>
      <c r="F24" s="29" t="n"/>
      <c r="G24" s="29" t="n"/>
      <c r="H24" s="330" t="n"/>
      <c r="I24" s="330" t="n"/>
      <c r="J24" s="330" t="n"/>
      <c r="K24" s="330" t="n"/>
      <c r="L24" s="29" t="n"/>
      <c r="M24" s="29" t="n"/>
    </row>
    <row r="25" ht="15.75" customHeight="1" s="366">
      <c r="A25" s="29" t="n"/>
      <c r="B25" s="29" t="n"/>
      <c r="C25" s="29" t="n"/>
      <c r="D25" s="29" t="n"/>
      <c r="E25" s="327" t="n"/>
      <c r="F25" s="29" t="n"/>
      <c r="G25" s="29" t="n"/>
      <c r="H25" s="330" t="n"/>
      <c r="I25" s="330" t="n"/>
      <c r="J25" s="330" t="n"/>
      <c r="K25" s="330" t="n"/>
      <c r="L25" s="29" t="n"/>
      <c r="M25" s="29" t="n"/>
    </row>
    <row r="26" ht="15.75" customHeight="1" s="366">
      <c r="A26" s="29" t="inlineStr">
        <is>
          <t>Total Water Bill</t>
        </is>
      </c>
      <c r="B26" s="30">
        <f>5000+2044</f>
        <v/>
      </c>
      <c r="C26" s="30" t="n"/>
      <c r="D26" s="29" t="n"/>
      <c r="E26" s="327" t="n"/>
      <c r="F26" s="29" t="n"/>
      <c r="G26" s="29" t="n"/>
      <c r="H26" s="330" t="n"/>
      <c r="I26" s="330" t="n"/>
      <c r="J26" s="330" t="n"/>
      <c r="K26" s="330" t="n"/>
      <c r="L26" s="330" t="n"/>
      <c r="M26" s="330" t="n"/>
    </row>
    <row r="27" ht="30" customHeight="1" s="366">
      <c r="A27" s="84" t="inlineStr">
        <is>
          <t xml:space="preserve">WATER Tankers(5) </t>
        </is>
      </c>
      <c r="B27" s="330" t="n"/>
      <c r="C27" s="330" t="n">
        <v>5000</v>
      </c>
      <c r="D27" s="330" t="n"/>
      <c r="E27" s="330" t="n"/>
      <c r="F27" s="330" t="n"/>
      <c r="G27" s="330" t="n"/>
      <c r="H27" s="330" t="n"/>
      <c r="I27" s="330" t="n"/>
      <c r="J27" s="330" t="n"/>
      <c r="K27" s="330" t="n"/>
      <c r="L27" s="330" t="n"/>
      <c r="M27" s="330" t="n"/>
    </row>
    <row r="75" ht="15.75" customHeight="1" s="366">
      <c r="D75" s="369" t="n"/>
    </row>
    <row r="76" ht="15.75" customHeight="1" s="366">
      <c r="D76" s="369" t="n"/>
    </row>
  </sheetData>
  <mergeCells count="2">
    <mergeCell ref="D76:E76"/>
    <mergeCell ref="D75:E75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Q74"/>
  <sheetViews>
    <sheetView workbookViewId="0">
      <selection activeCell="B13" sqref="B13:C13"/>
    </sheetView>
  </sheetViews>
  <sheetFormatPr baseColWidth="8" defaultColWidth="14.42578125" defaultRowHeight="15" customHeight="1"/>
  <cols>
    <col width="10.7109375" customWidth="1" style="366" min="1" max="1"/>
    <col width="13.28515625" customWidth="1" style="366" min="2" max="2"/>
    <col width="12.28515625" customWidth="1" style="366" min="3" max="3"/>
    <col width="9.28515625" customWidth="1" style="366" min="4" max="5"/>
    <col width="9.85546875" customWidth="1" style="366" min="6" max="6"/>
    <col width="11.7109375" customWidth="1" style="366" min="7" max="7"/>
    <col width="13.140625" customWidth="1" style="366" min="8" max="8"/>
    <col width="25.140625" customWidth="1" style="366" min="9" max="9"/>
    <col width="15.42578125" customWidth="1" style="366" min="10" max="10"/>
    <col width="7.5703125" customWidth="1" style="366" min="11" max="11"/>
    <col width="14.28515625" customWidth="1" style="366" min="12" max="12"/>
    <col width="7.85546875" customWidth="1" style="366" min="13" max="13"/>
    <col width="14.140625" customWidth="1" style="366" min="14" max="14"/>
    <col width="7.85546875" customWidth="1" style="366" min="15" max="15"/>
    <col width="9.5703125" customWidth="1" style="366" min="16" max="16"/>
    <col width="31.42578125" customWidth="1" style="366" min="17" max="17"/>
    <col width="7.85546875" customWidth="1" style="366" min="18" max="37"/>
  </cols>
  <sheetData>
    <row r="2">
      <c r="A2" s="49" t="inlineStr">
        <is>
          <t>Flat Number</t>
        </is>
      </c>
      <c r="B2" s="49" t="inlineStr">
        <is>
          <t>Previous Meter Reading</t>
        </is>
      </c>
      <c r="C2" s="49" t="inlineStr">
        <is>
          <t>Curret Meter Reading</t>
        </is>
      </c>
      <c r="D2" s="49" t="inlineStr">
        <is>
          <t>Total Units</t>
        </is>
      </c>
      <c r="E2" s="71" t="inlineStr">
        <is>
          <t>Water Bill</t>
        </is>
      </c>
      <c r="F2" s="29" t="inlineStr">
        <is>
          <t>CommonMaintanence</t>
        </is>
      </c>
      <c r="G2" s="327" t="inlineStr">
        <is>
          <t>Total to Pay</t>
        </is>
      </c>
      <c r="H2" s="49" t="inlineStr">
        <is>
          <t>Payment Status</t>
        </is>
      </c>
      <c r="I2" s="330" t="n"/>
      <c r="J2" s="330" t="n"/>
      <c r="K2" s="330" t="n"/>
      <c r="L2" s="335" t="inlineStr">
        <is>
          <t>Type</t>
        </is>
      </c>
      <c r="M2" s="335" t="inlineStr">
        <is>
          <t>Amount</t>
        </is>
      </c>
    </row>
    <row r="3" ht="16.5" customHeight="1" s="366">
      <c r="A3" s="72" t="inlineStr">
        <is>
          <t>Shop-1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50" t="inlineStr">
        <is>
          <t>NA</t>
        </is>
      </c>
      <c r="F3" s="29" t="n">
        <v>300</v>
      </c>
      <c r="G3" s="327" t="n">
        <v>300</v>
      </c>
      <c r="H3" s="51" t="n">
        <v>300</v>
      </c>
      <c r="I3" s="330" t="n"/>
      <c r="J3" s="330" t="n"/>
      <c r="K3" s="330" t="n"/>
      <c r="L3" s="47" t="n"/>
    </row>
    <row r="4">
      <c r="A4" s="72" t="inlineStr">
        <is>
          <t>Shop-2</t>
        </is>
      </c>
      <c r="B4" s="29" t="inlineStr">
        <is>
          <t>NA</t>
        </is>
      </c>
      <c r="C4" s="29" t="inlineStr">
        <is>
          <t>NA</t>
        </is>
      </c>
      <c r="D4" s="29" t="inlineStr">
        <is>
          <t>NA</t>
        </is>
      </c>
      <c r="E4" s="50" t="inlineStr">
        <is>
          <t>NA</t>
        </is>
      </c>
      <c r="F4" s="29" t="n">
        <v>300</v>
      </c>
      <c r="G4" s="327" t="n">
        <v>300</v>
      </c>
      <c r="H4" s="51" t="n">
        <v>300</v>
      </c>
      <c r="I4" s="330" t="n"/>
      <c r="J4" s="330" t="n"/>
      <c r="K4" s="330" t="n"/>
      <c r="L4" s="1" t="inlineStr">
        <is>
          <t>Maintenance</t>
        </is>
      </c>
      <c r="M4" s="1">
        <f>H21</f>
        <v/>
      </c>
    </row>
    <row r="5">
      <c r="A5" s="73" t="inlineStr">
        <is>
          <t>G1</t>
        </is>
      </c>
      <c r="B5" s="30" t="n">
        <v>1.09</v>
      </c>
      <c r="C5" s="30" t="n">
        <v>1.09</v>
      </c>
      <c r="D5" s="30">
        <f>(C5-B5)*1000</f>
        <v/>
      </c>
      <c r="E5" s="50">
        <f>ROUND(D5*D23,0)</f>
        <v/>
      </c>
      <c r="F5" s="29" t="n">
        <v>600</v>
      </c>
      <c r="G5" s="327">
        <f>SUM(E5:F5)</f>
        <v/>
      </c>
      <c r="H5" s="51" t="n">
        <v>739</v>
      </c>
      <c r="I5" s="330" t="inlineStr">
        <is>
          <t>139 electrical amount received</t>
        </is>
      </c>
      <c r="J5" s="330" t="n"/>
      <c r="K5" s="330" t="n"/>
    </row>
    <row r="6">
      <c r="A6" s="32" t="inlineStr">
        <is>
          <t>G2</t>
        </is>
      </c>
      <c r="B6" s="30" t="n">
        <v>35.15</v>
      </c>
      <c r="C6" s="30" t="n">
        <v>41.45</v>
      </c>
      <c r="D6" s="29">
        <f>(C6-B6)*1000</f>
        <v/>
      </c>
      <c r="E6" s="50">
        <f>ROUND(D6*D23,0)</f>
        <v/>
      </c>
      <c r="F6" s="29" t="n">
        <v>1000</v>
      </c>
      <c r="G6" s="327">
        <f>SUM(E6:F6)</f>
        <v/>
      </c>
      <c r="H6" s="51" t="n">
        <v>1514</v>
      </c>
      <c r="I6" s="330" t="n"/>
      <c r="J6" s="330" t="n"/>
      <c r="K6" s="330" t="n"/>
      <c r="L6" s="66" t="inlineStr">
        <is>
          <t>Amount received</t>
        </is>
      </c>
      <c r="M6" s="66">
        <f>SUM(M3:M5)</f>
        <v/>
      </c>
    </row>
    <row r="7">
      <c r="A7" s="32" t="inlineStr">
        <is>
          <t>G3</t>
        </is>
      </c>
      <c r="B7" s="30" t="n">
        <v>93.87</v>
      </c>
      <c r="C7" s="30" t="n">
        <v>103.54</v>
      </c>
      <c r="D7" s="29">
        <f>(C7-B7)*1000</f>
        <v/>
      </c>
      <c r="E7" s="50">
        <f>ROUND(D7*D23,0)</f>
        <v/>
      </c>
      <c r="F7" s="29" t="n">
        <v>1000</v>
      </c>
      <c r="G7" s="327">
        <f>SUM(E7:F7)</f>
        <v/>
      </c>
      <c r="H7" s="51" t="n">
        <v>1789</v>
      </c>
      <c r="I7" s="330" t="n"/>
      <c r="J7" s="330" t="n"/>
      <c r="K7" s="330" t="n"/>
      <c r="L7" s="1" t="inlineStr">
        <is>
          <t>AUG balance</t>
        </is>
      </c>
      <c r="M7" s="1" t="n">
        <v>7963</v>
      </c>
    </row>
    <row r="8">
      <c r="A8" s="32" t="inlineStr">
        <is>
          <t>G4</t>
        </is>
      </c>
      <c r="B8" s="30" t="n">
        <v>90.73999999999999</v>
      </c>
      <c r="C8" s="30" t="n">
        <v>94.8</v>
      </c>
      <c r="D8" s="29">
        <f>(C8-B8)*1000</f>
        <v/>
      </c>
      <c r="E8" s="50">
        <f>ROUND(D8*D23,0)</f>
        <v/>
      </c>
      <c r="F8" s="29" t="n">
        <v>1000</v>
      </c>
      <c r="G8" s="327">
        <f>SUM(E8:F8)</f>
        <v/>
      </c>
      <c r="H8" s="51" t="n">
        <v>1331</v>
      </c>
      <c r="I8" s="330" t="n"/>
      <c r="J8" s="330" t="n"/>
      <c r="K8" s="330" t="n"/>
      <c r="L8" s="55" t="inlineStr">
        <is>
          <t>Total</t>
        </is>
      </c>
      <c r="M8" s="55">
        <f>SUM(M6:M7)</f>
        <v/>
      </c>
    </row>
    <row r="9">
      <c r="A9" s="73" t="n">
        <v>101</v>
      </c>
      <c r="B9" s="30" t="n">
        <v>0.38</v>
      </c>
      <c r="C9" s="30" t="n">
        <v>0.38</v>
      </c>
      <c r="D9" s="29">
        <f>(C9-B9)*1000</f>
        <v/>
      </c>
      <c r="E9" s="50">
        <f>ROUND(D9*D23,0)</f>
        <v/>
      </c>
      <c r="F9" s="29" t="n">
        <v>600</v>
      </c>
      <c r="G9" s="327">
        <f>SUM(E9:F9)</f>
        <v/>
      </c>
      <c r="H9" s="51" t="n">
        <v>600</v>
      </c>
      <c r="I9" s="330" t="n"/>
      <c r="J9" s="330" t="n"/>
      <c r="K9" s="330" t="n"/>
    </row>
    <row r="10">
      <c r="A10" s="32" t="n">
        <v>102</v>
      </c>
      <c r="B10" s="30" t="n">
        <v>146.85</v>
      </c>
      <c r="C10" s="30" t="n">
        <v>157.11</v>
      </c>
      <c r="D10" s="29">
        <f>(C10-B10)*1000</f>
        <v/>
      </c>
      <c r="E10" s="50">
        <f>ROUND(D10*D23,0)</f>
        <v/>
      </c>
      <c r="F10" s="29" t="n">
        <v>1000</v>
      </c>
      <c r="G10" s="327">
        <f>SUM(E10:F10)</f>
        <v/>
      </c>
      <c r="H10" s="51" t="n">
        <v>1837</v>
      </c>
      <c r="I10" s="330" t="n"/>
      <c r="J10" s="330" t="n"/>
      <c r="K10" s="330" t="n"/>
      <c r="L10" s="68" t="inlineStr">
        <is>
          <t>Expendutre</t>
        </is>
      </c>
    </row>
    <row r="11">
      <c r="A11" s="75" t="n">
        <v>103</v>
      </c>
      <c r="B11" s="30" t="n">
        <v>0.83</v>
      </c>
      <c r="C11" s="30" t="n">
        <v>0.83</v>
      </c>
      <c r="D11" s="29">
        <f>(C11-B11)*1000</f>
        <v/>
      </c>
      <c r="E11" s="50">
        <f>ROUND(D11*D23,0)</f>
        <v/>
      </c>
      <c r="F11" s="29" t="n">
        <v>1000</v>
      </c>
      <c r="G11" s="327">
        <f>SUM(E11:F11)</f>
        <v/>
      </c>
      <c r="H11" s="51" t="n">
        <v>1000</v>
      </c>
      <c r="I11" s="330" t="n"/>
      <c r="J11" s="330" t="n"/>
      <c r="K11" s="330" t="n"/>
      <c r="L11" s="1" t="inlineStr">
        <is>
          <t>Watchman</t>
        </is>
      </c>
      <c r="M11" s="1" t="n">
        <v>6500</v>
      </c>
    </row>
    <row r="12">
      <c r="A12" s="32" t="n">
        <v>104</v>
      </c>
      <c r="B12" s="77" t="n">
        <v>61.12</v>
      </c>
      <c r="C12" s="77" t="n">
        <v>72.43000000000001</v>
      </c>
      <c r="D12" s="29">
        <f>(C12-B12)*1000</f>
        <v/>
      </c>
      <c r="E12" s="50">
        <f>ROUND(D12*D23,0)</f>
        <v/>
      </c>
      <c r="F12" s="29" t="n">
        <v>1000</v>
      </c>
      <c r="G12" s="327">
        <f>SUM(E12:F12)</f>
        <v/>
      </c>
      <c r="H12" s="51" t="n">
        <v>1923</v>
      </c>
      <c r="I12" s="330" t="n"/>
      <c r="J12" s="330" t="n"/>
      <c r="K12" s="330" t="n"/>
      <c r="L12" s="1" t="inlineStr">
        <is>
          <t>Common  power bill</t>
        </is>
      </c>
      <c r="M12" s="1" t="n">
        <v>1543</v>
      </c>
    </row>
    <row r="13">
      <c r="A13" s="78" t="n">
        <v>201</v>
      </c>
      <c r="B13" s="268" t="n">
        <v>1.59</v>
      </c>
      <c r="C13" s="268" t="n">
        <v>1.59</v>
      </c>
      <c r="D13" s="29">
        <f>(C13-B13)*1000</f>
        <v/>
      </c>
      <c r="E13" s="50">
        <f>ROUND(D13*D23,0)</f>
        <v/>
      </c>
      <c r="F13" s="29" t="n">
        <v>600</v>
      </c>
      <c r="G13" s="327">
        <f>SUM(E13:F13)</f>
        <v/>
      </c>
      <c r="H13" s="51" t="n">
        <v>600</v>
      </c>
      <c r="I13" s="330" t="n"/>
      <c r="J13" s="330" t="n"/>
      <c r="K13" s="330" t="n"/>
      <c r="L13" s="1" t="inlineStr">
        <is>
          <t>Manjeera water bill</t>
        </is>
      </c>
      <c r="M13" s="1" t="n">
        <v>2044</v>
      </c>
    </row>
    <row r="14">
      <c r="A14" s="32" t="n">
        <v>202</v>
      </c>
      <c r="B14" s="30" t="n">
        <v>103.08</v>
      </c>
      <c r="C14" s="30" t="n">
        <v>109.33</v>
      </c>
      <c r="D14" s="29">
        <f>(C14-B14)*1000</f>
        <v/>
      </c>
      <c r="E14" s="50">
        <f>ROUND(D14*D23,0)</f>
        <v/>
      </c>
      <c r="F14" s="29" t="n">
        <v>1000</v>
      </c>
      <c r="G14" s="327">
        <f>SUM(E14:F14)</f>
        <v/>
      </c>
      <c r="H14" s="51" t="n">
        <v>1510</v>
      </c>
      <c r="I14" s="330" t="n"/>
      <c r="J14" s="330" t="n"/>
      <c r="K14" s="330" t="n"/>
      <c r="L14" s="1" t="inlineStr">
        <is>
          <t>Bulbs</t>
        </is>
      </c>
      <c r="M14" s="1" t="n">
        <v>575</v>
      </c>
    </row>
    <row r="15">
      <c r="A15" s="32" t="n">
        <v>203</v>
      </c>
      <c r="B15" s="30" t="n">
        <v>53.9</v>
      </c>
      <c r="C15" s="30" t="n">
        <v>62.6</v>
      </c>
      <c r="D15" s="29">
        <f>(C15-B15)*1000</f>
        <v/>
      </c>
      <c r="E15" s="50">
        <f>ROUND(D15*D23,0)</f>
        <v/>
      </c>
      <c r="F15" s="29" t="n">
        <v>1000</v>
      </c>
      <c r="G15" s="327">
        <f>SUM(E15:F15)</f>
        <v/>
      </c>
      <c r="H15" s="51" t="n">
        <v>1710</v>
      </c>
      <c r="I15" s="330" t="n"/>
      <c r="J15" s="330" t="n"/>
      <c r="K15" s="330" t="n"/>
      <c r="L15" s="1" t="inlineStr">
        <is>
          <t>Electrical Repair</t>
        </is>
      </c>
      <c r="M15" s="1" t="n">
        <v>300</v>
      </c>
    </row>
    <row r="16">
      <c r="A16" s="32" t="n">
        <v>204</v>
      </c>
      <c r="B16" s="30" t="n">
        <v>36.9</v>
      </c>
      <c r="C16" s="30" t="n">
        <v>42.5</v>
      </c>
      <c r="D16" s="29">
        <f>(C16-B16)*1000</f>
        <v/>
      </c>
      <c r="E16" s="50">
        <f>ROUND(D16*D23,0)</f>
        <v/>
      </c>
      <c r="F16" s="29" t="n">
        <v>1000</v>
      </c>
      <c r="G16" s="327">
        <f>SUM(E16:F16)</f>
        <v/>
      </c>
      <c r="H16" s="51" t="n">
        <v>1457</v>
      </c>
      <c r="I16" s="330" t="n"/>
      <c r="J16" s="330" t="n"/>
      <c r="K16" s="330" t="n"/>
    </row>
    <row r="17">
      <c r="A17" s="73" t="n">
        <v>301</v>
      </c>
      <c r="B17" s="30" t="n">
        <v>0.38</v>
      </c>
      <c r="C17" s="30" t="n">
        <v>0.38</v>
      </c>
      <c r="D17" s="29">
        <f>(C17-B17)*1000</f>
        <v/>
      </c>
      <c r="E17" s="50">
        <f>ROUND(D17*D23,0)</f>
        <v/>
      </c>
      <c r="F17" s="29" t="n">
        <v>600</v>
      </c>
      <c r="G17" s="327">
        <f>SUM(E17:F17)</f>
        <v/>
      </c>
      <c r="H17" s="51" t="n">
        <v>600</v>
      </c>
      <c r="I17" s="330" t="n"/>
      <c r="J17" s="330" t="n"/>
      <c r="K17" s="330" t="n"/>
      <c r="N17" s="29" t="n"/>
      <c r="O17" s="330" t="n"/>
      <c r="P17" s="330" t="n"/>
      <c r="Q17" s="330" t="n"/>
    </row>
    <row r="18">
      <c r="A18" s="73" t="n">
        <v>302</v>
      </c>
      <c r="B18" s="30" t="n">
        <v>0.38</v>
      </c>
      <c r="C18" s="30" t="n">
        <v>0.38</v>
      </c>
      <c r="D18" s="29">
        <f>(C18-B18)*1000</f>
        <v/>
      </c>
      <c r="E18" s="50">
        <f>ROUND(D18*D23,0)</f>
        <v/>
      </c>
      <c r="F18" s="29" t="n">
        <v>600</v>
      </c>
      <c r="G18" s="327">
        <f>SUM(E18:F18)</f>
        <v/>
      </c>
      <c r="H18" s="51" t="n">
        <v>600</v>
      </c>
      <c r="I18" s="330" t="n"/>
      <c r="J18" s="330" t="n"/>
      <c r="K18" s="330" t="n"/>
      <c r="N18" s="29" t="n"/>
      <c r="O18" s="330" t="n"/>
      <c r="P18" s="330" t="n"/>
      <c r="Q18" s="330" t="n"/>
    </row>
    <row r="19">
      <c r="A19" s="32" t="n">
        <v>303</v>
      </c>
      <c r="B19" s="30" t="n">
        <v>230.41</v>
      </c>
      <c r="C19" s="30" t="n">
        <v>254.39</v>
      </c>
      <c r="D19" s="29">
        <f>(C19-B19)*1000</f>
        <v/>
      </c>
      <c r="E19" s="50">
        <f>ROUND(D19*D23,0)</f>
        <v/>
      </c>
      <c r="F19" s="29" t="n">
        <v>1000</v>
      </c>
      <c r="G19" s="327">
        <f>SUM(E19:F19)</f>
        <v/>
      </c>
      <c r="H19" s="51" t="n">
        <v>2956</v>
      </c>
      <c r="I19" s="330" t="n"/>
      <c r="J19" s="330" t="n"/>
      <c r="K19" s="330" t="n"/>
      <c r="L19" s="1" t="inlineStr">
        <is>
          <t>Water tanker</t>
        </is>
      </c>
      <c r="M19" s="1" t="n">
        <v>5000</v>
      </c>
      <c r="N19" s="29" t="n"/>
      <c r="O19" s="330" t="n"/>
      <c r="P19" s="330" t="n"/>
      <c r="Q19" s="330" t="n"/>
    </row>
    <row r="20">
      <c r="A20" s="73" t="n">
        <v>304</v>
      </c>
      <c r="B20" s="30" t="n">
        <v>0.68</v>
      </c>
      <c r="C20" s="30" t="n">
        <v>0.91</v>
      </c>
      <c r="D20" s="29">
        <f>(C20-B20)*1000</f>
        <v/>
      </c>
      <c r="E20" s="50">
        <f>ROUND(D20*D23,0)</f>
        <v/>
      </c>
      <c r="F20" s="29" t="n">
        <v>600</v>
      </c>
      <c r="G20" s="327">
        <f>SUM(E20:F20)</f>
        <v/>
      </c>
      <c r="H20" s="51" t="n">
        <v>600</v>
      </c>
      <c r="I20" s="330" t="n"/>
      <c r="J20" s="330" t="n"/>
      <c r="K20" s="330" t="n"/>
      <c r="L20" s="55" t="inlineStr">
        <is>
          <t>Total</t>
        </is>
      </c>
      <c r="M20" s="55">
        <f>SUM(M11:M19)</f>
        <v/>
      </c>
      <c r="N20" s="29" t="n"/>
      <c r="O20" s="330" t="n"/>
      <c r="P20" s="330" t="n"/>
      <c r="Q20" s="330" t="n"/>
    </row>
    <row r="21" ht="15.75" customHeight="1" s="366">
      <c r="A21" s="29" t="n"/>
      <c r="B21" s="29" t="n"/>
      <c r="C21" s="29" t="n"/>
      <c r="D21" s="29" t="n"/>
      <c r="E21" s="357">
        <f>SUM(E5:E20)</f>
        <v/>
      </c>
      <c r="F21" s="49">
        <f>SUM(F3:F20)</f>
        <v/>
      </c>
      <c r="G21" s="29">
        <f>SUM(E21:F21)</f>
        <v/>
      </c>
      <c r="H21" s="330">
        <f>SUM(H3:H20)</f>
        <v/>
      </c>
      <c r="I21" s="81" t="inlineStr">
        <is>
          <t>AUG balance</t>
        </is>
      </c>
      <c r="J21" s="81" t="n">
        <v>7963</v>
      </c>
      <c r="K21" s="330" t="n"/>
      <c r="N21" s="29" t="n"/>
      <c r="O21" s="330" t="n"/>
      <c r="P21" s="330" t="n"/>
      <c r="Q21" s="330" t="n"/>
    </row>
    <row r="22" ht="15.75" customHeight="1" s="366">
      <c r="A22" s="29" t="n"/>
      <c r="B22" s="29" t="inlineStr">
        <is>
          <t>Total Usage Units</t>
        </is>
      </c>
      <c r="C22" s="29" t="n"/>
      <c r="D22" s="30">
        <f>SUM(D5:D21)</f>
        <v/>
      </c>
      <c r="E22" s="327" t="n"/>
      <c r="F22" s="29" t="n"/>
      <c r="G22" s="29" t="n"/>
      <c r="H22" s="330" t="n"/>
      <c r="I22" s="330" t="n"/>
      <c r="J22" s="330" t="n"/>
      <c r="K22" s="330" t="n"/>
      <c r="L22" s="69" t="inlineStr">
        <is>
          <t>sep balance</t>
        </is>
      </c>
      <c r="M22" s="70">
        <f>M8-M20</f>
        <v/>
      </c>
      <c r="N22" s="29" t="n"/>
      <c r="O22" s="330" t="n"/>
      <c r="P22" s="330" t="n"/>
      <c r="Q22" s="330" t="n"/>
    </row>
    <row r="23" ht="17.25" customHeight="1" s="366">
      <c r="A23" s="29" t="n"/>
      <c r="B23" s="29" t="inlineStr">
        <is>
          <t>per Lt Cost With Manjira</t>
        </is>
      </c>
      <c r="C23" s="29" t="n"/>
      <c r="D23" s="29">
        <f>B24/D22</f>
        <v/>
      </c>
      <c r="E23" s="327" t="n"/>
      <c r="F23" s="29" t="n"/>
      <c r="G23" s="29" t="n"/>
      <c r="H23" s="330" t="n"/>
      <c r="I23" s="330" t="n"/>
      <c r="J23" s="330" t="n"/>
      <c r="K23" s="330" t="n"/>
      <c r="L23" s="87" t="n"/>
      <c r="M23" s="88" t="n"/>
      <c r="N23" s="89" t="n"/>
      <c r="O23" s="330" t="n"/>
      <c r="P23" s="330" t="n"/>
      <c r="Q23" s="330" t="n"/>
    </row>
    <row r="24" ht="45" customHeight="1" s="366">
      <c r="A24" s="29" t="inlineStr">
        <is>
          <t>Total Water Bill</t>
        </is>
      </c>
      <c r="B24" s="30">
        <f>5000+2044</f>
        <v/>
      </c>
      <c r="C24" s="84" t="inlineStr">
        <is>
          <t xml:space="preserve">WATER Tankers(5) </t>
        </is>
      </c>
      <c r="D24" s="330" t="n"/>
      <c r="E24" s="330" t="n">
        <v>5000</v>
      </c>
      <c r="F24" s="29" t="n"/>
      <c r="G24" s="29" t="n"/>
      <c r="H24" s="330" t="n"/>
      <c r="I24" s="330" t="n"/>
      <c r="J24" s="330" t="n"/>
      <c r="K24" s="330" t="n"/>
      <c r="L24" s="90" t="inlineStr">
        <is>
          <t>Flat Number</t>
        </is>
      </c>
      <c r="M24" s="91" t="inlineStr">
        <is>
          <t>Ganesh Chathurthi</t>
        </is>
      </c>
      <c r="N24" s="92" t="inlineStr">
        <is>
          <t>Expenditure</t>
        </is>
      </c>
      <c r="O24" s="370" t="n"/>
      <c r="P24" s="330" t="n"/>
      <c r="Q24" s="92" t="inlineStr">
        <is>
          <t>Sponsor</t>
        </is>
      </c>
    </row>
    <row r="25" ht="15.75" customHeight="1" s="366">
      <c r="A25" s="330" t="n"/>
      <c r="B25" s="330" t="n"/>
      <c r="C25" s="330" t="n"/>
      <c r="D25" s="330" t="n"/>
      <c r="E25" s="330" t="n"/>
      <c r="F25" s="330" t="n"/>
      <c r="G25" s="330" t="n"/>
      <c r="H25" s="330" t="n"/>
      <c r="I25" s="330" t="n"/>
      <c r="J25" s="330" t="n"/>
      <c r="K25" s="330" t="n"/>
      <c r="L25" s="93" t="inlineStr">
        <is>
          <t>G2</t>
        </is>
      </c>
      <c r="M25" s="94" t="n">
        <v>1500</v>
      </c>
      <c r="N25" s="93" t="inlineStr">
        <is>
          <t>Tent</t>
        </is>
      </c>
      <c r="O25" s="94" t="n">
        <v>4300</v>
      </c>
      <c r="P25" s="330" t="n"/>
      <c r="Q25" s="95" t="inlineStr">
        <is>
          <t>Mr.Mahesh -  Laddu</t>
        </is>
      </c>
    </row>
    <row r="26" ht="15.75" customHeight="1" s="366">
      <c r="A26" s="85" t="n"/>
      <c r="B26" s="85" t="n"/>
      <c r="C26" s="85" t="n"/>
      <c r="D26" s="85" t="n"/>
      <c r="E26" s="85" t="n"/>
      <c r="F26" s="85" t="n"/>
      <c r="G26" s="85" t="n"/>
      <c r="H26" s="85" t="n"/>
      <c r="I26" s="330" t="n"/>
      <c r="J26" s="330" t="n"/>
      <c r="K26" s="330" t="n"/>
      <c r="L26" s="93" t="inlineStr">
        <is>
          <t>G3</t>
        </is>
      </c>
      <c r="M26" s="94" t="inlineStr">
        <is>
          <t>idol</t>
        </is>
      </c>
      <c r="N26" s="93" t="inlineStr">
        <is>
          <t>Pujari</t>
        </is>
      </c>
      <c r="O26" s="94" t="n">
        <v>4000</v>
      </c>
      <c r="P26" s="330" t="n"/>
      <c r="Q26" s="95" t="inlineStr">
        <is>
          <t>Mr. Ramkumar- Flower Garland</t>
        </is>
      </c>
    </row>
    <row r="27" ht="15.75" customHeight="1" s="366">
      <c r="A27" s="330" t="n"/>
      <c r="B27" s="330" t="n"/>
      <c r="C27" s="330" t="n"/>
      <c r="D27" s="330" t="n"/>
      <c r="E27" s="330" t="n"/>
      <c r="F27" s="330" t="n"/>
      <c r="G27" s="330" t="n"/>
      <c r="H27" s="330" t="n"/>
      <c r="I27" s="330" t="n"/>
      <c r="J27" s="330" t="n"/>
      <c r="K27" s="330" t="n"/>
      <c r="L27" s="93" t="inlineStr">
        <is>
          <t>G4</t>
        </is>
      </c>
      <c r="M27" s="94" t="n">
        <v>1500</v>
      </c>
      <c r="N27" s="93" t="inlineStr">
        <is>
          <t>LED Light</t>
        </is>
      </c>
      <c r="O27" s="94" t="n">
        <v>270</v>
      </c>
      <c r="P27" s="330" t="n"/>
      <c r="Q27" s="95" t="inlineStr">
        <is>
          <t>Mr. Seshu - Nimmajanam Bowl</t>
        </is>
      </c>
    </row>
    <row r="28" ht="15.75" customHeight="1" s="366">
      <c r="A28" s="49" t="n"/>
      <c r="B28" s="49" t="n"/>
      <c r="C28" s="49" t="n"/>
      <c r="D28" s="49" t="n"/>
      <c r="E28" s="357" t="n"/>
      <c r="F28" s="29" t="n"/>
      <c r="G28" s="327" t="n"/>
      <c r="H28" s="49" t="n"/>
      <c r="I28" s="86" t="n"/>
      <c r="J28" s="86" t="n"/>
      <c r="K28" s="86" t="n"/>
      <c r="L28" s="93" t="n">
        <v>102</v>
      </c>
      <c r="M28" s="94" t="n">
        <v>1500</v>
      </c>
      <c r="N28" s="96" t="inlineStr">
        <is>
          <t>Flowers</t>
        </is>
      </c>
      <c r="O28" s="97" t="n">
        <v>380</v>
      </c>
      <c r="P28" s="86" t="n"/>
      <c r="Q28" s="98" t="inlineStr">
        <is>
          <t>Mr. Sita Rama Raju - Small Ganesh Idol</t>
        </is>
      </c>
    </row>
    <row r="29" ht="15.75" customHeight="1" s="366">
      <c r="A29" s="49" t="n"/>
      <c r="B29" s="29" t="n"/>
      <c r="C29" s="29" t="n"/>
      <c r="D29" s="29" t="n"/>
      <c r="E29" s="327" t="n"/>
      <c r="F29" s="29" t="n"/>
      <c r="G29" s="327" t="n"/>
      <c r="H29" s="51" t="n"/>
      <c r="I29" s="330" t="n"/>
      <c r="J29" s="330" t="n"/>
      <c r="K29" s="330" t="n"/>
      <c r="L29" s="93" t="n">
        <v>104</v>
      </c>
      <c r="M29" s="94" t="n">
        <v>1500</v>
      </c>
      <c r="N29" s="93" t="inlineStr">
        <is>
          <t>Puja items</t>
        </is>
      </c>
      <c r="O29" s="94" t="n">
        <v>1840</v>
      </c>
      <c r="P29" s="330" t="n"/>
      <c r="Q29" s="330" t="n"/>
    </row>
    <row r="30" ht="15.75" customHeight="1" s="366">
      <c r="A30" s="49" t="n"/>
      <c r="B30" s="29" t="n"/>
      <c r="C30" s="29" t="n"/>
      <c r="D30" s="29" t="n"/>
      <c r="E30" s="327" t="n"/>
      <c r="F30" s="29" t="n"/>
      <c r="G30" s="327" t="n"/>
      <c r="H30" s="51" t="n"/>
      <c r="I30" s="330" t="n"/>
      <c r="J30" s="330" t="n"/>
      <c r="K30" s="330" t="n"/>
      <c r="L30" s="93" t="n">
        <v>202</v>
      </c>
      <c r="M30" s="94" t="n">
        <v>1500</v>
      </c>
      <c r="N30" s="93" t="inlineStr">
        <is>
          <t>Gi wire</t>
        </is>
      </c>
      <c r="O30" s="94" t="n">
        <v>100</v>
      </c>
      <c r="P30" s="330" t="n"/>
      <c r="Q30" s="330" t="n"/>
    </row>
    <row r="31" ht="15.75" customHeight="1" s="366">
      <c r="A31" s="29" t="n"/>
      <c r="B31" s="30" t="n"/>
      <c r="C31" s="30" t="n"/>
      <c r="D31" s="30" t="n"/>
      <c r="E31" s="327" t="n"/>
      <c r="F31" s="29" t="n"/>
      <c r="G31" s="327" t="n"/>
      <c r="H31" s="51" t="n"/>
      <c r="I31" s="330" t="n"/>
      <c r="J31" s="330" t="n"/>
      <c r="K31" s="330" t="n"/>
      <c r="L31" s="93" t="n">
        <v>203</v>
      </c>
      <c r="M31" s="94" t="n">
        <v>1500</v>
      </c>
      <c r="N31" s="93" t="inlineStr">
        <is>
          <t>Raju shop</t>
        </is>
      </c>
      <c r="O31" s="94" t="n">
        <v>315</v>
      </c>
      <c r="P31" s="330" t="n"/>
      <c r="Q31" s="330" t="n"/>
    </row>
    <row r="32" ht="30.75" customHeight="1" s="366">
      <c r="A32" s="29" t="n"/>
      <c r="B32" s="30" t="n"/>
      <c r="C32" s="30" t="n"/>
      <c r="D32" s="29" t="n"/>
      <c r="E32" s="327" t="n"/>
      <c r="F32" s="29" t="n"/>
      <c r="G32" s="327" t="n"/>
      <c r="H32" s="51" t="n"/>
      <c r="I32" s="330" t="n"/>
      <c r="J32" s="330" t="n"/>
      <c r="K32" s="330" t="n"/>
      <c r="L32" s="93" t="n">
        <v>204</v>
      </c>
      <c r="M32" s="94" t="n">
        <v>1111</v>
      </c>
      <c r="N32" s="99" t="inlineStr">
        <is>
          <t>3days pooja items</t>
        </is>
      </c>
      <c r="O32" s="94">
        <f>120+50+40+70+40+55+31+25+55+200</f>
        <v/>
      </c>
      <c r="P32" s="330" t="n"/>
      <c r="Q32" s="330" t="n"/>
    </row>
    <row r="33" ht="23.25" customHeight="1" s="366">
      <c r="L33" s="93" t="n">
        <v>303</v>
      </c>
      <c r="M33" s="94" t="n">
        <v>1500</v>
      </c>
      <c r="N33" s="99" t="inlineStr">
        <is>
          <t>2 meter panche</t>
        </is>
      </c>
      <c r="O33" s="94" t="n">
        <v>220</v>
      </c>
    </row>
    <row r="34" ht="15.75" customHeight="1" s="366">
      <c r="L34" s="100" t="inlineStr">
        <is>
          <t>Total</t>
        </is>
      </c>
      <c r="M34" s="101">
        <f>SUM(M25:M33)</f>
        <v/>
      </c>
      <c r="N34" s="93" t="inlineStr">
        <is>
          <t>Electrical items</t>
        </is>
      </c>
      <c r="O34" s="94" t="n">
        <v>200</v>
      </c>
    </row>
    <row r="35" ht="15.75" customHeight="1" s="366">
      <c r="L35" s="102" t="n"/>
      <c r="M35" s="103" t="n"/>
      <c r="N35" s="93" t="n"/>
      <c r="O35" s="94" t="n"/>
    </row>
    <row r="36" ht="15.75" customHeight="1" s="366">
      <c r="L36" s="330" t="n"/>
      <c r="M36" s="330" t="n"/>
      <c r="N36" s="100" t="inlineStr">
        <is>
          <t>Total expenditure</t>
        </is>
      </c>
      <c r="O36" s="94">
        <f>SUM(O25:O34)</f>
        <v/>
      </c>
    </row>
    <row r="37" ht="15.75" customHeight="1" s="366">
      <c r="L37" s="330" t="n"/>
      <c r="M37" s="330" t="n"/>
      <c r="N37" s="104" t="inlineStr">
        <is>
          <t>Balance</t>
        </is>
      </c>
      <c r="O37" s="105">
        <f>M34-O36</f>
        <v/>
      </c>
    </row>
    <row r="38" ht="15.75" customHeight="1" s="366">
      <c r="L38" s="330" t="n"/>
      <c r="M38" s="330" t="n"/>
      <c r="N38" s="330" t="inlineStr">
        <is>
          <t>Balance amount clear</t>
        </is>
      </c>
      <c r="O38" s="330" t="n"/>
    </row>
    <row r="73" ht="15.75" customHeight="1" s="366">
      <c r="D73" s="29" t="n"/>
      <c r="E73" s="368" t="n"/>
    </row>
    <row r="74" ht="15.75" customHeight="1" s="366">
      <c r="D74" s="29" t="n"/>
      <c r="E74" s="368" t="n"/>
    </row>
  </sheetData>
  <mergeCells count="3">
    <mergeCell ref="N24:O24"/>
    <mergeCell ref="D74:E74"/>
    <mergeCell ref="D73:E7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O74"/>
  <sheetViews>
    <sheetView workbookViewId="0">
      <selection activeCell="B13" sqref="B13:C13"/>
    </sheetView>
  </sheetViews>
  <sheetFormatPr baseColWidth="8" defaultColWidth="14.42578125" defaultRowHeight="15" customHeight="1"/>
  <cols>
    <col width="10.7109375" customWidth="1" style="366" min="1" max="1"/>
    <col width="13.28515625" customWidth="1" style="366" min="2" max="2"/>
    <col width="12.28515625" customWidth="1" style="366" min="3" max="3"/>
    <col width="9.28515625" customWidth="1" style="366" min="4" max="5"/>
    <col width="9.85546875" customWidth="1" style="366" min="6" max="6"/>
    <col width="11.7109375" customWidth="1" style="366" min="7" max="7"/>
    <col width="13.140625" customWidth="1" style="366" min="8" max="8"/>
    <col width="25.140625" customWidth="1" style="366" min="9" max="9"/>
    <col width="15.42578125" customWidth="1" style="366" min="10" max="10"/>
    <col width="7.5703125" customWidth="1" style="366" min="11" max="11"/>
    <col width="14.28515625" customWidth="1" style="366" min="12" max="12"/>
    <col width="7.85546875" customWidth="1" style="366" min="13" max="13"/>
    <col width="14.140625" customWidth="1" style="366" min="14" max="14"/>
    <col width="7.85546875" customWidth="1" style="366" min="15" max="15"/>
    <col width="9.5703125" customWidth="1" style="366" min="16" max="16"/>
    <col width="31.42578125" customWidth="1" style="366" min="17" max="17"/>
    <col width="7.85546875" customWidth="1" style="366" min="18" max="33"/>
  </cols>
  <sheetData>
    <row r="2">
      <c r="A2" s="49" t="inlineStr">
        <is>
          <t>Flat Number</t>
        </is>
      </c>
      <c r="B2" s="49" t="inlineStr">
        <is>
          <t>Previous Meter Reading</t>
        </is>
      </c>
      <c r="C2" s="49" t="inlineStr">
        <is>
          <t>Curret Meter Reading</t>
        </is>
      </c>
      <c r="D2" s="49" t="inlineStr">
        <is>
          <t>Total Units</t>
        </is>
      </c>
      <c r="E2" s="71" t="inlineStr">
        <is>
          <t>Water Bill</t>
        </is>
      </c>
      <c r="F2" s="29" t="inlineStr">
        <is>
          <t>CommonMaintanence</t>
        </is>
      </c>
      <c r="G2" s="327" t="inlineStr">
        <is>
          <t>Total to Pay</t>
        </is>
      </c>
      <c r="H2" s="49" t="inlineStr">
        <is>
          <t>Payment Status</t>
        </is>
      </c>
      <c r="I2" s="330" t="n"/>
      <c r="J2" s="330" t="n"/>
      <c r="K2" s="330" t="n"/>
      <c r="L2" s="335" t="inlineStr">
        <is>
          <t>Type</t>
        </is>
      </c>
      <c r="M2" s="335" t="inlineStr">
        <is>
          <t>Amount</t>
        </is>
      </c>
    </row>
    <row r="3" ht="16.5" customHeight="1" s="366">
      <c r="A3" s="72" t="inlineStr">
        <is>
          <t>Shop-1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50" t="inlineStr">
        <is>
          <t>NA</t>
        </is>
      </c>
      <c r="F3" s="29" t="n">
        <v>300</v>
      </c>
      <c r="G3" s="327" t="n">
        <v>300</v>
      </c>
      <c r="H3" s="51" t="n">
        <v>300</v>
      </c>
      <c r="I3" s="330" t="n"/>
      <c r="J3" s="330" t="n"/>
      <c r="K3" s="330" t="n"/>
      <c r="L3" s="47" t="n"/>
    </row>
    <row r="4">
      <c r="A4" s="72" t="inlineStr">
        <is>
          <t>Shop-2</t>
        </is>
      </c>
      <c r="B4" s="29" t="inlineStr">
        <is>
          <t>NA</t>
        </is>
      </c>
      <c r="C4" s="29" t="inlineStr">
        <is>
          <t>NA</t>
        </is>
      </c>
      <c r="D4" s="29" t="inlineStr">
        <is>
          <t>NA</t>
        </is>
      </c>
      <c r="E4" s="50" t="inlineStr">
        <is>
          <t>NA</t>
        </is>
      </c>
      <c r="F4" s="29" t="n">
        <v>300</v>
      </c>
      <c r="G4" s="327" t="n">
        <v>300</v>
      </c>
      <c r="H4" s="51" t="n">
        <v>300</v>
      </c>
      <c r="I4" s="330" t="n"/>
      <c r="J4" s="330" t="n"/>
      <c r="K4" s="330" t="n"/>
      <c r="L4" s="1" t="inlineStr">
        <is>
          <t>Maintenance</t>
        </is>
      </c>
      <c r="M4" s="1">
        <f>H21</f>
        <v/>
      </c>
    </row>
    <row r="5">
      <c r="A5" s="73" t="inlineStr">
        <is>
          <t>G1</t>
        </is>
      </c>
      <c r="B5" s="30" t="n">
        <v>1.09</v>
      </c>
      <c r="C5" s="30" t="n">
        <v>1.09</v>
      </c>
      <c r="D5" s="30">
        <f>(C5-B5)*1000</f>
        <v/>
      </c>
      <c r="E5" s="50">
        <f>ROUND(D5*D23,0)</f>
        <v/>
      </c>
      <c r="F5" s="29" t="n">
        <v>600</v>
      </c>
      <c r="G5" s="327">
        <f>SUM(E5:F5)</f>
        <v/>
      </c>
      <c r="H5" s="51" t="n">
        <v>600</v>
      </c>
      <c r="I5" s="330" t="n"/>
      <c r="J5" s="330" t="n"/>
      <c r="K5" s="330" t="n"/>
    </row>
    <row r="6">
      <c r="A6" s="32" t="inlineStr">
        <is>
          <t>G2</t>
        </is>
      </c>
      <c r="B6" s="30" t="n">
        <v>41.45</v>
      </c>
      <c r="C6" s="30" t="n">
        <v>48.84</v>
      </c>
      <c r="D6" s="29">
        <f>(C6-B6)*1000</f>
        <v/>
      </c>
      <c r="E6" s="50">
        <f>ROUND(D6*D23,0)</f>
        <v/>
      </c>
      <c r="F6" s="29" t="n">
        <v>1000</v>
      </c>
      <c r="G6" s="327">
        <f>SUM(E6:F6)</f>
        <v/>
      </c>
      <c r="H6" s="51" t="n">
        <v>1662</v>
      </c>
      <c r="I6" s="330" t="n"/>
      <c r="J6" s="330" t="n"/>
      <c r="K6" s="330" t="n"/>
      <c r="L6" s="66" t="inlineStr">
        <is>
          <t>Amount received</t>
        </is>
      </c>
      <c r="M6" s="66">
        <f>SUM(M3:M5)</f>
        <v/>
      </c>
    </row>
    <row r="7">
      <c r="A7" s="32" t="inlineStr">
        <is>
          <t>G3</t>
        </is>
      </c>
      <c r="B7" s="30" t="n">
        <v>103.54</v>
      </c>
      <c r="C7" s="30" t="n">
        <v>113.9</v>
      </c>
      <c r="D7" s="29">
        <f>(C7-B7)*1000</f>
        <v/>
      </c>
      <c r="E7" s="50">
        <f>ROUND(D7*D23,0)</f>
        <v/>
      </c>
      <c r="F7" s="29" t="n">
        <v>1000</v>
      </c>
      <c r="G7" s="327">
        <f>SUM(E7:F7)</f>
        <v/>
      </c>
      <c r="H7" s="51" t="n">
        <v>1929</v>
      </c>
      <c r="I7" s="330" t="n"/>
      <c r="J7" s="330" t="n"/>
      <c r="K7" s="330" t="n"/>
      <c r="L7" s="1" t="inlineStr">
        <is>
          <t>Sep balance</t>
        </is>
      </c>
      <c r="M7" s="1" t="n">
        <v>13367</v>
      </c>
    </row>
    <row r="8">
      <c r="A8" s="32" t="inlineStr">
        <is>
          <t>G4</t>
        </is>
      </c>
      <c r="B8" s="30" t="n">
        <v>94.8</v>
      </c>
      <c r="C8" s="30" t="n">
        <v>100.58</v>
      </c>
      <c r="D8" s="29">
        <f>(C8-B8)*1000</f>
        <v/>
      </c>
      <c r="E8" s="50">
        <f>ROUND(D8*D23,0)</f>
        <v/>
      </c>
      <c r="F8" s="29" t="n">
        <v>1000</v>
      </c>
      <c r="G8" s="327">
        <f>SUM(E8:F8)</f>
        <v/>
      </c>
      <c r="H8" s="51" t="n">
        <v>1518</v>
      </c>
      <c r="I8" s="330" t="n"/>
      <c r="J8" s="330" t="n"/>
      <c r="K8" s="330" t="n"/>
      <c r="L8" s="55" t="inlineStr">
        <is>
          <t>Total</t>
        </is>
      </c>
      <c r="M8" s="55">
        <f>SUM(M6:M7)</f>
        <v/>
      </c>
    </row>
    <row r="9">
      <c r="A9" s="73" t="n">
        <v>101</v>
      </c>
      <c r="B9" s="30" t="n">
        <v>0.38</v>
      </c>
      <c r="C9" s="30" t="n">
        <v>0.38</v>
      </c>
      <c r="D9" s="29">
        <f>(C9-B9)*1000</f>
        <v/>
      </c>
      <c r="E9" s="50">
        <f>ROUND(D9*D23,0)</f>
        <v/>
      </c>
      <c r="F9" s="29" t="n">
        <v>600</v>
      </c>
      <c r="G9" s="327">
        <f>SUM(E9:F9)</f>
        <v/>
      </c>
      <c r="H9" s="51" t="n"/>
      <c r="I9" s="330" t="n"/>
      <c r="J9" s="330" t="n"/>
      <c r="K9" s="330" t="n"/>
      <c r="L9" s="68" t="inlineStr">
        <is>
          <t>Expendutre</t>
        </is>
      </c>
    </row>
    <row r="10">
      <c r="A10" s="32" t="n">
        <v>102</v>
      </c>
      <c r="B10" s="30" t="n">
        <v>157.11</v>
      </c>
      <c r="C10" s="30" t="n">
        <v>168.59</v>
      </c>
      <c r="D10" s="29">
        <f>(C10-B10)*1000</f>
        <v/>
      </c>
      <c r="E10" s="50">
        <f>ROUND(D10*D23,0)</f>
        <v/>
      </c>
      <c r="F10" s="29" t="n">
        <v>1000</v>
      </c>
      <c r="G10" s="327">
        <f>SUM(E10:F10)</f>
        <v/>
      </c>
      <c r="H10" s="51" t="n">
        <v>2029</v>
      </c>
      <c r="I10" s="330" t="n"/>
      <c r="J10" s="330" t="n"/>
      <c r="K10" s="330" t="n"/>
      <c r="L10" s="1" t="inlineStr">
        <is>
          <t>Watchman</t>
        </is>
      </c>
      <c r="M10" s="1" t="n">
        <v>6500</v>
      </c>
    </row>
    <row r="11">
      <c r="A11" s="75" t="n">
        <v>103</v>
      </c>
      <c r="B11" s="30" t="n">
        <v>0.83</v>
      </c>
      <c r="C11" s="30" t="n">
        <v>0.83</v>
      </c>
      <c r="D11" s="29">
        <f>(C11-B11)*1000</f>
        <v/>
      </c>
      <c r="E11" s="50">
        <f>ROUND(D11*D23,0)</f>
        <v/>
      </c>
      <c r="F11" s="29" t="n">
        <v>1000</v>
      </c>
      <c r="G11" s="327">
        <f>SUM(E11:F11)</f>
        <v/>
      </c>
      <c r="H11" s="51" t="n">
        <v>1000</v>
      </c>
      <c r="I11" s="330" t="n"/>
      <c r="J11" s="330" t="n"/>
      <c r="K11" s="330" t="n"/>
      <c r="L11" s="1" t="inlineStr">
        <is>
          <t>Manjeera bill</t>
        </is>
      </c>
      <c r="M11" s="1" t="n">
        <v>2044</v>
      </c>
    </row>
    <row r="12">
      <c r="A12" s="32" t="n">
        <v>104</v>
      </c>
      <c r="B12" s="77" t="n">
        <v>72.43000000000001</v>
      </c>
      <c r="C12" s="77" t="n">
        <v>80</v>
      </c>
      <c r="D12" s="29">
        <f>(C12-B12)*1000</f>
        <v/>
      </c>
      <c r="E12" s="50">
        <f>ROUND(D12*D23,0)</f>
        <v/>
      </c>
      <c r="F12" s="29" t="n">
        <v>1000</v>
      </c>
      <c r="G12" s="327">
        <f>SUM(E12:F12)</f>
        <v/>
      </c>
      <c r="H12" s="51" t="n">
        <v>1678</v>
      </c>
      <c r="I12" s="330" t="n"/>
      <c r="J12" s="330" t="n"/>
      <c r="K12" s="330" t="n"/>
      <c r="L12" s="1" t="inlineStr">
        <is>
          <t>Manjeera chanda</t>
        </is>
      </c>
      <c r="M12" s="1" t="n">
        <v>400</v>
      </c>
    </row>
    <row r="13">
      <c r="A13" s="78" t="n">
        <v>201</v>
      </c>
      <c r="B13" s="268" t="n">
        <v>1.59</v>
      </c>
      <c r="C13" s="268" t="n">
        <v>1.59</v>
      </c>
      <c r="D13" s="29">
        <f>(C13-B13)*1000</f>
        <v/>
      </c>
      <c r="E13" s="50">
        <f>ROUND(D13*D23,0)</f>
        <v/>
      </c>
      <c r="F13" s="29" t="n">
        <v>600</v>
      </c>
      <c r="G13" s="327">
        <f>SUM(E13:F13)</f>
        <v/>
      </c>
      <c r="H13" s="51" t="n"/>
      <c r="I13" s="330" t="n"/>
      <c r="J13" s="330" t="n"/>
      <c r="K13" s="330" t="n"/>
      <c r="L13" s="1" t="inlineStr">
        <is>
          <t>Sweeper chandha</t>
        </is>
      </c>
      <c r="M13" s="1" t="n">
        <v>300</v>
      </c>
    </row>
    <row r="14">
      <c r="A14" s="32" t="n">
        <v>202</v>
      </c>
      <c r="B14" s="30" t="n">
        <v>109.33</v>
      </c>
      <c r="C14" s="30" t="n">
        <v>117.11</v>
      </c>
      <c r="D14" s="29">
        <f>(C14-B14)*1000</f>
        <v/>
      </c>
      <c r="E14" s="50">
        <f>ROUND(D14*D23,0)</f>
        <v/>
      </c>
      <c r="F14" s="29" t="n">
        <v>1000</v>
      </c>
      <c r="G14" s="327">
        <f>SUM(E14:F14)</f>
        <v/>
      </c>
      <c r="H14" s="51" t="n">
        <v>1697</v>
      </c>
      <c r="I14" s="330" t="n"/>
      <c r="J14" s="330" t="n"/>
      <c r="K14" s="330" t="n"/>
      <c r="L14" s="1" t="inlineStr">
        <is>
          <t>Watchman Chandha</t>
        </is>
      </c>
      <c r="M14" s="1" t="n">
        <v>1000</v>
      </c>
    </row>
    <row r="15">
      <c r="A15" s="32" t="n">
        <v>203</v>
      </c>
      <c r="B15" s="30" t="n">
        <v>62.6</v>
      </c>
      <c r="C15" s="30" t="n">
        <v>72.39</v>
      </c>
      <c r="D15" s="29">
        <f>(C15-B15)*1000</f>
        <v/>
      </c>
      <c r="E15" s="50">
        <f>ROUND(D15*D23,0)</f>
        <v/>
      </c>
      <c r="F15" s="29" t="n">
        <v>1000</v>
      </c>
      <c r="G15" s="327">
        <f>SUM(E15:F15)</f>
        <v/>
      </c>
      <c r="H15" s="51" t="n">
        <v>1877</v>
      </c>
      <c r="I15" s="330" t="n"/>
      <c r="J15" s="330" t="n"/>
      <c r="K15" s="330" t="n"/>
      <c r="L15" s="330" t="inlineStr">
        <is>
          <t>Dust clear chanda</t>
        </is>
      </c>
      <c r="M15" s="106" t="n">
        <v>300</v>
      </c>
    </row>
    <row r="16">
      <c r="A16" s="32" t="n">
        <v>204</v>
      </c>
      <c r="B16" s="30" t="n">
        <v>42.5</v>
      </c>
      <c r="C16" s="30" t="n">
        <v>49.26</v>
      </c>
      <c r="D16" s="29">
        <f>(C16-B16)*1000</f>
        <v/>
      </c>
      <c r="E16" s="50">
        <f>ROUND(D16*D23,0)</f>
        <v/>
      </c>
      <c r="F16" s="29" t="n">
        <v>1000</v>
      </c>
      <c r="G16" s="327">
        <f>SUM(E16:F16)</f>
        <v/>
      </c>
      <c r="H16" s="51" t="n">
        <v>1606</v>
      </c>
      <c r="I16" s="330" t="n"/>
      <c r="J16" s="330" t="n"/>
      <c r="K16" s="330" t="n"/>
      <c r="L16" s="1" t="inlineStr">
        <is>
          <t>Dusserra Flowers</t>
        </is>
      </c>
      <c r="M16" s="1" t="n">
        <v>325</v>
      </c>
    </row>
    <row r="17">
      <c r="A17" s="73" t="n">
        <v>301</v>
      </c>
      <c r="B17" s="30" t="n">
        <v>0.38</v>
      </c>
      <c r="C17" s="30" t="n">
        <v>0.38</v>
      </c>
      <c r="D17" s="29">
        <f>(C17-B17)*1000</f>
        <v/>
      </c>
      <c r="E17" s="50">
        <f>ROUND(D17*D23,0)</f>
        <v/>
      </c>
      <c r="F17" s="29" t="n">
        <v>600</v>
      </c>
      <c r="G17" s="327">
        <f>SUM(E17:F17)</f>
        <v/>
      </c>
      <c r="H17" s="51" t="n"/>
      <c r="I17" s="330" t="n"/>
      <c r="J17" s="330" t="n"/>
      <c r="K17" s="330" t="n"/>
      <c r="L17" s="1" t="inlineStr">
        <is>
          <t>04 tank clean</t>
        </is>
      </c>
      <c r="M17" s="1" t="n">
        <v>1400</v>
      </c>
      <c r="N17" s="29" t="n"/>
      <c r="O17" s="330" t="n"/>
    </row>
    <row r="18" ht="19.5" customHeight="1" s="366">
      <c r="A18" s="73" t="n">
        <v>302</v>
      </c>
      <c r="B18" s="30" t="n">
        <v>0.38</v>
      </c>
      <c r="C18" s="30" t="n">
        <v>0.38</v>
      </c>
      <c r="D18" s="29">
        <f>(C18-B18)*1000</f>
        <v/>
      </c>
      <c r="E18" s="50">
        <f>ROUND(D18*D23,0)</f>
        <v/>
      </c>
      <c r="F18" s="29" t="n">
        <v>600</v>
      </c>
      <c r="G18" s="327">
        <f>SUM(E18:F18)</f>
        <v/>
      </c>
      <c r="H18" s="51" t="n"/>
      <c r="I18" s="330" t="n"/>
      <c r="J18" s="330" t="n"/>
      <c r="K18" s="330" t="n"/>
      <c r="L18" s="47" t="inlineStr">
        <is>
          <t>Bleaching, sponze etc</t>
        </is>
      </c>
      <c r="M18" s="1" t="n">
        <v>159</v>
      </c>
      <c r="N18" s="29" t="n"/>
      <c r="O18" s="330" t="n"/>
    </row>
    <row r="19">
      <c r="A19" s="32" t="n">
        <v>303</v>
      </c>
      <c r="B19" s="30" t="n">
        <v>254.39</v>
      </c>
      <c r="C19" s="30" t="n">
        <v>265.84</v>
      </c>
      <c r="D19" s="29">
        <f>(C19-B19)*1000</f>
        <v/>
      </c>
      <c r="E19" s="50">
        <f>ROUND(D19*D23,0)</f>
        <v/>
      </c>
      <c r="F19" s="29" t="n">
        <v>1000</v>
      </c>
      <c r="G19" s="327">
        <f>SUM(E19:F19)</f>
        <v/>
      </c>
      <c r="H19" s="51" t="n">
        <v>2026</v>
      </c>
      <c r="I19" s="330" t="n"/>
      <c r="J19" s="330" t="n"/>
      <c r="K19" s="330" t="n"/>
      <c r="L19" s="1" t="inlineStr">
        <is>
          <t>Water tankers</t>
        </is>
      </c>
      <c r="M19" s="1" t="n">
        <v>5000</v>
      </c>
      <c r="N19" s="29" t="n"/>
      <c r="O19" s="330" t="n"/>
    </row>
    <row r="20">
      <c r="A20" s="73" t="n">
        <v>304</v>
      </c>
      <c r="B20" s="30" t="n">
        <v>0.91</v>
      </c>
      <c r="C20" s="30" t="n">
        <v>1.14</v>
      </c>
      <c r="D20" s="29">
        <f>(C20-B20)*1000</f>
        <v/>
      </c>
      <c r="E20" s="50">
        <f>ROUND(D20*D23,0)</f>
        <v/>
      </c>
      <c r="F20" s="29" t="n">
        <v>600</v>
      </c>
      <c r="G20" s="327">
        <f>SUM(E20:F20)</f>
        <v/>
      </c>
      <c r="H20" s="51" t="n"/>
      <c r="I20" s="330" t="n"/>
      <c r="J20" s="330" t="n"/>
      <c r="K20" s="330" t="n"/>
      <c r="L20" s="107" t="inlineStr">
        <is>
          <t>Electricity bill</t>
        </is>
      </c>
      <c r="M20" s="330" t="n">
        <v>1870</v>
      </c>
      <c r="N20" s="29" t="n"/>
      <c r="O20" s="330" t="n"/>
    </row>
    <row r="21" ht="15.75" customHeight="1" s="366">
      <c r="A21" s="29" t="n"/>
      <c r="B21" s="29" t="n"/>
      <c r="C21" s="29" t="n"/>
      <c r="D21" s="29" t="n"/>
      <c r="E21" s="357">
        <f>SUM(E5:E20)</f>
        <v/>
      </c>
      <c r="F21" s="49">
        <f>SUM(F3:F20)</f>
        <v/>
      </c>
      <c r="G21" s="29">
        <f>SUM(E21:F21)</f>
        <v/>
      </c>
      <c r="H21" s="330">
        <f>SUM(H3:H20)</f>
        <v/>
      </c>
      <c r="I21" s="81" t="inlineStr">
        <is>
          <t>Sep balance</t>
        </is>
      </c>
      <c r="J21" s="81" t="n">
        <v>13367</v>
      </c>
      <c r="K21" s="330" t="n"/>
      <c r="L21" s="330" t="inlineStr">
        <is>
          <t>Cheepus+Bucket</t>
        </is>
      </c>
      <c r="M21" s="330" t="n">
        <v>280</v>
      </c>
      <c r="N21" s="29" t="n"/>
      <c r="O21" s="330" t="n"/>
    </row>
    <row r="22" ht="15.75" customHeight="1" s="366">
      <c r="A22" s="29" t="n"/>
      <c r="B22" s="29" t="inlineStr">
        <is>
          <t>Total Usage Units</t>
        </is>
      </c>
      <c r="C22" s="29" t="n"/>
      <c r="D22" s="30">
        <f>SUM(D5:D21)</f>
        <v/>
      </c>
      <c r="E22" s="327" t="n"/>
      <c r="F22" s="29" t="n"/>
      <c r="G22" s="29" t="n"/>
      <c r="H22" s="330" t="n"/>
      <c r="I22" s="330" t="n"/>
      <c r="J22" s="330" t="n"/>
      <c r="K22" s="330" t="n"/>
      <c r="L22" s="330" t="inlineStr">
        <is>
          <t>Oil</t>
        </is>
      </c>
      <c r="M22" s="330" t="n">
        <v>20</v>
      </c>
      <c r="N22" s="29" t="n"/>
      <c r="O22" s="330" t="n"/>
    </row>
    <row r="23" ht="17.25" customHeight="1" s="366">
      <c r="A23" s="29" t="n"/>
      <c r="B23" s="29" t="inlineStr">
        <is>
          <t>per Lt Cost With Manjira</t>
        </is>
      </c>
      <c r="C23" s="29" t="n"/>
      <c r="D23" s="29">
        <f>B24/D22</f>
        <v/>
      </c>
      <c r="E23" s="327" t="n"/>
      <c r="F23" s="29" t="n"/>
      <c r="G23" s="29" t="n"/>
      <c r="H23" s="330" t="n"/>
      <c r="I23" s="330" t="n"/>
      <c r="J23" s="330" t="n"/>
      <c r="K23" s="330" t="n"/>
      <c r="L23" s="55" t="inlineStr">
        <is>
          <t>Total</t>
        </is>
      </c>
      <c r="M23" s="55">
        <f>SUM(M10:M22)</f>
        <v/>
      </c>
      <c r="N23" s="89" t="n"/>
      <c r="O23" s="330" t="n"/>
    </row>
    <row r="24" ht="30.75" customHeight="1" s="366">
      <c r="A24" s="29" t="inlineStr">
        <is>
          <t>Total Water Bill</t>
        </is>
      </c>
      <c r="B24" s="30">
        <f>5000+2044</f>
        <v/>
      </c>
      <c r="C24" s="84" t="inlineStr">
        <is>
          <t xml:space="preserve">WATER Tankers(5) </t>
        </is>
      </c>
      <c r="D24" s="330" t="n"/>
      <c r="E24" s="330" t="n">
        <v>5000</v>
      </c>
      <c r="F24" s="29" t="n"/>
      <c r="G24" s="29" t="n"/>
      <c r="H24" s="330" t="n"/>
      <c r="I24" s="330" t="n"/>
      <c r="J24" s="330" t="n"/>
      <c r="K24" s="330" t="n"/>
      <c r="N24" s="371" t="n"/>
    </row>
    <row r="25" ht="15.75" customHeight="1" s="366">
      <c r="A25" s="330" t="n"/>
      <c r="B25" s="330" t="n"/>
      <c r="C25" s="330" t="n"/>
      <c r="D25" s="330" t="n"/>
      <c r="E25" s="330" t="n"/>
      <c r="F25" s="330" t="n"/>
      <c r="G25" s="330" t="n"/>
      <c r="H25" s="330" t="n"/>
      <c r="I25" s="330" t="n"/>
      <c r="J25" s="330" t="n"/>
      <c r="K25" s="330" t="n"/>
      <c r="L25" s="69" t="inlineStr">
        <is>
          <t>Oct balance</t>
        </is>
      </c>
      <c r="M25" s="70">
        <f>M8-M23</f>
        <v/>
      </c>
      <c r="N25" s="330" t="n"/>
      <c r="O25" s="330" t="n"/>
    </row>
    <row r="73" ht="15.75" customHeight="1" s="366">
      <c r="D73" s="29" t="n"/>
      <c r="E73" s="368" t="n"/>
    </row>
    <row r="74" ht="15.75" customHeight="1" s="366">
      <c r="D74" s="29" t="n"/>
      <c r="E74" s="368" t="n"/>
    </row>
  </sheetData>
  <mergeCells count="3">
    <mergeCell ref="N24:O24"/>
    <mergeCell ref="D74:E74"/>
    <mergeCell ref="D73:E7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O74"/>
  <sheetViews>
    <sheetView workbookViewId="0">
      <selection activeCell="B13" sqref="B13"/>
    </sheetView>
  </sheetViews>
  <sheetFormatPr baseColWidth="8" defaultColWidth="14.42578125" defaultRowHeight="15" customHeight="1"/>
  <cols>
    <col width="10.7109375" customWidth="1" style="366" min="1" max="1"/>
    <col width="13.28515625" customWidth="1" style="366" min="2" max="2"/>
    <col width="12.28515625" customWidth="1" style="366" min="3" max="3"/>
    <col width="9.28515625" customWidth="1" style="366" min="4" max="5"/>
    <col width="9.85546875" customWidth="1" style="366" min="6" max="6"/>
    <col width="11.7109375" customWidth="1" style="366" min="7" max="7"/>
    <col width="13.140625" customWidth="1" style="366" min="8" max="8"/>
    <col width="25.140625" customWidth="1" style="366" min="9" max="9"/>
    <col width="15.42578125" customWidth="1" style="366" min="10" max="10"/>
    <col width="7.5703125" customWidth="1" style="366" min="11" max="11"/>
    <col width="14.28515625" customWidth="1" style="366" min="12" max="12"/>
    <col width="7.85546875" customWidth="1" style="366" min="13" max="13"/>
    <col width="14.140625" customWidth="1" style="366" min="14" max="14"/>
    <col width="7.85546875" customWidth="1" style="366" min="15" max="15"/>
    <col width="9.5703125" customWidth="1" style="366" min="16" max="16"/>
    <col width="31.42578125" customWidth="1" style="366" min="17" max="17"/>
    <col width="7.85546875" customWidth="1" style="366" min="18" max="33"/>
  </cols>
  <sheetData>
    <row r="2">
      <c r="A2" s="49" t="inlineStr">
        <is>
          <t>Flat Number</t>
        </is>
      </c>
      <c r="B2" s="49" t="inlineStr">
        <is>
          <t>Previous Meter Reading</t>
        </is>
      </c>
      <c r="C2" s="49" t="inlineStr">
        <is>
          <t>Curret Meter Reading</t>
        </is>
      </c>
      <c r="D2" s="49" t="inlineStr">
        <is>
          <t>Total Units</t>
        </is>
      </c>
      <c r="E2" s="71" t="inlineStr">
        <is>
          <t>Water Bill</t>
        </is>
      </c>
      <c r="F2" s="29" t="inlineStr">
        <is>
          <t>CommonMaintanence</t>
        </is>
      </c>
      <c r="G2" s="327" t="inlineStr">
        <is>
          <t>Total to Pay</t>
        </is>
      </c>
      <c r="H2" s="49" t="inlineStr">
        <is>
          <t>Payment Status</t>
        </is>
      </c>
      <c r="I2" s="330" t="n"/>
      <c r="J2" s="330" t="n"/>
      <c r="K2" s="330" t="n"/>
      <c r="L2" s="335" t="inlineStr">
        <is>
          <t>Type</t>
        </is>
      </c>
      <c r="M2" s="335" t="inlineStr">
        <is>
          <t>Amount</t>
        </is>
      </c>
    </row>
    <row r="3" ht="16.5" customHeight="1" s="366">
      <c r="A3" s="72" t="inlineStr">
        <is>
          <t>Shop-1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50" t="inlineStr">
        <is>
          <t>NA</t>
        </is>
      </c>
      <c r="F3" s="29" t="n">
        <v>300</v>
      </c>
      <c r="G3" s="327">
        <f>SUM(E3:F3)</f>
        <v/>
      </c>
      <c r="H3" s="51" t="n"/>
      <c r="I3" s="330" t="n"/>
      <c r="J3" s="330" t="n"/>
      <c r="K3" s="330" t="n"/>
      <c r="L3" s="47" t="n"/>
    </row>
    <row r="4">
      <c r="A4" s="72" t="inlineStr">
        <is>
          <t>Shop-2</t>
        </is>
      </c>
      <c r="B4" s="29" t="inlineStr">
        <is>
          <t>NA</t>
        </is>
      </c>
      <c r="C4" s="29" t="inlineStr">
        <is>
          <t>NA</t>
        </is>
      </c>
      <c r="D4" s="29" t="inlineStr">
        <is>
          <t>NA</t>
        </is>
      </c>
      <c r="E4" s="50" t="inlineStr">
        <is>
          <t>NA</t>
        </is>
      </c>
      <c r="F4" s="29" t="n">
        <v>300</v>
      </c>
      <c r="G4" s="327">
        <f>SUM(E4:F4)</f>
        <v/>
      </c>
      <c r="H4" s="51" t="n"/>
      <c r="I4" s="330" t="n"/>
      <c r="J4" s="330" t="n"/>
      <c r="K4" s="330" t="n"/>
      <c r="L4" s="1" t="inlineStr">
        <is>
          <t>Maintenance</t>
        </is>
      </c>
      <c r="M4" s="1">
        <f>H21</f>
        <v/>
      </c>
    </row>
    <row r="5">
      <c r="A5" s="73" t="inlineStr">
        <is>
          <t>G1</t>
        </is>
      </c>
      <c r="B5" s="30" t="n">
        <v>1.09</v>
      </c>
      <c r="C5" s="30" t="n">
        <v>1.09</v>
      </c>
      <c r="D5" s="29">
        <f>(C5-B5)*1000</f>
        <v/>
      </c>
      <c r="E5" s="50">
        <f>ROUND(D5*D23,0)</f>
        <v/>
      </c>
      <c r="F5" s="29" t="n">
        <v>600</v>
      </c>
      <c r="G5" s="327">
        <f>SUM(E5:F5)</f>
        <v/>
      </c>
      <c r="H5" s="51" t="n">
        <v>600</v>
      </c>
      <c r="I5" s="330" t="n"/>
      <c r="J5" s="330" t="n"/>
      <c r="K5" s="330" t="n"/>
    </row>
    <row r="6">
      <c r="A6" s="32" t="inlineStr">
        <is>
          <t>G2</t>
        </is>
      </c>
      <c r="B6" s="30" t="n">
        <v>48.84</v>
      </c>
      <c r="C6" s="29" t="n">
        <v>56.09</v>
      </c>
      <c r="D6" s="29">
        <f>(C6-B6)*1000</f>
        <v/>
      </c>
      <c r="E6" s="50">
        <f>ROUND(D6*D23,0)</f>
        <v/>
      </c>
      <c r="F6" s="29" t="n">
        <v>1000</v>
      </c>
      <c r="G6" s="327">
        <f>SUM(E6:F6)</f>
        <v/>
      </c>
      <c r="H6" s="51" t="n">
        <v>1658</v>
      </c>
      <c r="I6" s="330" t="n"/>
      <c r="J6" s="330" t="n"/>
      <c r="K6" s="330" t="n"/>
      <c r="L6" s="66" t="inlineStr">
        <is>
          <t>Amount received</t>
        </is>
      </c>
      <c r="M6" s="66">
        <f>SUM(M3:M5)</f>
        <v/>
      </c>
    </row>
    <row r="7">
      <c r="A7" s="32" t="inlineStr">
        <is>
          <t>G3</t>
        </is>
      </c>
      <c r="B7" s="30" t="n">
        <v>113.9</v>
      </c>
      <c r="C7" s="29" t="n">
        <v>123.68</v>
      </c>
      <c r="D7" s="29">
        <f>(C7-B7)*1000</f>
        <v/>
      </c>
      <c r="E7" s="50">
        <f>ROUND(D7*D23,0)</f>
        <v/>
      </c>
      <c r="F7" s="29" t="n">
        <v>1000</v>
      </c>
      <c r="G7" s="327">
        <f>SUM(E7:F7)</f>
        <v/>
      </c>
      <c r="H7" s="51" t="n">
        <v>1887</v>
      </c>
      <c r="I7" s="330" t="n"/>
      <c r="J7" s="330" t="n"/>
      <c r="K7" s="330" t="n"/>
      <c r="L7" s="1" t="inlineStr">
        <is>
          <t>Oct balance</t>
        </is>
      </c>
      <c r="M7" s="1" t="n">
        <v>11991</v>
      </c>
    </row>
    <row r="8">
      <c r="A8" s="32" t="inlineStr">
        <is>
          <t>G4</t>
        </is>
      </c>
      <c r="B8" s="30" t="n">
        <v>100.58</v>
      </c>
      <c r="C8" s="29" t="n">
        <v>100.58</v>
      </c>
      <c r="D8" s="29">
        <f>(C8-B8)*1000</f>
        <v/>
      </c>
      <c r="E8" s="50">
        <f>ROUND(D8*D23,0)</f>
        <v/>
      </c>
      <c r="F8" s="29" t="n">
        <v>1000</v>
      </c>
      <c r="G8" s="327">
        <f>SUM(E8:F8)</f>
        <v/>
      </c>
      <c r="H8" s="51" t="n">
        <v>1000</v>
      </c>
      <c r="I8" s="330" t="n"/>
      <c r="J8" s="330" t="n"/>
      <c r="K8" s="330" t="n"/>
      <c r="L8" s="55" t="inlineStr">
        <is>
          <t>Total</t>
        </is>
      </c>
      <c r="M8" s="55">
        <f>SUM(M6:M7)</f>
        <v/>
      </c>
    </row>
    <row r="9">
      <c r="A9" s="73" t="n">
        <v>101</v>
      </c>
      <c r="B9" s="30" t="n">
        <v>0.38</v>
      </c>
      <c r="C9" s="29" t="n">
        <v>0.38</v>
      </c>
      <c r="D9" s="29">
        <f>(C9-B9)*1000</f>
        <v/>
      </c>
      <c r="E9" s="50">
        <f>ROUND(D9*D23,0)</f>
        <v/>
      </c>
      <c r="F9" s="29" t="n">
        <v>600</v>
      </c>
      <c r="G9" s="327">
        <f>SUM(E9:F9)</f>
        <v/>
      </c>
      <c r="H9" s="51" t="n">
        <v>1200</v>
      </c>
      <c r="I9" s="330" t="inlineStr">
        <is>
          <t>Last + current month</t>
        </is>
      </c>
      <c r="J9" s="330" t="n"/>
      <c r="K9" s="330" t="n"/>
      <c r="L9" s="68" t="inlineStr">
        <is>
          <t>Expendutre</t>
        </is>
      </c>
    </row>
    <row r="10">
      <c r="A10" s="32" t="n">
        <v>102</v>
      </c>
      <c r="B10" s="30" t="n">
        <v>168.59</v>
      </c>
      <c r="C10" s="29" t="n">
        <v>174.68</v>
      </c>
      <c r="D10" s="29">
        <f>(C10-B10)*1000</f>
        <v/>
      </c>
      <c r="E10" s="50">
        <f>ROUND(D10*D23,0)</f>
        <v/>
      </c>
      <c r="F10" s="29" t="n">
        <v>1000</v>
      </c>
      <c r="G10" s="327">
        <f>SUM(E10:F10)</f>
        <v/>
      </c>
      <c r="H10" s="51" t="n">
        <v>1552</v>
      </c>
      <c r="I10" s="330" t="n"/>
      <c r="J10" s="330" t="n"/>
      <c r="K10" s="330" t="n"/>
      <c r="L10" s="1" t="inlineStr">
        <is>
          <t>Watchman</t>
        </is>
      </c>
      <c r="M10" s="1" t="n">
        <v>6500</v>
      </c>
    </row>
    <row r="11">
      <c r="A11" s="75" t="n">
        <v>103</v>
      </c>
      <c r="B11" s="30" t="n">
        <v>0.83</v>
      </c>
      <c r="C11" s="29" t="n">
        <v>0.83</v>
      </c>
      <c r="D11" s="29">
        <f>(C11-B11)*1000</f>
        <v/>
      </c>
      <c r="E11" s="50">
        <f>ROUND(D11*D23,0)</f>
        <v/>
      </c>
      <c r="F11" s="29" t="n">
        <v>1000</v>
      </c>
      <c r="G11" s="327">
        <f>SUM(E11:F11)</f>
        <v/>
      </c>
      <c r="H11" s="51" t="n"/>
      <c r="I11" s="330" t="n"/>
      <c r="J11" s="330" t="n"/>
      <c r="K11" s="330" t="n"/>
      <c r="L11" s="1" t="inlineStr">
        <is>
          <t>Manjeera bill</t>
        </is>
      </c>
      <c r="M11" s="1" t="n">
        <v>2044</v>
      </c>
    </row>
    <row r="12">
      <c r="A12" s="32" t="n">
        <v>104</v>
      </c>
      <c r="B12" s="77" t="n">
        <v>80</v>
      </c>
      <c r="C12" s="29" t="n">
        <v>92.61</v>
      </c>
      <c r="D12" s="29">
        <f>(C12-B12)*1000</f>
        <v/>
      </c>
      <c r="E12" s="50">
        <f>ROUND(D12*D23,0)</f>
        <v/>
      </c>
      <c r="F12" s="29" t="n">
        <v>1000</v>
      </c>
      <c r="G12" s="327">
        <f>SUM(E12:F12)</f>
        <v/>
      </c>
      <c r="H12" s="51" t="n">
        <v>2144</v>
      </c>
      <c r="I12" s="330" t="n"/>
      <c r="J12" s="330" t="n"/>
      <c r="K12" s="330" t="n"/>
      <c r="L12" s="107" t="inlineStr">
        <is>
          <t>Electricity bill</t>
        </is>
      </c>
      <c r="M12" s="1" t="n">
        <v>2940</v>
      </c>
    </row>
    <row r="13">
      <c r="A13" s="78" t="n">
        <v>201</v>
      </c>
      <c r="B13" s="268" t="n">
        <v>1.59</v>
      </c>
      <c r="C13" s="29" t="n">
        <v>1.59</v>
      </c>
      <c r="D13" s="29">
        <f>(C13-B13)*1000</f>
        <v/>
      </c>
      <c r="E13" s="50">
        <f>ROUND(D13*D23,0)</f>
        <v/>
      </c>
      <c r="F13" s="29" t="n">
        <v>600</v>
      </c>
      <c r="G13" s="327">
        <f>SUM(E13:F13)</f>
        <v/>
      </c>
      <c r="H13" s="51" t="n">
        <v>1200</v>
      </c>
      <c r="I13" s="330" t="inlineStr">
        <is>
          <t>Last + current month</t>
        </is>
      </c>
      <c r="J13" s="330" t="n"/>
      <c r="K13" s="330" t="n"/>
      <c r="L13" s="1" t="inlineStr">
        <is>
          <t>Flowers</t>
        </is>
      </c>
      <c r="M13" s="1" t="n">
        <v>400</v>
      </c>
    </row>
    <row r="14">
      <c r="A14" s="32" t="n">
        <v>202</v>
      </c>
      <c r="B14" s="30" t="n">
        <v>117.11</v>
      </c>
      <c r="C14" s="29" t="n">
        <v>124.02</v>
      </c>
      <c r="D14" s="29">
        <f>(C14-B14)*1000</f>
        <v/>
      </c>
      <c r="E14" s="50">
        <f>ROUND(D14*D23,0)</f>
        <v/>
      </c>
      <c r="F14" s="29" t="n">
        <v>1000</v>
      </c>
      <c r="G14" s="327">
        <f>SUM(E14:F14)</f>
        <v/>
      </c>
      <c r="H14" s="51" t="n">
        <v>1627</v>
      </c>
      <c r="I14" s="330" t="n"/>
      <c r="J14" s="330" t="n"/>
      <c r="K14" s="330" t="n"/>
      <c r="L14" s="1" t="inlineStr">
        <is>
          <t>Lizol+chipurue</t>
        </is>
      </c>
      <c r="M14" s="1" t="n">
        <v>160</v>
      </c>
    </row>
    <row r="15">
      <c r="A15" s="32" t="n">
        <v>203</v>
      </c>
      <c r="B15" s="30" t="n">
        <v>72.39</v>
      </c>
      <c r="C15" s="29" t="n">
        <v>82.90000000000001</v>
      </c>
      <c r="D15" s="29">
        <f>(C15-B15)*1000</f>
        <v/>
      </c>
      <c r="E15" s="50">
        <f>ROUND(D15*D23,0)</f>
        <v/>
      </c>
      <c r="F15" s="29" t="n">
        <v>1000</v>
      </c>
      <c r="G15" s="327">
        <f>SUM(E15:F15)</f>
        <v/>
      </c>
      <c r="H15" s="51" t="n">
        <v>1953</v>
      </c>
      <c r="I15" s="330" t="n"/>
      <c r="J15" s="330" t="n"/>
      <c r="K15" s="330" t="n"/>
      <c r="L15" s="107" t="inlineStr">
        <is>
          <t>Muggu</t>
        </is>
      </c>
      <c r="M15" s="106" t="n">
        <v>100</v>
      </c>
    </row>
    <row r="16">
      <c r="A16" s="32" t="n">
        <v>204</v>
      </c>
      <c r="B16" s="30" t="n">
        <v>49.26</v>
      </c>
      <c r="C16" s="29" t="n">
        <v>56.16</v>
      </c>
      <c r="D16" s="29">
        <f>(C16-B16)*1000</f>
        <v/>
      </c>
      <c r="E16" s="50">
        <f>ROUND(D16*D23,0)</f>
        <v/>
      </c>
      <c r="F16" s="29" t="n">
        <v>1000</v>
      </c>
      <c r="G16" s="327">
        <f>SUM(E16:F16)</f>
        <v/>
      </c>
      <c r="H16" s="51" t="n">
        <v>1626</v>
      </c>
      <c r="I16" s="330" t="n"/>
      <c r="J16" s="330" t="n"/>
      <c r="K16" s="330" t="n"/>
      <c r="L16" s="1" t="inlineStr">
        <is>
          <t>water tankers</t>
        </is>
      </c>
      <c r="M16" s="1" t="n">
        <v>6000</v>
      </c>
    </row>
    <row r="17">
      <c r="A17" s="73" t="n">
        <v>301</v>
      </c>
      <c r="B17" s="30" t="n">
        <v>0.38</v>
      </c>
      <c r="C17" s="29" t="n">
        <v>0.38</v>
      </c>
      <c r="D17" s="29">
        <f>(C17-B17)*1000</f>
        <v/>
      </c>
      <c r="E17" s="50">
        <f>ROUND(D17*D23,0)</f>
        <v/>
      </c>
      <c r="F17" s="29" t="n">
        <v>600</v>
      </c>
      <c r="G17" s="327">
        <f>SUM(E17:F17)</f>
        <v/>
      </c>
      <c r="H17" s="51" t="n">
        <v>1200</v>
      </c>
      <c r="I17" s="330" t="inlineStr">
        <is>
          <t>Last + current month</t>
        </is>
      </c>
      <c r="J17" s="330" t="n"/>
      <c r="K17" s="330" t="n"/>
      <c r="L17" s="1" t="inlineStr">
        <is>
          <t>Grills + wire</t>
        </is>
      </c>
      <c r="M17" s="1" t="n">
        <v>6600</v>
      </c>
      <c r="N17" s="29" t="n"/>
      <c r="O17" s="330" t="n"/>
    </row>
    <row r="18" ht="19.5" customHeight="1" s="366">
      <c r="A18" s="73" t="n">
        <v>302</v>
      </c>
      <c r="B18" s="30" t="n">
        <v>0.38</v>
      </c>
      <c r="C18" s="29" t="n">
        <v>0.38</v>
      </c>
      <c r="D18" s="29">
        <f>(C18-B18)*1000</f>
        <v/>
      </c>
      <c r="E18" s="50">
        <f>ROUND(D18*D23,0)</f>
        <v/>
      </c>
      <c r="F18" s="29" t="n">
        <v>600</v>
      </c>
      <c r="G18" s="327">
        <f>SUM(E18:F18)</f>
        <v/>
      </c>
      <c r="H18" s="51" t="n">
        <v>1200</v>
      </c>
      <c r="I18" s="330" t="inlineStr">
        <is>
          <t>Last + current month</t>
        </is>
      </c>
      <c r="J18" s="330" t="n"/>
      <c r="K18" s="330" t="n"/>
      <c r="L18" s="47" t="n"/>
      <c r="N18" s="29" t="n"/>
      <c r="O18" s="330" t="n"/>
    </row>
    <row r="19">
      <c r="A19" s="32" t="n">
        <v>303</v>
      </c>
      <c r="B19" s="30" t="n">
        <v>265.84</v>
      </c>
      <c r="C19" s="29" t="n">
        <v>283.29</v>
      </c>
      <c r="D19" s="29">
        <f>(C19-B19)*1000</f>
        <v/>
      </c>
      <c r="E19" s="50">
        <f>ROUND(D19*D23,0)</f>
        <v/>
      </c>
      <c r="F19" s="29" t="n">
        <v>1000</v>
      </c>
      <c r="G19" s="327">
        <f>SUM(E19:F19)</f>
        <v/>
      </c>
      <c r="H19" s="51" t="n">
        <v>2583</v>
      </c>
      <c r="I19" s="330" t="n"/>
      <c r="J19" s="330" t="n"/>
      <c r="K19" s="330" t="n"/>
      <c r="N19" s="29" t="n"/>
      <c r="O19" s="330" t="n"/>
    </row>
    <row r="20">
      <c r="A20" s="73" t="n">
        <v>304</v>
      </c>
      <c r="B20" s="30" t="n">
        <v>1.14</v>
      </c>
      <c r="C20" s="30" t="n">
        <v>1.3</v>
      </c>
      <c r="D20" s="29">
        <f>(C20-B20)*1000</f>
        <v/>
      </c>
      <c r="E20" s="50">
        <f>ROUND(D20*D23,0)</f>
        <v/>
      </c>
      <c r="F20" s="29" t="n">
        <v>600</v>
      </c>
      <c r="G20" s="327">
        <f>SUM(E20:F20)</f>
        <v/>
      </c>
      <c r="H20" s="51" t="n">
        <v>1200</v>
      </c>
      <c r="I20" s="330" t="inlineStr">
        <is>
          <t>Last + current month</t>
        </is>
      </c>
      <c r="J20" s="330" t="n"/>
      <c r="K20" s="330" t="n"/>
      <c r="L20" s="107" t="n"/>
      <c r="M20" s="330" t="n"/>
      <c r="N20" s="29" t="n"/>
      <c r="O20" s="330" t="n"/>
    </row>
    <row r="21" ht="15.75" customHeight="1" s="366">
      <c r="A21" s="29" t="n"/>
      <c r="B21" s="29" t="n"/>
      <c r="C21" s="29" t="n"/>
      <c r="D21" s="29" t="n"/>
      <c r="E21" s="357">
        <f>SUM(E5:E20)</f>
        <v/>
      </c>
      <c r="F21" s="49">
        <f>SUM(F3:F20)</f>
        <v/>
      </c>
      <c r="G21" s="29">
        <f>SUM(E21:F21)</f>
        <v/>
      </c>
      <c r="H21" s="330">
        <f>SUM(H3:H20)</f>
        <v/>
      </c>
      <c r="I21" s="81" t="inlineStr">
        <is>
          <t>Oct balance</t>
        </is>
      </c>
      <c r="J21" s="81" t="n">
        <v>11991</v>
      </c>
      <c r="K21" s="330" t="n"/>
      <c r="L21" s="330" t="n"/>
      <c r="M21" s="330" t="n"/>
      <c r="N21" s="29" t="n"/>
      <c r="O21" s="330" t="n"/>
    </row>
    <row r="22" ht="15.75" customHeight="1" s="366">
      <c r="A22" s="29" t="n"/>
      <c r="B22" s="29" t="inlineStr">
        <is>
          <t>Total Usage Units</t>
        </is>
      </c>
      <c r="C22" s="29" t="n"/>
      <c r="D22" s="30">
        <f>SUM(D5:D21)</f>
        <v/>
      </c>
      <c r="E22" s="327" t="n"/>
      <c r="F22" s="29" t="n"/>
      <c r="G22" s="29" t="n"/>
      <c r="H22" s="330" t="n"/>
      <c r="I22" s="330" t="n"/>
      <c r="J22" s="330" t="n"/>
      <c r="K22" s="330" t="n"/>
      <c r="L22" s="330" t="n"/>
      <c r="M22" s="330" t="n"/>
      <c r="N22" s="29" t="n"/>
      <c r="O22" s="330" t="n"/>
    </row>
    <row r="23" ht="17.25" customHeight="1" s="366">
      <c r="A23" s="29" t="n"/>
      <c r="B23" s="29" t="inlineStr">
        <is>
          <t>per Lt Cost With Manjira</t>
        </is>
      </c>
      <c r="C23" s="29" t="n"/>
      <c r="D23" s="29">
        <f>B24/D22</f>
        <v/>
      </c>
      <c r="E23" s="327" t="n"/>
      <c r="F23" s="29" t="n"/>
      <c r="G23" s="29" t="n"/>
      <c r="H23" s="330" t="n"/>
      <c r="I23" s="330" t="n"/>
      <c r="J23" s="330" t="n"/>
      <c r="K23" s="330" t="n"/>
      <c r="L23" s="55" t="inlineStr">
        <is>
          <t>Total</t>
        </is>
      </c>
      <c r="M23" s="55">
        <f>SUM(M10:M22)</f>
        <v/>
      </c>
      <c r="N23" s="89" t="n"/>
      <c r="O23" s="330" t="n"/>
    </row>
    <row r="24" ht="30.75" customHeight="1" s="366">
      <c r="A24" s="29" t="inlineStr">
        <is>
          <t>Total Water Bill</t>
        </is>
      </c>
      <c r="B24" s="30">
        <f>5000+2044</f>
        <v/>
      </c>
      <c r="C24" s="84" t="inlineStr">
        <is>
          <t xml:space="preserve">WATER Tankers(5) </t>
        </is>
      </c>
      <c r="D24" s="330" t="n"/>
      <c r="E24" s="330" t="n">
        <v>5000</v>
      </c>
      <c r="F24" s="29" t="n"/>
      <c r="G24" s="29" t="n"/>
      <c r="H24" s="330" t="n"/>
      <c r="I24" s="330" t="n"/>
      <c r="J24" s="330" t="n"/>
      <c r="K24" s="330" t="n"/>
      <c r="N24" s="371" t="n"/>
    </row>
    <row r="25" ht="15.75" customHeight="1" s="366">
      <c r="A25" s="330" t="n"/>
      <c r="B25" s="330" t="n"/>
      <c r="C25" s="330" t="n"/>
      <c r="D25" s="330" t="n"/>
      <c r="E25" s="330" t="n"/>
      <c r="F25" s="330" t="n"/>
      <c r="G25" s="330" t="n"/>
      <c r="H25" s="330" t="n"/>
      <c r="I25" s="330" t="n"/>
      <c r="J25" s="330" t="n"/>
      <c r="K25" s="330" t="n"/>
      <c r="L25" s="69" t="inlineStr">
        <is>
          <t>Nov balance</t>
        </is>
      </c>
      <c r="M25" s="70">
        <f>M8-M23</f>
        <v/>
      </c>
      <c r="N25" s="330" t="n"/>
      <c r="O25" s="330" t="n"/>
    </row>
    <row r="73" ht="15.75" customHeight="1" s="366">
      <c r="D73" s="29" t="n"/>
      <c r="E73" s="368" t="n"/>
    </row>
    <row r="74" ht="15.75" customHeight="1" s="366">
      <c r="D74" s="29" t="n"/>
      <c r="E74" s="368" t="n"/>
    </row>
  </sheetData>
  <mergeCells count="3">
    <mergeCell ref="N24:O24"/>
    <mergeCell ref="D74:E74"/>
    <mergeCell ref="D73:E7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O74"/>
  <sheetViews>
    <sheetView workbookViewId="0">
      <selection activeCell="A1" sqref="A1"/>
    </sheetView>
  </sheetViews>
  <sheetFormatPr baseColWidth="8" defaultColWidth="14.42578125" defaultRowHeight="15" customHeight="1"/>
  <cols>
    <col width="10.7109375" customWidth="1" style="366" min="1" max="1"/>
    <col width="13.28515625" customWidth="1" style="366" min="2" max="2"/>
    <col width="12.28515625" customWidth="1" style="366" min="3" max="3"/>
    <col width="9.28515625" customWidth="1" style="366" min="4" max="5"/>
    <col width="9.85546875" customWidth="1" style="366" min="6" max="6"/>
    <col width="11.7109375" customWidth="1" style="366" min="7" max="7"/>
    <col width="13.140625" customWidth="1" style="366" min="8" max="8"/>
    <col width="25.140625" customWidth="1" style="366" min="9" max="9"/>
    <col width="15.42578125" customWidth="1" style="366" min="10" max="10"/>
    <col width="7.5703125" customWidth="1" style="366" min="11" max="11"/>
    <col width="14.28515625" customWidth="1" style="366" min="12" max="12"/>
    <col width="7.85546875" customWidth="1" style="366" min="13" max="13"/>
    <col width="14.140625" customWidth="1" style="366" min="14" max="14"/>
    <col width="7.85546875" customWidth="1" style="366" min="15" max="15"/>
    <col width="9.5703125" customWidth="1" style="366" min="16" max="16"/>
    <col width="31.42578125" customWidth="1" style="366" min="17" max="17"/>
    <col width="7.85546875" customWidth="1" style="366" min="18" max="33"/>
  </cols>
  <sheetData>
    <row r="2">
      <c r="A2" s="49" t="inlineStr">
        <is>
          <t>Flat Number</t>
        </is>
      </c>
      <c r="B2" s="49" t="inlineStr">
        <is>
          <t>Previous Meter Reading</t>
        </is>
      </c>
      <c r="C2" s="49" t="inlineStr">
        <is>
          <t>Curret Meter Reading</t>
        </is>
      </c>
      <c r="D2" s="49" t="inlineStr">
        <is>
          <t>Total Units</t>
        </is>
      </c>
      <c r="E2" s="71" t="inlineStr">
        <is>
          <t>Water Bill</t>
        </is>
      </c>
      <c r="F2" s="29" t="inlineStr">
        <is>
          <t>CommonMaintanence</t>
        </is>
      </c>
      <c r="G2" s="327" t="inlineStr">
        <is>
          <t>Total to Pay</t>
        </is>
      </c>
      <c r="H2" s="49" t="inlineStr">
        <is>
          <t>Payment Status</t>
        </is>
      </c>
      <c r="I2" s="330" t="n"/>
      <c r="J2" s="330" t="n"/>
      <c r="K2" s="330" t="n"/>
      <c r="L2" s="335" t="inlineStr">
        <is>
          <t>Type</t>
        </is>
      </c>
      <c r="M2" s="335" t="inlineStr">
        <is>
          <t>Amount</t>
        </is>
      </c>
    </row>
    <row r="3" ht="16.5" customHeight="1" s="366">
      <c r="A3" s="72" t="inlineStr">
        <is>
          <t>Shop-1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50" t="inlineStr">
        <is>
          <t>NA</t>
        </is>
      </c>
      <c r="F3" s="29" t="n">
        <v>300</v>
      </c>
      <c r="G3" s="327">
        <f>SUM(E3:F3)</f>
        <v/>
      </c>
      <c r="H3" s="51" t="n"/>
      <c r="I3" s="330" t="n"/>
      <c r="J3" s="330" t="n"/>
      <c r="K3" s="330" t="n"/>
      <c r="L3" s="47" t="n"/>
    </row>
    <row r="4">
      <c r="A4" s="72" t="inlineStr">
        <is>
          <t>Shop-2</t>
        </is>
      </c>
      <c r="B4" s="29" t="inlineStr">
        <is>
          <t>NA</t>
        </is>
      </c>
      <c r="C4" s="29" t="inlineStr">
        <is>
          <t>NA</t>
        </is>
      </c>
      <c r="D4" s="29" t="inlineStr">
        <is>
          <t>NA</t>
        </is>
      </c>
      <c r="E4" s="50" t="inlineStr">
        <is>
          <t>NA</t>
        </is>
      </c>
      <c r="F4" s="29" t="n">
        <v>300</v>
      </c>
      <c r="G4" s="327">
        <f>SUM(E4:F4)</f>
        <v/>
      </c>
      <c r="H4" s="51" t="n"/>
      <c r="I4" s="330" t="n"/>
      <c r="J4" s="330" t="n"/>
      <c r="K4" s="330" t="n"/>
      <c r="L4" s="1" t="inlineStr">
        <is>
          <t>Maintenance</t>
        </is>
      </c>
      <c r="M4" s="1">
        <f>H21</f>
        <v/>
      </c>
    </row>
    <row r="5">
      <c r="A5" s="73" t="inlineStr">
        <is>
          <t>G1</t>
        </is>
      </c>
      <c r="B5" s="30" t="n">
        <v>1.09</v>
      </c>
      <c r="C5" s="30" t="n">
        <v>1.09</v>
      </c>
      <c r="D5" s="29">
        <f>(C5-B5)*1000</f>
        <v/>
      </c>
      <c r="E5" s="50">
        <f>ROUND(D5*D23,0)</f>
        <v/>
      </c>
      <c r="F5" s="29" t="n">
        <v>600</v>
      </c>
      <c r="G5" s="327">
        <f>SUM(E5:F5)</f>
        <v/>
      </c>
      <c r="H5" s="51" t="n">
        <v>600</v>
      </c>
      <c r="I5" s="330" t="n"/>
      <c r="J5" s="330" t="n"/>
      <c r="K5" s="330" t="n"/>
    </row>
    <row r="6">
      <c r="A6" s="32" t="inlineStr">
        <is>
          <t>G2</t>
        </is>
      </c>
      <c r="B6" s="29" t="n">
        <v>56.09</v>
      </c>
      <c r="C6" s="29" t="n">
        <v>63.08</v>
      </c>
      <c r="D6" s="29">
        <f>(C6-B6)*1000</f>
        <v/>
      </c>
      <c r="E6" s="50">
        <f>ROUND(D6*D23,0)</f>
        <v/>
      </c>
      <c r="F6" s="29" t="n">
        <v>1000</v>
      </c>
      <c r="G6" s="327">
        <f>SUM(E6:F6)</f>
        <v/>
      </c>
      <c r="H6" s="51" t="n">
        <v>1696</v>
      </c>
      <c r="I6" s="330" t="n"/>
      <c r="J6" s="330" t="n"/>
      <c r="K6" s="330" t="n"/>
      <c r="L6" s="66" t="inlineStr">
        <is>
          <t>Amount received</t>
        </is>
      </c>
      <c r="M6" s="66">
        <f>SUM(M3:M5)</f>
        <v/>
      </c>
    </row>
    <row r="7">
      <c r="A7" s="32" t="inlineStr">
        <is>
          <t>G3</t>
        </is>
      </c>
      <c r="B7" s="29" t="n">
        <v>123.68</v>
      </c>
      <c r="C7" s="29" t="n">
        <v>133</v>
      </c>
      <c r="D7" s="29">
        <f>(C7-B7)*1000</f>
        <v/>
      </c>
      <c r="E7" s="50">
        <f>ROUND(D7*D23,0)</f>
        <v/>
      </c>
      <c r="F7" s="29" t="n">
        <v>1000</v>
      </c>
      <c r="G7" s="327">
        <f>SUM(E7:F7)</f>
        <v/>
      </c>
      <c r="H7" s="51" t="n">
        <v>1928</v>
      </c>
      <c r="I7" s="330" t="n"/>
      <c r="J7" s="330" t="n"/>
      <c r="K7" s="330" t="n"/>
      <c r="L7" s="1" t="inlineStr">
        <is>
          <t>Nov balance</t>
        </is>
      </c>
      <c r="M7" s="1">
        <f>J21</f>
        <v/>
      </c>
    </row>
    <row r="8">
      <c r="A8" s="32" t="inlineStr">
        <is>
          <t>G4</t>
        </is>
      </c>
      <c r="B8" s="29" t="n">
        <v>100.58</v>
      </c>
      <c r="C8" s="29" t="n">
        <v>100.59</v>
      </c>
      <c r="D8" s="29">
        <f>(C8-B8)*1000</f>
        <v/>
      </c>
      <c r="E8" s="50">
        <f>ROUND(D8*D23,0)</f>
        <v/>
      </c>
      <c r="F8" s="29" t="n">
        <v>1000</v>
      </c>
      <c r="G8" s="327">
        <f>SUM(E8:F8)</f>
        <v/>
      </c>
      <c r="H8" s="51" t="n">
        <v>1001</v>
      </c>
      <c r="I8" s="330" t="n"/>
      <c r="J8" s="330" t="n"/>
      <c r="K8" s="330" t="n"/>
      <c r="L8" s="55" t="inlineStr">
        <is>
          <t>Total</t>
        </is>
      </c>
      <c r="M8" s="55">
        <f>SUM(M6:M7)</f>
        <v/>
      </c>
    </row>
    <row r="9">
      <c r="A9" s="73" t="n">
        <v>101</v>
      </c>
      <c r="B9" s="29" t="n">
        <v>0.38</v>
      </c>
      <c r="C9" s="29" t="n">
        <v>0.38</v>
      </c>
      <c r="D9" s="29">
        <f>(C9-B9)*1000</f>
        <v/>
      </c>
      <c r="E9" s="50">
        <f>ROUND(D9*D23,0)</f>
        <v/>
      </c>
      <c r="F9" s="29" t="n">
        <v>600</v>
      </c>
      <c r="G9" s="327">
        <f>SUM(E9:F9)</f>
        <v/>
      </c>
      <c r="H9" s="51" t="n">
        <v>600</v>
      </c>
      <c r="I9" s="330" t="n"/>
      <c r="J9" s="330" t="n"/>
      <c r="K9" s="330" t="n"/>
      <c r="L9" s="68" t="inlineStr">
        <is>
          <t>Expendutre</t>
        </is>
      </c>
    </row>
    <row r="10">
      <c r="A10" s="32" t="n">
        <v>102</v>
      </c>
      <c r="B10" s="29" t="n">
        <v>174.68</v>
      </c>
      <c r="C10" s="29" t="n">
        <v>182.07</v>
      </c>
      <c r="D10" s="29">
        <f>(C10-B10)*1000</f>
        <v/>
      </c>
      <c r="E10" s="50">
        <f>ROUND(D10*D23,0)</f>
        <v/>
      </c>
      <c r="F10" s="29" t="n">
        <v>1000</v>
      </c>
      <c r="G10" s="327">
        <f>SUM(E10:F10)</f>
        <v/>
      </c>
      <c r="H10" s="51" t="n"/>
      <c r="I10" s="330" t="n"/>
      <c r="J10" s="330" t="n"/>
      <c r="K10" s="330" t="n"/>
      <c r="L10" s="1" t="inlineStr">
        <is>
          <t>Watchman</t>
        </is>
      </c>
      <c r="M10" s="1" t="n">
        <v>6500</v>
      </c>
    </row>
    <row r="11">
      <c r="A11" s="75" t="n">
        <v>103</v>
      </c>
      <c r="B11" s="29" t="n">
        <v>0.83</v>
      </c>
      <c r="C11" s="29" t="n">
        <v>0.83</v>
      </c>
      <c r="D11" s="29">
        <f>(C11-B11)*1000</f>
        <v/>
      </c>
      <c r="E11" s="50">
        <f>ROUND(D11*D23,0)</f>
        <v/>
      </c>
      <c r="F11" s="29" t="n">
        <v>1000</v>
      </c>
      <c r="G11" s="327">
        <f>SUM(E11:F11)</f>
        <v/>
      </c>
      <c r="H11" s="51" t="n">
        <v>1000</v>
      </c>
      <c r="I11" s="330" t="inlineStr">
        <is>
          <t>NOV month- Dec balance</t>
        </is>
      </c>
      <c r="J11" s="330" t="n"/>
      <c r="K11" s="330" t="n"/>
      <c r="L11" s="1" t="inlineStr">
        <is>
          <t>Manjeera bill</t>
        </is>
      </c>
      <c r="M11" s="1" t="n">
        <v>2044</v>
      </c>
    </row>
    <row r="12">
      <c r="A12" s="32" t="n">
        <v>104</v>
      </c>
      <c r="B12" s="29" t="n">
        <v>92.61</v>
      </c>
      <c r="C12" s="29" t="n">
        <v>105.34</v>
      </c>
      <c r="D12" s="29">
        <f>(C12-B12)*1000</f>
        <v/>
      </c>
      <c r="E12" s="50">
        <f>ROUND(D12*D23,0)</f>
        <v/>
      </c>
      <c r="F12" s="29" t="n">
        <v>1000</v>
      </c>
      <c r="G12" s="327">
        <f>SUM(E12:F12)</f>
        <v/>
      </c>
      <c r="H12" s="51" t="n">
        <v>2267</v>
      </c>
      <c r="I12" s="330" t="n"/>
      <c r="J12" s="330" t="n"/>
      <c r="K12" s="330" t="n"/>
      <c r="L12" s="107" t="inlineStr">
        <is>
          <t>Electricity bill</t>
        </is>
      </c>
      <c r="M12" s="1" t="n">
        <v>1783</v>
      </c>
    </row>
    <row r="13">
      <c r="A13" s="78" t="n">
        <v>201</v>
      </c>
      <c r="B13" s="29" t="n">
        <v>1.59</v>
      </c>
      <c r="C13" s="29" t="n">
        <v>1.59</v>
      </c>
      <c r="D13" s="29">
        <f>(C13-B13)*1000</f>
        <v/>
      </c>
      <c r="E13" s="50">
        <f>ROUND(D13*D23,0)</f>
        <v/>
      </c>
      <c r="F13" s="29" t="n">
        <v>600</v>
      </c>
      <c r="G13" s="327">
        <f>SUM(E13:F13)</f>
        <v/>
      </c>
      <c r="H13" s="51" t="n">
        <v>600</v>
      </c>
      <c r="I13" s="330" t="n"/>
      <c r="J13" s="330" t="n"/>
      <c r="K13" s="330" t="n"/>
      <c r="L13" s="1" t="inlineStr">
        <is>
          <t>Lift maintenance</t>
        </is>
      </c>
      <c r="M13" s="1" t="n">
        <v>3000</v>
      </c>
    </row>
    <row r="14">
      <c r="A14" s="32" t="n">
        <v>202</v>
      </c>
      <c r="B14" s="29" t="n">
        <v>124.02</v>
      </c>
      <c r="C14" s="29" t="n">
        <v>132</v>
      </c>
      <c r="D14" s="29">
        <f>(C14-B14)*1000</f>
        <v/>
      </c>
      <c r="E14" s="50">
        <f>ROUND(D14*D23,0)</f>
        <v/>
      </c>
      <c r="F14" s="29" t="n">
        <v>1000</v>
      </c>
      <c r="G14" s="327">
        <f>SUM(E14:F14)</f>
        <v/>
      </c>
      <c r="H14" s="51" t="n">
        <v>1794</v>
      </c>
      <c r="I14" s="330" t="n"/>
      <c r="J14" s="330" t="n"/>
      <c r="K14" s="330" t="n"/>
      <c r="L14" s="1" t="inlineStr">
        <is>
          <t>Lizol</t>
        </is>
      </c>
      <c r="M14" s="1" t="n">
        <v>380</v>
      </c>
    </row>
    <row r="15">
      <c r="A15" s="32" t="n">
        <v>203</v>
      </c>
      <c r="B15" s="29" t="n">
        <v>82.90000000000001</v>
      </c>
      <c r="C15" s="29" t="n">
        <v>93.05</v>
      </c>
      <c r="D15" s="29">
        <f>(C15-B15)*1000</f>
        <v/>
      </c>
      <c r="E15" s="50">
        <f>ROUND(D15*D23,0)</f>
        <v/>
      </c>
      <c r="F15" s="29" t="n">
        <v>1000</v>
      </c>
      <c r="G15" s="327">
        <f>SUM(E15:F15)</f>
        <v/>
      </c>
      <c r="H15" s="51" t="n">
        <v>2010</v>
      </c>
      <c r="I15" s="330" t="n"/>
      <c r="J15" s="330" t="n"/>
      <c r="K15" s="330" t="n"/>
      <c r="L15" s="330" t="inlineStr">
        <is>
          <t>Plumber-pipe leak</t>
        </is>
      </c>
      <c r="M15" s="106" t="n">
        <v>418</v>
      </c>
    </row>
    <row r="16">
      <c r="A16" s="32" t="n">
        <v>204</v>
      </c>
      <c r="B16" s="29" t="n">
        <v>56.16</v>
      </c>
      <c r="C16" s="29" t="n">
        <v>64.78</v>
      </c>
      <c r="D16" s="29">
        <f>(C16-B16)*1000</f>
        <v/>
      </c>
      <c r="E16" s="50">
        <f>ROUND(D16*D23,0)</f>
        <v/>
      </c>
      <c r="F16" s="29" t="n">
        <v>1000</v>
      </c>
      <c r="G16" s="327">
        <f>SUM(E16:F16)</f>
        <v/>
      </c>
      <c r="H16" s="51" t="n">
        <v>1858</v>
      </c>
      <c r="I16" s="330" t="n"/>
      <c r="J16" s="330" t="n"/>
      <c r="K16" s="330" t="n"/>
      <c r="L16" s="1" t="inlineStr">
        <is>
          <t>LiftGaurds replace</t>
        </is>
      </c>
      <c r="M16" s="1" t="n">
        <v>500</v>
      </c>
    </row>
    <row r="17">
      <c r="A17" s="73" t="n">
        <v>301</v>
      </c>
      <c r="B17" s="29" t="n">
        <v>0.38</v>
      </c>
      <c r="C17" s="29" t="n">
        <v>0.38</v>
      </c>
      <c r="D17" s="29">
        <f>(C17-B17)*1000</f>
        <v/>
      </c>
      <c r="E17" s="50">
        <f>ROUND(D17*D23,0)</f>
        <v/>
      </c>
      <c r="F17" s="29" t="n">
        <v>600</v>
      </c>
      <c r="G17" s="327">
        <f>SUM(E17:F17)</f>
        <v/>
      </c>
      <c r="H17" s="51" t="n">
        <v>600</v>
      </c>
      <c r="I17" s="330" t="n"/>
      <c r="J17" s="330" t="n"/>
      <c r="K17" s="330" t="n"/>
      <c r="L17" s="1" t="inlineStr">
        <is>
          <t>Water tanks</t>
        </is>
      </c>
      <c r="M17" s="1" t="n">
        <v>6000</v>
      </c>
      <c r="N17" s="29" t="n"/>
      <c r="O17" s="330" t="n"/>
    </row>
    <row r="18" ht="19.5" customHeight="1" s="366">
      <c r="A18" s="73" t="n">
        <v>302</v>
      </c>
      <c r="B18" s="29" t="n">
        <v>0.38</v>
      </c>
      <c r="C18" s="29" t="n">
        <v>0.39</v>
      </c>
      <c r="D18" s="29">
        <f>(C18-B18)*1000</f>
        <v/>
      </c>
      <c r="E18" s="50">
        <f>ROUND(D18*D23,0)</f>
        <v/>
      </c>
      <c r="F18" s="29" t="n">
        <v>600</v>
      </c>
      <c r="G18" s="327">
        <f>SUM(E18:F18)</f>
        <v/>
      </c>
      <c r="H18" s="51" t="n">
        <v>600</v>
      </c>
      <c r="I18" s="330" t="n"/>
      <c r="J18" s="330" t="n"/>
      <c r="K18" s="330" t="n"/>
      <c r="L18" s="47" t="inlineStr">
        <is>
          <t>Birds net Buil</t>
        </is>
      </c>
      <c r="M18" s="1" t="n">
        <v>2200</v>
      </c>
      <c r="N18" s="29" t="n"/>
      <c r="O18" s="330" t="n"/>
    </row>
    <row r="19">
      <c r="A19" s="32" t="n">
        <v>303</v>
      </c>
      <c r="B19" s="29" t="n">
        <v>283.29</v>
      </c>
      <c r="C19" s="29" t="n">
        <v>300.7</v>
      </c>
      <c r="D19" s="29">
        <f>(C19-B19)*1000</f>
        <v/>
      </c>
      <c r="E19" s="50">
        <f>ROUND(D19*D23,0)</f>
        <v/>
      </c>
      <c r="F19" s="29" t="n">
        <v>1000</v>
      </c>
      <c r="G19" s="327">
        <f>SUM(E19:F19)</f>
        <v/>
      </c>
      <c r="H19" s="51" t="n">
        <v>2733</v>
      </c>
      <c r="I19" s="330" t="n"/>
      <c r="J19" s="330" t="n"/>
      <c r="K19" s="330" t="n"/>
      <c r="N19" s="29" t="n"/>
      <c r="O19" s="330" t="n"/>
    </row>
    <row r="20">
      <c r="A20" s="73" t="n">
        <v>304</v>
      </c>
      <c r="B20" s="30" t="n">
        <v>1.3</v>
      </c>
      <c r="C20" s="30" t="n">
        <v>1.49</v>
      </c>
      <c r="D20" s="29">
        <f>(C20-B20)*1000</f>
        <v/>
      </c>
      <c r="E20" s="50">
        <f>ROUND(D20*D23,0)</f>
        <v/>
      </c>
      <c r="F20" s="29" t="n">
        <v>600</v>
      </c>
      <c r="G20" s="327">
        <f>SUM(E20:F20)</f>
        <v/>
      </c>
      <c r="H20" s="51" t="n">
        <v>600</v>
      </c>
      <c r="I20" s="330" t="n"/>
      <c r="J20" s="330" t="n"/>
      <c r="K20" s="330" t="n"/>
      <c r="L20" s="107" t="n"/>
      <c r="M20" s="330" t="n"/>
      <c r="N20" s="29" t="n"/>
      <c r="O20" s="330" t="n"/>
    </row>
    <row r="21" ht="15.75" customHeight="1" s="366">
      <c r="A21" s="29" t="n"/>
      <c r="B21" s="29" t="n"/>
      <c r="C21" s="29" t="n"/>
      <c r="D21" s="29" t="n"/>
      <c r="E21" s="357">
        <f>SUM(E5:E20)</f>
        <v/>
      </c>
      <c r="F21" s="49">
        <f>SUM(F3:F20)</f>
        <v/>
      </c>
      <c r="G21" s="29">
        <f>SUM(E21:F21)</f>
        <v/>
      </c>
      <c r="H21" s="330">
        <f>SUM(H3:H20)</f>
        <v/>
      </c>
      <c r="I21" s="81" t="inlineStr">
        <is>
          <t>Nov balance</t>
        </is>
      </c>
      <c r="J21" s="81" t="n">
        <v>9877</v>
      </c>
      <c r="K21" s="330" t="n"/>
      <c r="L21" s="330" t="n"/>
      <c r="M21" s="330" t="n"/>
      <c r="N21" s="29" t="n"/>
      <c r="O21" s="330" t="n"/>
    </row>
    <row r="22" ht="15.75" customHeight="1" s="366">
      <c r="A22" s="29" t="n"/>
      <c r="B22" s="29" t="inlineStr">
        <is>
          <t>Total Usage Units</t>
        </is>
      </c>
      <c r="C22" s="29" t="n"/>
      <c r="D22" s="30">
        <f>SUM(D5:D21)</f>
        <v/>
      </c>
      <c r="E22" s="327" t="n"/>
      <c r="F22" s="29" t="n"/>
      <c r="G22" s="29" t="n"/>
      <c r="H22" s="330" t="n"/>
      <c r="I22" s="330" t="n"/>
      <c r="J22" s="330" t="n"/>
      <c r="K22" s="330" t="n"/>
      <c r="L22" s="330" t="n"/>
      <c r="M22" s="330" t="n"/>
      <c r="N22" s="29" t="n"/>
      <c r="O22" s="330" t="n"/>
    </row>
    <row r="23" ht="17.25" customHeight="1" s="366">
      <c r="A23" s="29" t="n"/>
      <c r="B23" s="29" t="inlineStr">
        <is>
          <t>per Lt Cost With Manjira</t>
        </is>
      </c>
      <c r="C23" s="29" t="n"/>
      <c r="D23" s="29">
        <f>B24/D22</f>
        <v/>
      </c>
      <c r="E23" s="327" t="n"/>
      <c r="F23" s="29" t="n"/>
      <c r="G23" s="29" t="n"/>
      <c r="H23" s="330" t="n"/>
      <c r="I23" s="330" t="n"/>
      <c r="J23" s="330" t="n"/>
      <c r="K23" s="330" t="n"/>
      <c r="L23" s="55" t="inlineStr">
        <is>
          <t>Total</t>
        </is>
      </c>
      <c r="M23" s="55">
        <f>SUM(M10:M22)</f>
        <v/>
      </c>
      <c r="N23" s="89" t="n"/>
      <c r="O23" s="330" t="n"/>
    </row>
    <row r="24" ht="30.75" customHeight="1" s="366">
      <c r="A24" s="29" t="inlineStr">
        <is>
          <t>Total Water Bill</t>
        </is>
      </c>
      <c r="B24" s="30">
        <f>6000+2044</f>
        <v/>
      </c>
      <c r="C24" s="84" t="inlineStr">
        <is>
          <t xml:space="preserve">WATER Tankers(5) </t>
        </is>
      </c>
      <c r="D24" s="330" t="n"/>
      <c r="E24" s="330" t="n">
        <v>6000</v>
      </c>
      <c r="F24" s="29" t="n"/>
      <c r="G24" s="29" t="n"/>
      <c r="H24" s="330" t="n"/>
      <c r="I24" s="330" t="n"/>
      <c r="J24" s="330" t="n"/>
      <c r="K24" s="330" t="n"/>
      <c r="N24" s="371" t="n"/>
    </row>
    <row r="25" ht="15.75" customHeight="1" s="366">
      <c r="A25" s="330" t="n"/>
      <c r="B25" s="330" t="n"/>
      <c r="C25" s="330" t="n"/>
      <c r="D25" s="330" t="n"/>
      <c r="E25" s="330" t="n"/>
      <c r="F25" s="330" t="n"/>
      <c r="G25" s="330" t="n"/>
      <c r="H25" s="330" t="n"/>
      <c r="I25" s="330" t="n"/>
      <c r="J25" s="330" t="n"/>
      <c r="K25" s="330" t="n"/>
      <c r="L25" s="69" t="inlineStr">
        <is>
          <t>Nov balance</t>
        </is>
      </c>
      <c r="M25" s="70">
        <f>M8-M23</f>
        <v/>
      </c>
      <c r="N25" s="330" t="n"/>
      <c r="O25" s="330" t="n"/>
    </row>
    <row r="73" ht="15.75" customHeight="1" s="366">
      <c r="D73" s="29" t="n"/>
      <c r="E73" s="368" t="n"/>
    </row>
    <row r="74" ht="15.75" customHeight="1" s="366">
      <c r="D74" s="29" t="n"/>
      <c r="E74" s="368" t="n"/>
    </row>
  </sheetData>
  <mergeCells count="3">
    <mergeCell ref="N24:O24"/>
    <mergeCell ref="D74:E74"/>
    <mergeCell ref="D73:E7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O74"/>
  <sheetViews>
    <sheetView workbookViewId="0">
      <selection activeCell="A1" sqref="A1"/>
    </sheetView>
  </sheetViews>
  <sheetFormatPr baseColWidth="8" defaultColWidth="14.42578125" defaultRowHeight="15" customHeight="1"/>
  <cols>
    <col width="10.7109375" customWidth="1" style="366" min="1" max="1"/>
    <col width="13.28515625" customWidth="1" style="366" min="2" max="2"/>
    <col width="12.28515625" customWidth="1" style="366" min="3" max="3"/>
    <col width="9.28515625" customWidth="1" style="366" min="4" max="5"/>
    <col width="9.85546875" customWidth="1" style="366" min="6" max="6"/>
    <col width="11.7109375" customWidth="1" style="366" min="7" max="7"/>
    <col width="14.28515625" customWidth="1" style="366" min="8" max="8"/>
    <col width="25.140625" customWidth="1" style="366" min="9" max="9"/>
    <col width="15.42578125" customWidth="1" style="366" min="10" max="10"/>
    <col width="7.5703125" customWidth="1" style="366" min="11" max="11"/>
    <col width="14.28515625" customWidth="1" style="366" min="12" max="12"/>
    <col width="7.85546875" customWidth="1" style="366" min="13" max="13"/>
    <col width="14.140625" customWidth="1" style="366" min="14" max="14"/>
    <col width="7.85546875" customWidth="1" style="366" min="15" max="15"/>
    <col width="9.5703125" customWidth="1" style="366" min="16" max="16"/>
    <col width="31.42578125" customWidth="1" style="366" min="17" max="17"/>
    <col width="7.85546875" customWidth="1" style="366" min="18" max="33"/>
  </cols>
  <sheetData>
    <row r="2">
      <c r="A2" s="49" t="inlineStr">
        <is>
          <t>Flat Number</t>
        </is>
      </c>
      <c r="B2" s="49" t="inlineStr">
        <is>
          <t>Previous Meter Reading</t>
        </is>
      </c>
      <c r="C2" s="49" t="inlineStr">
        <is>
          <t>Curret Meter Reading</t>
        </is>
      </c>
      <c r="D2" s="49" t="inlineStr">
        <is>
          <t>Total Units</t>
        </is>
      </c>
      <c r="E2" s="71" t="inlineStr">
        <is>
          <t>Water Bill</t>
        </is>
      </c>
      <c r="F2" s="29" t="inlineStr">
        <is>
          <t>CommonMaintanence</t>
        </is>
      </c>
      <c r="G2" s="327" t="inlineStr">
        <is>
          <t>Total to Pay</t>
        </is>
      </c>
      <c r="H2" s="49" t="inlineStr">
        <is>
          <t>Payment Status</t>
        </is>
      </c>
      <c r="I2" s="330" t="n"/>
      <c r="J2" s="330" t="n"/>
      <c r="K2" s="330" t="n"/>
      <c r="L2" s="335" t="inlineStr">
        <is>
          <t>Type</t>
        </is>
      </c>
      <c r="M2" s="335" t="inlineStr">
        <is>
          <t>Amount</t>
        </is>
      </c>
    </row>
    <row r="3" ht="16.5" customHeight="1" s="366">
      <c r="A3" s="72" t="inlineStr">
        <is>
          <t>Shop-1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50" t="inlineStr">
        <is>
          <t>NA</t>
        </is>
      </c>
      <c r="F3" s="29" t="n">
        <v>300</v>
      </c>
      <c r="G3" s="327">
        <f>SUM(E3:F3)</f>
        <v/>
      </c>
      <c r="H3" s="51" t="n">
        <v>300</v>
      </c>
      <c r="I3" s="330" t="n"/>
      <c r="J3" s="330" t="n"/>
      <c r="K3" s="330" t="n"/>
      <c r="L3" s="47" t="n"/>
    </row>
    <row r="4">
      <c r="A4" s="72" t="inlineStr">
        <is>
          <t>Shop-2</t>
        </is>
      </c>
      <c r="B4" s="29" t="inlineStr">
        <is>
          <t>NA</t>
        </is>
      </c>
      <c r="C4" s="29" t="inlineStr">
        <is>
          <t>NA</t>
        </is>
      </c>
      <c r="D4" s="29" t="inlineStr">
        <is>
          <t>NA</t>
        </is>
      </c>
      <c r="E4" s="50" t="inlineStr">
        <is>
          <t>NA</t>
        </is>
      </c>
      <c r="F4" s="29" t="n">
        <v>300</v>
      </c>
      <c r="G4" s="327">
        <f>SUM(E4:F4)</f>
        <v/>
      </c>
      <c r="H4" s="51" t="n">
        <v>450</v>
      </c>
      <c r="I4" s="330" t="n"/>
      <c r="J4" s="330" t="n"/>
      <c r="K4" s="330" t="n"/>
      <c r="L4" s="1" t="inlineStr">
        <is>
          <t>Maintenance</t>
        </is>
      </c>
      <c r="M4" s="1">
        <f>H21</f>
        <v/>
      </c>
    </row>
    <row r="5">
      <c r="A5" s="73" t="inlineStr">
        <is>
          <t>G1</t>
        </is>
      </c>
      <c r="B5" s="30" t="n">
        <v>1.09</v>
      </c>
      <c r="C5" s="30" t="n">
        <v>1.4</v>
      </c>
      <c r="D5" s="29">
        <f>(C5-B5)*1000</f>
        <v/>
      </c>
      <c r="E5" s="50">
        <f>ROUND(D5*D23,0)</f>
        <v/>
      </c>
      <c r="F5" s="29" t="n">
        <v>600</v>
      </c>
      <c r="G5" s="327">
        <f>SUM(E5:F5)</f>
        <v/>
      </c>
      <c r="H5" s="51" t="n"/>
      <c r="I5" s="330" t="n"/>
      <c r="J5" s="330" t="n"/>
      <c r="K5" s="330" t="n"/>
    </row>
    <row r="6">
      <c r="A6" s="32" t="inlineStr">
        <is>
          <t>G2</t>
        </is>
      </c>
      <c r="B6" s="29" t="n">
        <v>63.08</v>
      </c>
      <c r="C6" s="29" t="n">
        <v>68.68000000000001</v>
      </c>
      <c r="D6" s="29">
        <f>(C6-B6)*1000</f>
        <v/>
      </c>
      <c r="E6" s="50">
        <f>ROUND(D6*D23,0)</f>
        <v/>
      </c>
      <c r="F6" s="29" t="n">
        <v>1000</v>
      </c>
      <c r="G6" s="327">
        <f>SUM(E6:F6)</f>
        <v/>
      </c>
      <c r="H6" s="51" t="n">
        <v>1657</v>
      </c>
      <c r="I6" s="330" t="n"/>
      <c r="J6" s="330" t="n"/>
      <c r="K6" s="330" t="n"/>
      <c r="L6" s="66" t="inlineStr">
        <is>
          <t>Amount received</t>
        </is>
      </c>
      <c r="M6" s="66">
        <f>SUM(M3:M5)</f>
        <v/>
      </c>
    </row>
    <row r="7">
      <c r="A7" s="32" t="inlineStr">
        <is>
          <t>G3</t>
        </is>
      </c>
      <c r="B7" s="29" t="n">
        <v>133</v>
      </c>
      <c r="C7" s="29" t="n">
        <v>139.63</v>
      </c>
      <c r="D7" s="29">
        <f>(C7-B7)*1000</f>
        <v/>
      </c>
      <c r="E7" s="50">
        <f>ROUND(D7*D23,0)</f>
        <v/>
      </c>
      <c r="F7" s="29" t="n">
        <v>1000</v>
      </c>
      <c r="G7" s="327">
        <f>SUM(E7:F7)</f>
        <v/>
      </c>
      <c r="H7" s="51" t="n">
        <v>1778</v>
      </c>
      <c r="I7" s="330" t="n"/>
      <c r="J7" s="330" t="n"/>
      <c r="K7" s="330" t="n"/>
      <c r="L7" s="1" t="inlineStr">
        <is>
          <t>Dec balance</t>
        </is>
      </c>
      <c r="M7" s="1">
        <f>J21</f>
        <v/>
      </c>
    </row>
    <row r="8">
      <c r="A8" s="32" t="inlineStr">
        <is>
          <t>G4</t>
        </is>
      </c>
      <c r="B8" s="29" t="n">
        <v>100.59</v>
      </c>
      <c r="C8" s="29" t="n">
        <v>108.54</v>
      </c>
      <c r="D8" s="29">
        <f>(C8-B8)*1000</f>
        <v/>
      </c>
      <c r="E8" s="50">
        <f>ROUND(D8*D23,0)</f>
        <v/>
      </c>
      <c r="F8" s="29" t="n">
        <v>1000</v>
      </c>
      <c r="G8" s="327">
        <f>SUM(E8:F8)</f>
        <v/>
      </c>
      <c r="H8" s="51" t="n">
        <v>1933</v>
      </c>
      <c r="I8" s="330" t="n"/>
      <c r="J8" s="330" t="n"/>
      <c r="K8" s="330" t="n"/>
      <c r="L8" s="55" t="inlineStr">
        <is>
          <t>Total</t>
        </is>
      </c>
      <c r="M8" s="55">
        <f>SUM(M6:M7)</f>
        <v/>
      </c>
    </row>
    <row r="9">
      <c r="A9" s="73" t="n">
        <v>101</v>
      </c>
      <c r="B9" s="29" t="n">
        <v>0.38</v>
      </c>
      <c r="C9" s="29" t="n">
        <v>0.38</v>
      </c>
      <c r="D9" s="29">
        <f>(C9-B9)*1000</f>
        <v/>
      </c>
      <c r="E9" s="50">
        <f>ROUND(D9*D23,0)</f>
        <v/>
      </c>
      <c r="F9" s="29" t="n">
        <v>600</v>
      </c>
      <c r="G9" s="327">
        <f>SUM(E9:F9)</f>
        <v/>
      </c>
      <c r="H9" s="51" t="n"/>
      <c r="I9" s="330" t="n"/>
      <c r="J9" s="330" t="n"/>
      <c r="K9" s="330" t="n"/>
      <c r="L9" s="68" t="inlineStr">
        <is>
          <t>Expendutre</t>
        </is>
      </c>
    </row>
    <row r="10">
      <c r="A10" s="32" t="n">
        <v>102</v>
      </c>
      <c r="B10" s="29" t="n">
        <v>182.07</v>
      </c>
      <c r="C10" s="29" t="n">
        <v>182.22</v>
      </c>
      <c r="D10" s="29">
        <f>(C10-B10)*1000</f>
        <v/>
      </c>
      <c r="E10" s="50">
        <f>ROUND(D10*D23,0)</f>
        <v/>
      </c>
      <c r="F10" s="29" t="n">
        <v>1000</v>
      </c>
      <c r="G10" s="327">
        <f>SUM(E10:F10)</f>
        <v/>
      </c>
      <c r="H10" s="51" t="n">
        <v>1736</v>
      </c>
      <c r="I10" s="330" t="n"/>
      <c r="J10" s="330" t="n"/>
      <c r="K10" s="330" t="n"/>
      <c r="L10" s="1" t="inlineStr">
        <is>
          <t>Watchman</t>
        </is>
      </c>
      <c r="M10" s="1" t="n">
        <v>6500</v>
      </c>
    </row>
    <row r="11">
      <c r="A11" s="75" t="n">
        <v>103</v>
      </c>
      <c r="B11" s="29" t="n">
        <v>0.83</v>
      </c>
      <c r="C11" s="29" t="n">
        <v>0.83</v>
      </c>
      <c r="D11" s="29">
        <f>(C11-B11)*1000</f>
        <v/>
      </c>
      <c r="E11" s="50">
        <f>ROUND(D11*D23,0)</f>
        <v/>
      </c>
      <c r="F11" s="29" t="n">
        <v>1000</v>
      </c>
      <c r="G11" s="327">
        <f>SUM(E11:F11)</f>
        <v/>
      </c>
      <c r="H11" s="51" t="n">
        <v>1000</v>
      </c>
      <c r="I11" s="330" t="n"/>
      <c r="J11" s="330" t="n"/>
      <c r="K11" s="330" t="n"/>
      <c r="L11" s="1" t="inlineStr">
        <is>
          <t>Manjeera bill</t>
        </is>
      </c>
      <c r="M11" s="1" t="n">
        <v>2044</v>
      </c>
    </row>
    <row r="12">
      <c r="A12" s="32" t="n">
        <v>104</v>
      </c>
      <c r="B12" s="29" t="n">
        <v>105.34</v>
      </c>
      <c r="C12" s="29" t="n">
        <v>109.06</v>
      </c>
      <c r="D12" s="29">
        <f>(C12-B12)*1000</f>
        <v/>
      </c>
      <c r="E12" s="50">
        <f>ROUND(D12*D23,0)</f>
        <v/>
      </c>
      <c r="F12" s="29" t="n">
        <v>1000</v>
      </c>
      <c r="G12" s="327">
        <f>SUM(E12:F12)</f>
        <v/>
      </c>
      <c r="H12" s="51" t="n">
        <v>1436</v>
      </c>
      <c r="I12" s="330" t="n"/>
      <c r="J12" s="330" t="n"/>
      <c r="K12" s="330" t="n"/>
      <c r="L12" s="107" t="inlineStr">
        <is>
          <t>Electricity bill</t>
        </is>
      </c>
      <c r="M12" s="1" t="n">
        <v>1419</v>
      </c>
    </row>
    <row r="13">
      <c r="A13" s="78" t="n">
        <v>201</v>
      </c>
      <c r="B13" s="29" t="n">
        <v>1.59</v>
      </c>
      <c r="C13" s="29" t="n">
        <v>1.59</v>
      </c>
      <c r="D13" s="29">
        <f>(C13-B13)*1000</f>
        <v/>
      </c>
      <c r="E13" s="50">
        <f>ROUND(D13*D23,0)</f>
        <v/>
      </c>
      <c r="F13" s="29" t="n">
        <v>600</v>
      </c>
      <c r="G13" s="327">
        <f>SUM(E13:F13)</f>
        <v/>
      </c>
      <c r="H13" s="51" t="n"/>
      <c r="I13" s="330" t="n"/>
      <c r="J13" s="330" t="n"/>
      <c r="K13" s="330" t="n"/>
      <c r="L13" s="1" t="inlineStr">
        <is>
          <t>Misc</t>
        </is>
      </c>
      <c r="M13" s="1" t="n">
        <v>360</v>
      </c>
    </row>
    <row r="14">
      <c r="A14" s="32" t="n">
        <v>202</v>
      </c>
      <c r="B14" s="29" t="n">
        <v>132</v>
      </c>
      <c r="C14" s="29" t="n">
        <v>137.32</v>
      </c>
      <c r="D14" s="29">
        <f>(C14-B14)*1000</f>
        <v/>
      </c>
      <c r="E14" s="50">
        <f>ROUND(D14*D23,0)</f>
        <v/>
      </c>
      <c r="F14" s="29" t="n">
        <v>1000</v>
      </c>
      <c r="G14" s="327">
        <f>SUM(E14:F14)</f>
        <v/>
      </c>
      <c r="H14" s="51" t="n">
        <v>1624</v>
      </c>
      <c r="I14" s="330" t="n"/>
      <c r="J14" s="330" t="n"/>
      <c r="K14" s="330" t="n"/>
      <c r="L14" s="1" t="inlineStr">
        <is>
          <t>Tanker</t>
        </is>
      </c>
      <c r="M14" s="1" t="n">
        <v>5000</v>
      </c>
    </row>
    <row r="15">
      <c r="A15" s="32" t="n">
        <v>203</v>
      </c>
      <c r="B15" s="29" t="n">
        <v>93.05</v>
      </c>
      <c r="C15" s="29" t="n">
        <v>101.51</v>
      </c>
      <c r="D15" s="29">
        <f>(C15-B15)*1000</f>
        <v/>
      </c>
      <c r="E15" s="50">
        <f>ROUND(D15*D23,0)</f>
        <v/>
      </c>
      <c r="F15" s="29" t="n">
        <v>1000</v>
      </c>
      <c r="G15" s="327">
        <f>SUM(E15:F15)</f>
        <v/>
      </c>
      <c r="H15" s="51" t="n">
        <v>1993</v>
      </c>
      <c r="I15" s="330" t="n"/>
      <c r="J15" s="330" t="n"/>
      <c r="K15" s="330" t="n"/>
      <c r="L15" s="330" t="n"/>
      <c r="M15" s="106" t="n"/>
    </row>
    <row r="16">
      <c r="A16" s="32" t="n">
        <v>204</v>
      </c>
      <c r="B16" s="29" t="n">
        <v>64.78</v>
      </c>
      <c r="C16" s="29" t="n">
        <v>73.02</v>
      </c>
      <c r="D16" s="29">
        <f>(C16-B16)*1000</f>
        <v/>
      </c>
      <c r="E16" s="50">
        <f>ROUND(D16*D23,0)</f>
        <v/>
      </c>
      <c r="F16" s="29" t="n">
        <v>1000</v>
      </c>
      <c r="G16" s="327">
        <f>SUM(E16:F16)</f>
        <v/>
      </c>
      <c r="H16" s="51" t="n">
        <v>1967</v>
      </c>
      <c r="I16" s="330" t="n"/>
      <c r="J16" s="330" t="n"/>
      <c r="K16" s="330" t="n"/>
    </row>
    <row r="17">
      <c r="A17" s="73" t="n">
        <v>301</v>
      </c>
      <c r="B17" s="29" t="n">
        <v>0.38</v>
      </c>
      <c r="C17" s="29" t="n">
        <v>0.38</v>
      </c>
      <c r="D17" s="29">
        <f>(C17-B17)*1000</f>
        <v/>
      </c>
      <c r="E17" s="50">
        <f>ROUND(D17*D23,0)</f>
        <v/>
      </c>
      <c r="F17" s="29" t="n">
        <v>600</v>
      </c>
      <c r="G17" s="327">
        <f>SUM(E17:F17)</f>
        <v/>
      </c>
      <c r="H17" s="51" t="n"/>
      <c r="I17" s="330" t="n"/>
      <c r="J17" s="330" t="n"/>
      <c r="K17" s="330" t="n"/>
      <c r="N17" s="29" t="n"/>
      <c r="O17" s="330" t="n"/>
    </row>
    <row r="18" ht="19.5" customHeight="1" s="366">
      <c r="A18" s="73" t="n">
        <v>302</v>
      </c>
      <c r="B18" s="29" t="n">
        <v>0.39</v>
      </c>
      <c r="C18" s="29" t="n">
        <v>0.39</v>
      </c>
      <c r="D18" s="29">
        <f>(C18-B18)*1000</f>
        <v/>
      </c>
      <c r="E18" s="50">
        <f>ROUND(D18*D23,0)</f>
        <v/>
      </c>
      <c r="F18" s="29" t="n">
        <v>600</v>
      </c>
      <c r="G18" s="327">
        <f>SUM(E18:F18)</f>
        <v/>
      </c>
      <c r="H18" s="51" t="n"/>
      <c r="I18" s="330" t="n"/>
      <c r="J18" s="330" t="n"/>
      <c r="K18" s="330" t="n"/>
      <c r="L18" s="47" t="n"/>
      <c r="N18" s="29" t="n"/>
      <c r="O18" s="330" t="n"/>
    </row>
    <row r="19">
      <c r="A19" s="32" t="n">
        <v>303</v>
      </c>
      <c r="B19" s="29" t="n">
        <v>300.7</v>
      </c>
      <c r="C19" s="29" t="n">
        <v>322.88</v>
      </c>
      <c r="D19" s="29">
        <f>(C19-B19)*1000</f>
        <v/>
      </c>
      <c r="E19" s="50">
        <f>ROUND(D19*D23,0)</f>
        <v/>
      </c>
      <c r="F19" s="29" t="n">
        <v>1000</v>
      </c>
      <c r="G19" s="327">
        <f>SUM(E19:F19)</f>
        <v/>
      </c>
      <c r="H19" s="51" t="n">
        <v>3602</v>
      </c>
      <c r="I19" s="330" t="n"/>
      <c r="J19" s="330" t="n"/>
      <c r="K19" s="330" t="n"/>
      <c r="N19" s="29" t="n"/>
      <c r="O19" s="330" t="n"/>
    </row>
    <row r="20">
      <c r="A20" s="73" t="n">
        <v>304</v>
      </c>
      <c r="B20" s="30" t="n">
        <v>1.49</v>
      </c>
      <c r="C20" s="30" t="n">
        <v>1.49</v>
      </c>
      <c r="D20" s="29">
        <f>(C20-B20)*1000</f>
        <v/>
      </c>
      <c r="E20" s="50">
        <f>ROUND(D20*D23,0)</f>
        <v/>
      </c>
      <c r="F20" s="29" t="n">
        <v>600</v>
      </c>
      <c r="G20" s="327">
        <f>SUM(E20:F20)</f>
        <v/>
      </c>
      <c r="H20" s="51" t="n"/>
      <c r="I20" s="330" t="n"/>
      <c r="J20" s="330" t="n"/>
      <c r="K20" s="330" t="n"/>
      <c r="L20" s="107" t="n"/>
      <c r="M20" s="330" t="n"/>
      <c r="N20" s="29" t="n"/>
      <c r="O20" s="330" t="n"/>
    </row>
    <row r="21" ht="15.75" customHeight="1" s="366">
      <c r="A21" s="29" t="n"/>
      <c r="B21" s="29" t="n"/>
      <c r="C21" s="29" t="n"/>
      <c r="D21" s="29" t="n"/>
      <c r="E21" s="357">
        <f>SUM(E5:E20)</f>
        <v/>
      </c>
      <c r="F21" s="49">
        <f>SUM(F3:F20)</f>
        <v/>
      </c>
      <c r="G21" s="29">
        <f>SUM(E21:F21)</f>
        <v/>
      </c>
      <c r="H21" s="330">
        <f>SUM(H3:H20)</f>
        <v/>
      </c>
      <c r="I21" s="81" t="inlineStr">
        <is>
          <t>Nov balance</t>
        </is>
      </c>
      <c r="J21" s="81" t="n">
        <v>6939</v>
      </c>
      <c r="K21" s="330" t="n"/>
      <c r="L21" s="330" t="n"/>
      <c r="M21" s="330" t="n"/>
      <c r="N21" s="29" t="n"/>
      <c r="O21" s="330" t="n"/>
    </row>
    <row r="22" ht="15.75" customHeight="1" s="366">
      <c r="A22" s="29" t="n"/>
      <c r="B22" s="29" t="inlineStr">
        <is>
          <t>Total Usage Units</t>
        </is>
      </c>
      <c r="C22" s="29" t="n"/>
      <c r="D22" s="30">
        <f>SUM(D5:D21)</f>
        <v/>
      </c>
      <c r="E22" s="327" t="n"/>
      <c r="F22" s="29" t="n"/>
      <c r="G22" s="29" t="n"/>
      <c r="H22" s="330" t="n"/>
      <c r="I22" s="330" t="n"/>
      <c r="J22" s="330" t="n"/>
      <c r="K22" s="330" t="n"/>
      <c r="L22" s="330" t="n"/>
      <c r="M22" s="330" t="n"/>
      <c r="N22" s="29" t="n"/>
      <c r="O22" s="330" t="n"/>
    </row>
    <row r="23" ht="17.25" customHeight="1" s="366">
      <c r="A23" s="29" t="n"/>
      <c r="B23" s="29" t="inlineStr">
        <is>
          <t>per Lt Cost With Manjira</t>
        </is>
      </c>
      <c r="C23" s="29" t="n"/>
      <c r="D23" s="29">
        <f>B24/D22</f>
        <v/>
      </c>
      <c r="E23" s="327" t="n"/>
      <c r="F23" s="29" t="n"/>
      <c r="G23" s="29" t="n"/>
      <c r="H23" s="330" t="n"/>
      <c r="I23" s="330" t="n"/>
      <c r="J23" s="330" t="n"/>
      <c r="K23" s="330" t="n"/>
      <c r="L23" s="55" t="inlineStr">
        <is>
          <t>Total</t>
        </is>
      </c>
      <c r="M23" s="55">
        <f>SUM(M10:M22)</f>
        <v/>
      </c>
      <c r="N23" s="89" t="n"/>
      <c r="O23" s="330" t="n"/>
    </row>
    <row r="24" ht="30.75" customHeight="1" s="366">
      <c r="A24" s="29" t="inlineStr">
        <is>
          <t>Total Water Bill</t>
        </is>
      </c>
      <c r="B24" s="30">
        <f>6000+2044</f>
        <v/>
      </c>
      <c r="C24" s="84" t="inlineStr">
        <is>
          <t xml:space="preserve">WATER Tankers(5) </t>
        </is>
      </c>
      <c r="D24" s="330" t="n"/>
      <c r="E24" s="330" t="n">
        <v>6000</v>
      </c>
      <c r="F24" s="29" t="n"/>
      <c r="G24" s="29" t="n"/>
      <c r="H24" s="330" t="n"/>
      <c r="I24" s="330" t="n"/>
      <c r="J24" s="330" t="n"/>
      <c r="K24" s="330" t="n"/>
      <c r="N24" s="371" t="n"/>
    </row>
    <row r="25" ht="15.75" customHeight="1" s="366">
      <c r="A25" s="330" t="n"/>
      <c r="B25" s="330" t="n"/>
      <c r="C25" s="330" t="n"/>
      <c r="D25" s="330" t="n"/>
      <c r="E25" s="330" t="n"/>
      <c r="F25" s="330" t="n"/>
      <c r="G25" s="330" t="n"/>
      <c r="H25" s="330" t="n"/>
      <c r="I25" s="330" t="n"/>
      <c r="J25" s="330" t="n"/>
      <c r="K25" s="330" t="n"/>
      <c r="L25" s="69" t="inlineStr">
        <is>
          <t>Jan balance</t>
        </is>
      </c>
      <c r="M25" s="70">
        <f>M8-M23</f>
        <v/>
      </c>
      <c r="N25" s="330" t="n"/>
      <c r="O25" s="330" t="n"/>
    </row>
    <row r="73" ht="15.75" customHeight="1" s="366">
      <c r="D73" s="29" t="n"/>
      <c r="E73" s="368" t="n"/>
    </row>
    <row r="74" ht="15.75" customHeight="1" s="366">
      <c r="D74" s="29" t="n"/>
      <c r="E74" s="368" t="n"/>
    </row>
  </sheetData>
  <mergeCells count="3">
    <mergeCell ref="N24:O24"/>
    <mergeCell ref="D74:E74"/>
    <mergeCell ref="D73:E7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C1" sqref="C1"/>
    </sheetView>
  </sheetViews>
  <sheetFormatPr baseColWidth="8" defaultColWidth="14.42578125" defaultRowHeight="15" customHeight="1"/>
  <cols>
    <col width="13.7109375" customWidth="1" style="366" min="1" max="1"/>
    <col width="21.28515625" customWidth="1" style="366" min="2" max="2"/>
    <col width="31.42578125" customWidth="1" style="366" min="3" max="3"/>
    <col width="12" customWidth="1" style="366" min="4" max="4"/>
    <col width="9" customWidth="1" style="366" min="5" max="5"/>
    <col width="19.28515625" customWidth="1" style="366" min="6" max="6"/>
    <col width="10.7109375" customWidth="1" style="366" min="7" max="7"/>
    <col width="14.28515625" customWidth="1" style="366" min="8" max="8"/>
    <col width="28.5703125" customWidth="1" style="366" min="9" max="9"/>
    <col width="9.85546875" customWidth="1" style="366" min="10" max="10"/>
    <col width="23.42578125" customWidth="1" style="366" min="11" max="11"/>
    <col width="7.85546875" customWidth="1" style="366" min="12" max="12"/>
  </cols>
  <sheetData>
    <row r="1" ht="14.25" customHeight="1" s="366">
      <c r="A1" s="49" t="inlineStr">
        <is>
          <t>Flat Number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49" t="inlineStr">
        <is>
          <t>Total Units</t>
        </is>
      </c>
      <c r="E1" s="71" t="inlineStr">
        <is>
          <t>Water Bill</t>
        </is>
      </c>
      <c r="F1" s="29" t="inlineStr">
        <is>
          <t>CommonMaintanence</t>
        </is>
      </c>
      <c r="G1" s="327" t="inlineStr">
        <is>
          <t>Total to Pay</t>
        </is>
      </c>
      <c r="H1" s="49" t="inlineStr">
        <is>
          <t>Payment Status</t>
        </is>
      </c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50" t="inlineStr">
        <is>
          <t>NA</t>
        </is>
      </c>
      <c r="F2" s="29" t="n">
        <v>300</v>
      </c>
      <c r="G2" s="327">
        <f>SUM(E2:F2)</f>
        <v/>
      </c>
      <c r="H2" s="51" t="n">
        <v>300</v>
      </c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50" t="inlineStr">
        <is>
          <t>NA</t>
        </is>
      </c>
      <c r="F3" s="29" t="n">
        <v>300</v>
      </c>
      <c r="G3" s="327">
        <f>SUM(E3:F3)</f>
        <v/>
      </c>
      <c r="H3" s="51" t="n">
        <v>300</v>
      </c>
    </row>
    <row r="4" ht="14.25" customHeight="1" s="366">
      <c r="A4" s="73" t="inlineStr">
        <is>
          <t>G1</t>
        </is>
      </c>
      <c r="B4" s="30" t="n">
        <v>1.42</v>
      </c>
      <c r="C4" s="30" t="n">
        <v>1.48</v>
      </c>
      <c r="D4" s="29">
        <f>(C4-B4)*1000</f>
        <v/>
      </c>
      <c r="E4" s="50">
        <f>ROUND(D4*D22,0)</f>
        <v/>
      </c>
      <c r="F4" s="29" t="n">
        <v>800</v>
      </c>
      <c r="G4" s="327">
        <f>SUM(E4:F4)</f>
        <v/>
      </c>
      <c r="H4" s="51" t="n">
        <v>804</v>
      </c>
    </row>
    <row r="5" ht="14.25" customHeight="1" s="366">
      <c r="A5" s="32" t="inlineStr">
        <is>
          <t>G2</t>
        </is>
      </c>
      <c r="B5" s="29" t="n">
        <v>74.18000000000001</v>
      </c>
      <c r="C5" s="29" t="n">
        <v>79.7</v>
      </c>
      <c r="D5" s="29">
        <f>(C5-B5)*1000</f>
        <v/>
      </c>
      <c r="E5" s="50">
        <f>ROUND(D5*D22,0)</f>
        <v/>
      </c>
      <c r="F5" s="29" t="n">
        <v>1000</v>
      </c>
      <c r="G5" s="327">
        <f>SUM(E5:F5)</f>
        <v/>
      </c>
      <c r="H5" s="51" t="n">
        <v>1413</v>
      </c>
    </row>
    <row r="6" ht="14.25" customHeight="1" s="366">
      <c r="A6" s="32" t="inlineStr">
        <is>
          <t>G3</t>
        </is>
      </c>
      <c r="B6" s="29" t="n">
        <v>146.63</v>
      </c>
      <c r="C6" s="29" t="n">
        <v>153.88</v>
      </c>
      <c r="D6" s="29">
        <f>(C6-B6)*1000</f>
        <v/>
      </c>
      <c r="E6" s="50">
        <f>ROUND(D6*D22,0)</f>
        <v/>
      </c>
      <c r="F6" s="29" t="n">
        <v>1000</v>
      </c>
      <c r="G6" s="327">
        <f>SUM(E6:F6)</f>
        <v/>
      </c>
      <c r="H6" s="51" t="n">
        <v>1542</v>
      </c>
    </row>
    <row r="7" ht="14.25" customHeight="1" s="366">
      <c r="A7" s="32" t="inlineStr">
        <is>
          <t>G4</t>
        </is>
      </c>
      <c r="B7" s="29" t="n">
        <v>115.41</v>
      </c>
      <c r="C7" s="29" t="n">
        <v>122.05</v>
      </c>
      <c r="D7" s="29">
        <f>(C7-B7)*1000</f>
        <v/>
      </c>
      <c r="E7" s="50">
        <f>ROUND(D7*D22,0)</f>
        <v/>
      </c>
      <c r="F7" s="29" t="n">
        <v>1000</v>
      </c>
      <c r="G7" s="327">
        <f>SUM(E7:F7)</f>
        <v/>
      </c>
      <c r="H7" s="51" t="n">
        <v>1496</v>
      </c>
      <c r="K7" s="335" t="inlineStr">
        <is>
          <t>Type</t>
        </is>
      </c>
      <c r="L7" s="335" t="inlineStr">
        <is>
          <t>Amount</t>
        </is>
      </c>
    </row>
    <row r="8" ht="14.25" customHeight="1" s="366">
      <c r="A8" s="73" t="n">
        <v>101</v>
      </c>
      <c r="B8" s="29" t="n">
        <v>0.38</v>
      </c>
      <c r="C8" s="29" t="n">
        <v>0.38</v>
      </c>
      <c r="D8" s="29">
        <f>(C8-B8)*1000</f>
        <v/>
      </c>
      <c r="E8" s="50">
        <f>ROUND(D8*D22,0)</f>
        <v/>
      </c>
      <c r="F8" s="29" t="n">
        <v>800</v>
      </c>
      <c r="G8" s="327">
        <f>SUM(E8:F8)</f>
        <v/>
      </c>
      <c r="H8" s="51" t="n"/>
      <c r="K8" s="47" t="n"/>
      <c r="L8" s="26" t="n"/>
    </row>
    <row r="9" ht="14.25" customHeight="1" s="366">
      <c r="A9" s="32" t="n">
        <v>102</v>
      </c>
      <c r="B9" s="29" t="n">
        <v>197.69</v>
      </c>
      <c r="C9" s="29" t="n">
        <v>212.34</v>
      </c>
      <c r="D9" s="29">
        <f>(C9-B9)*1000</f>
        <v/>
      </c>
      <c r="E9" s="50">
        <f>ROUND(D9*D22,0)</f>
        <v/>
      </c>
      <c r="F9" s="29" t="n">
        <v>1000</v>
      </c>
      <c r="G9" s="327">
        <f>SUM(E9:F9)</f>
        <v/>
      </c>
      <c r="H9" s="51" t="n">
        <v>2095</v>
      </c>
      <c r="K9" s="26" t="inlineStr">
        <is>
          <t>Maintenance</t>
        </is>
      </c>
      <c r="L9" s="26">
        <f>SUM(H2:H19)</f>
        <v/>
      </c>
    </row>
    <row r="10" ht="14.25" customHeight="1" s="366">
      <c r="A10" s="75" t="n">
        <v>103</v>
      </c>
      <c r="B10" s="29" t="n">
        <v>0.83</v>
      </c>
      <c r="C10" s="29" t="n">
        <v>2.71</v>
      </c>
      <c r="D10" s="29">
        <f>(C10-B10)*1000</f>
        <v/>
      </c>
      <c r="E10" s="50">
        <f>ROUND(D10*D22,0)</f>
        <v/>
      </c>
      <c r="F10" s="29" t="n">
        <v>1000</v>
      </c>
      <c r="G10" s="327">
        <f>SUM(E10:F10)</f>
        <v/>
      </c>
      <c r="H10" s="51" t="n">
        <v>1141</v>
      </c>
      <c r="K10" s="26" t="n"/>
      <c r="L10" s="26" t="n"/>
    </row>
    <row r="11" ht="14.25" customHeight="1" s="366">
      <c r="A11" s="32" t="n">
        <v>104</v>
      </c>
      <c r="B11" s="29" t="n">
        <v>112.33</v>
      </c>
      <c r="C11" s="29" t="n">
        <v>120.48</v>
      </c>
      <c r="D11" s="29">
        <f>(C11-B11)*1000</f>
        <v/>
      </c>
      <c r="E11" s="50">
        <f>ROUND(D11*D22,0)</f>
        <v/>
      </c>
      <c r="F11" s="29" t="n">
        <v>1000</v>
      </c>
      <c r="G11" s="327">
        <f>SUM(E11:F11)</f>
        <v/>
      </c>
      <c r="H11" s="51" t="n">
        <v>1609</v>
      </c>
      <c r="K11" s="66" t="inlineStr">
        <is>
          <t>Amount received</t>
        </is>
      </c>
      <c r="L11" s="66" t="inlineStr">
        <is>
          <t> </t>
        </is>
      </c>
    </row>
    <row r="12" ht="14.25" customHeight="1" s="366">
      <c r="A12" s="78" t="n">
        <v>201</v>
      </c>
      <c r="B12" s="29" t="n">
        <v>1.59</v>
      </c>
      <c r="C12" s="29" t="n">
        <v>1.59</v>
      </c>
      <c r="D12" s="29">
        <f>(C12-B12)*1000</f>
        <v/>
      </c>
      <c r="E12" s="50">
        <f>ROUND(D12*D22,0)</f>
        <v/>
      </c>
      <c r="F12" s="29" t="n">
        <v>800</v>
      </c>
      <c r="G12" s="327">
        <f>SUM(E12:F12)</f>
        <v/>
      </c>
      <c r="H12" s="51" t="n">
        <v>800</v>
      </c>
      <c r="K12" s="26" t="inlineStr">
        <is>
          <t>FEB balance</t>
        </is>
      </c>
      <c r="L12" s="70" t="n">
        <v>12937</v>
      </c>
    </row>
    <row r="13" ht="14.25" customHeight="1" s="366">
      <c r="A13" s="32" t="n">
        <v>202</v>
      </c>
      <c r="B13" s="29" t="n">
        <v>144.66</v>
      </c>
      <c r="C13" s="29" t="n">
        <v>150.12</v>
      </c>
      <c r="D13" s="29">
        <f>(C13-B13)*1000</f>
        <v/>
      </c>
      <c r="E13" s="50">
        <f>ROUND(D13*D22,0)</f>
        <v/>
      </c>
      <c r="F13" s="29" t="n">
        <v>1000</v>
      </c>
      <c r="G13" s="327">
        <f>SUM(E13:F13)</f>
        <v/>
      </c>
      <c r="H13" s="51" t="n">
        <v>1408</v>
      </c>
      <c r="K13" s="55" t="inlineStr">
        <is>
          <t>Total</t>
        </is>
      </c>
      <c r="L13" s="55">
        <f>SUM(L9:L12)</f>
        <v/>
      </c>
    </row>
    <row r="14" ht="14.25" customHeight="1" s="366">
      <c r="A14" s="32" t="n">
        <v>203</v>
      </c>
      <c r="B14" s="29" t="n">
        <v>106.39</v>
      </c>
      <c r="C14" s="29" t="n">
        <v>115.09</v>
      </c>
      <c r="D14" s="29">
        <f>(C14-B14)*1000</f>
        <v/>
      </c>
      <c r="E14" s="50">
        <f>ROUND(D14*D22,0)</f>
        <v/>
      </c>
      <c r="F14" s="29" t="n">
        <v>1000</v>
      </c>
      <c r="G14" s="327">
        <f>SUM(E14:F14)</f>
        <v/>
      </c>
      <c r="H14" s="51" t="n">
        <v>1650</v>
      </c>
      <c r="K14" s="68" t="inlineStr">
        <is>
          <t>Expenditures</t>
        </is>
      </c>
      <c r="L14" s="26" t="n"/>
    </row>
    <row r="15" ht="14.25" customHeight="1" s="366">
      <c r="A15" s="32" t="n">
        <v>204</v>
      </c>
      <c r="B15" s="29" t="n">
        <v>77.31999999999999</v>
      </c>
      <c r="C15" s="29" t="n">
        <v>82.59</v>
      </c>
      <c r="D15" s="29">
        <f>(C15-B15)*1000</f>
        <v/>
      </c>
      <c r="E15" s="50">
        <f>ROUND(D15*D22,0)</f>
        <v/>
      </c>
      <c r="F15" s="29" t="n">
        <v>1000</v>
      </c>
      <c r="G15" s="327">
        <f>SUM(E15:F15)</f>
        <v/>
      </c>
      <c r="H15" s="51" t="n">
        <v>1394</v>
      </c>
      <c r="K15" s="26" t="inlineStr">
        <is>
          <t>Watchman</t>
        </is>
      </c>
      <c r="L15" s="26" t="n">
        <v>6500</v>
      </c>
    </row>
    <row r="16" ht="14.25" customHeight="1" s="366">
      <c r="A16" s="73" t="n">
        <v>301</v>
      </c>
      <c r="B16" s="29" t="n">
        <v>0.38</v>
      </c>
      <c r="C16" s="29" t="n">
        <v>0.38</v>
      </c>
      <c r="D16" s="29">
        <f>(C16-B16)*1000</f>
        <v/>
      </c>
      <c r="E16" s="50">
        <f>ROUND(D16*D22,0)</f>
        <v/>
      </c>
      <c r="F16" s="29" t="n">
        <v>800</v>
      </c>
      <c r="G16" s="327">
        <f>SUM(E16:F16)</f>
        <v/>
      </c>
      <c r="H16" s="51" t="n">
        <v>800</v>
      </c>
      <c r="K16" s="26" t="inlineStr">
        <is>
          <t>Manjeera bill</t>
        </is>
      </c>
      <c r="L16" s="26" t="n"/>
    </row>
    <row r="17" ht="14.25" customHeight="1" s="366">
      <c r="A17" s="73" t="n">
        <v>302</v>
      </c>
      <c r="B17" s="29" t="n">
        <v>0.39</v>
      </c>
      <c r="C17" s="29" t="n">
        <v>0.39</v>
      </c>
      <c r="D17" s="29">
        <f>(C17-B17)*1000</f>
        <v/>
      </c>
      <c r="E17" s="50">
        <f>ROUND(D17*D22,0)</f>
        <v/>
      </c>
      <c r="F17" s="29" t="n">
        <v>800</v>
      </c>
      <c r="G17" s="327">
        <f>SUM(E17:F17)</f>
        <v/>
      </c>
      <c r="H17" s="51" t="n">
        <v>800</v>
      </c>
      <c r="K17" s="107" t="inlineStr">
        <is>
          <t>Electricity bill</t>
        </is>
      </c>
      <c r="L17" s="26" t="n">
        <v>1564</v>
      </c>
    </row>
    <row r="18" ht="14.25" customHeight="1" s="366">
      <c r="A18" s="32" t="n">
        <v>303</v>
      </c>
      <c r="B18" s="29" t="n">
        <v>338.3</v>
      </c>
      <c r="C18" s="29" t="n">
        <v>354.34</v>
      </c>
      <c r="D18" s="29">
        <f>(C18-B18)*1000</f>
        <v/>
      </c>
      <c r="E18" s="50">
        <f>ROUND(D18*D22,0)</f>
        <v/>
      </c>
      <c r="F18" s="29" t="n">
        <v>1000</v>
      </c>
      <c r="G18" s="327">
        <f>SUM(E18:F18)</f>
        <v/>
      </c>
      <c r="H18" s="51" t="n">
        <v>2199</v>
      </c>
      <c r="K18" s="26" t="inlineStr">
        <is>
          <t>Tankers</t>
        </is>
      </c>
      <c r="L18" s="26" t="n">
        <v>5000</v>
      </c>
    </row>
    <row r="19" ht="14.25" customHeight="1" s="366">
      <c r="A19" s="32" t="n">
        <v>304</v>
      </c>
      <c r="B19" s="30" t="n">
        <v>2.04</v>
      </c>
      <c r="C19" s="30" t="n">
        <v>2.69</v>
      </c>
      <c r="D19" s="29">
        <f>(C19-B19)*1000</f>
        <v/>
      </c>
      <c r="E19" s="50">
        <f>ROUND(D19*D22,0)</f>
        <v/>
      </c>
      <c r="F19" s="29" t="n">
        <v>1000</v>
      </c>
      <c r="G19" s="327">
        <f>SUM(E19:F19)</f>
        <v/>
      </c>
      <c r="H19" s="51" t="n">
        <v>1088</v>
      </c>
      <c r="K19" s="26" t="inlineStr">
        <is>
          <t>Lift Man</t>
        </is>
      </c>
      <c r="L19" s="26" t="n">
        <v>3000</v>
      </c>
    </row>
    <row r="20" ht="14.25" customHeight="1" s="366">
      <c r="A20" s="29" t="n"/>
      <c r="B20" s="29" t="n"/>
      <c r="C20" s="29" t="n"/>
      <c r="D20" s="29" t="n"/>
      <c r="E20" s="357">
        <f>SUM(E4:E19)</f>
        <v/>
      </c>
      <c r="F20" s="49">
        <f>SUM(F2:F19)</f>
        <v/>
      </c>
      <c r="G20" s="29">
        <f>SUM(E20:F20)</f>
        <v/>
      </c>
      <c r="H20" s="26">
        <f>SUM(H2:H19)</f>
        <v/>
      </c>
      <c r="K20" s="26" t="inlineStr">
        <is>
          <t>Horpic</t>
        </is>
      </c>
      <c r="L20" s="26" t="n">
        <v>195</v>
      </c>
    </row>
    <row r="21" ht="14.25" customHeight="1" s="366">
      <c r="A21" s="29" t="n"/>
      <c r="B21" s="29" t="inlineStr">
        <is>
          <t>Total Usage Units</t>
        </is>
      </c>
      <c r="C21" s="29" t="n"/>
      <c r="D21" s="30">
        <f>SUM(D4:D20)</f>
        <v/>
      </c>
      <c r="E21" s="327" t="n"/>
      <c r="F21" s="29" t="n"/>
      <c r="G21" s="29" t="n"/>
      <c r="H21" s="330" t="n"/>
      <c r="K21" s="26" t="inlineStr">
        <is>
          <t>Muggu</t>
        </is>
      </c>
      <c r="L21" s="26" t="n">
        <v>100</v>
      </c>
    </row>
    <row r="22" ht="14.25" customHeight="1" s="366">
      <c r="A22" s="29" t="n"/>
      <c r="B22" s="29" t="inlineStr">
        <is>
          <t>Per Lt cost</t>
        </is>
      </c>
      <c r="C22" s="29" t="inlineStr">
        <is>
          <t>Number of tankers/Number of litters</t>
        </is>
      </c>
      <c r="D22" s="29">
        <f>B23/D21</f>
        <v/>
      </c>
      <c r="E22" s="327" t="n"/>
      <c r="F22" s="29" t="n"/>
      <c r="G22" s="29" t="inlineStr">
        <is>
          <t>Balance</t>
        </is>
      </c>
      <c r="H22" s="330">
        <f>G20-H20</f>
        <v/>
      </c>
      <c r="K22" s="26" t="n"/>
      <c r="L22" s="26" t="n"/>
    </row>
    <row r="23" ht="14.25" customHeight="1" s="366">
      <c r="A23" s="29" t="inlineStr">
        <is>
          <t>Total Water Bill</t>
        </is>
      </c>
      <c r="B23" s="30" t="n">
        <v>6000</v>
      </c>
      <c r="C23" s="84" t="inlineStr">
        <is>
          <t xml:space="preserve">WATER Tankers(6) </t>
        </is>
      </c>
      <c r="D23" s="330" t="n"/>
      <c r="E23" s="330" t="n">
        <v>6000</v>
      </c>
      <c r="F23" s="29" t="n"/>
      <c r="G23" s="29" t="n"/>
      <c r="H23" s="330" t="n"/>
      <c r="K23" s="26" t="n"/>
      <c r="L23" s="26" t="n"/>
    </row>
    <row r="24" ht="14.25" customHeight="1" s="366">
      <c r="K24" s="26" t="n"/>
      <c r="L24" s="26" t="n"/>
    </row>
    <row r="25" ht="14.25" customHeight="1" s="366">
      <c r="K25" s="26" t="inlineStr">
        <is>
          <t xml:space="preserve">Total </t>
        </is>
      </c>
      <c r="L25" s="26">
        <f>SUM(L15:L22)</f>
        <v/>
      </c>
    </row>
    <row r="26" ht="14.25" customHeight="1" s="366">
      <c r="K26" s="26" t="n"/>
      <c r="L26" s="26" t="n"/>
    </row>
    <row r="27" ht="14.25" customHeight="1" s="366">
      <c r="K27" s="26" t="inlineStr">
        <is>
          <t>Mar Balance</t>
        </is>
      </c>
      <c r="L27" s="26">
        <f>L13-L25</f>
        <v/>
      </c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ColWidth="14.42578125" defaultRowHeight="15" customHeight="1"/>
  <cols>
    <col width="13.7109375" customWidth="1" style="366" min="1" max="1"/>
    <col width="21.28515625" customWidth="1" style="366" min="2" max="2"/>
    <col width="31.42578125" customWidth="1" style="366" min="3" max="3"/>
    <col width="12" customWidth="1" style="366" min="4" max="4"/>
    <col width="9" customWidth="1" style="366" min="5" max="5"/>
    <col width="19.28515625" customWidth="1" style="366" min="6" max="6"/>
    <col width="10.7109375" customWidth="1" style="366" min="7" max="7"/>
    <col width="14.28515625" customWidth="1" style="366" min="8" max="8"/>
    <col width="9.85546875" customWidth="1" style="366" min="9" max="10"/>
    <col width="15.5703125" customWidth="1" style="366" min="11" max="11"/>
    <col width="9.85546875" customWidth="1" style="366" min="12" max="15"/>
  </cols>
  <sheetData>
    <row r="1" ht="14.25" customHeight="1" s="366">
      <c r="A1" s="49" t="inlineStr">
        <is>
          <t>Flat Number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49" t="inlineStr">
        <is>
          <t>Total Units</t>
        </is>
      </c>
      <c r="E1" s="71" t="inlineStr">
        <is>
          <t>Water Bill</t>
        </is>
      </c>
      <c r="F1" s="29" t="inlineStr">
        <is>
          <t>CommonMaintanence</t>
        </is>
      </c>
      <c r="G1" s="327" t="inlineStr">
        <is>
          <t>Total to Pay</t>
        </is>
      </c>
      <c r="H1" s="49" t="inlineStr">
        <is>
          <t>Payment Status</t>
        </is>
      </c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50" t="inlineStr">
        <is>
          <t>NA</t>
        </is>
      </c>
      <c r="F2" s="29" t="n">
        <v>300</v>
      </c>
      <c r="G2" s="327">
        <f>SUM(E2:F2)</f>
        <v/>
      </c>
      <c r="H2" s="51" t="n">
        <v>300</v>
      </c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50" t="inlineStr">
        <is>
          <t>NA</t>
        </is>
      </c>
      <c r="F3" s="29" t="n">
        <v>300</v>
      </c>
      <c r="G3" s="327">
        <f>SUM(E3:F3)</f>
        <v/>
      </c>
      <c r="H3" s="51" t="n">
        <v>300</v>
      </c>
      <c r="K3" s="369" t="n"/>
    </row>
    <row r="4" ht="14.25" customHeight="1" s="366">
      <c r="A4" s="73" t="inlineStr">
        <is>
          <t>G1</t>
        </is>
      </c>
      <c r="B4" s="30" t="n">
        <v>1.4</v>
      </c>
      <c r="C4" s="30" t="n">
        <v>1.42</v>
      </c>
      <c r="D4" s="29">
        <f>(C4-B4)*1000</f>
        <v/>
      </c>
      <c r="E4" s="50">
        <f>ROUND(D4*D22,0)</f>
        <v/>
      </c>
      <c r="F4" s="29" t="n">
        <v>800</v>
      </c>
      <c r="G4" s="327">
        <f>SUM(E4:F4)</f>
        <v/>
      </c>
      <c r="H4" s="51" t="n">
        <v>800</v>
      </c>
      <c r="K4" s="335" t="inlineStr">
        <is>
          <t>Type</t>
        </is>
      </c>
      <c r="L4" s="335" t="inlineStr">
        <is>
          <t>Amount</t>
        </is>
      </c>
    </row>
    <row r="5" ht="14.25" customHeight="1" s="366">
      <c r="A5" s="32" t="inlineStr">
        <is>
          <t>G2</t>
        </is>
      </c>
      <c r="B5" s="29" t="n">
        <v>68.68000000000001</v>
      </c>
      <c r="C5" s="29" t="n">
        <v>74.18000000000001</v>
      </c>
      <c r="D5" s="29">
        <f>(C5-B5)*1000</f>
        <v/>
      </c>
      <c r="E5" s="50">
        <f>ROUND(D5*D22,0)</f>
        <v/>
      </c>
      <c r="F5" s="29" t="n">
        <v>1000</v>
      </c>
      <c r="G5" s="327">
        <f>SUM(E5:F5)</f>
        <v/>
      </c>
      <c r="H5" s="51" t="n">
        <v>1389</v>
      </c>
      <c r="K5" s="47" t="n"/>
    </row>
    <row r="6" ht="14.25" customHeight="1" s="366">
      <c r="A6" s="32" t="inlineStr">
        <is>
          <t>G3</t>
        </is>
      </c>
      <c r="B6" s="29" t="n">
        <v>139.63</v>
      </c>
      <c r="C6" s="29" t="n">
        <v>146.63</v>
      </c>
      <c r="D6" s="29">
        <f>(C6-B6)*1000</f>
        <v/>
      </c>
      <c r="E6" s="50">
        <f>ROUND(D6*D22,0)</f>
        <v/>
      </c>
      <c r="F6" s="29" t="n">
        <v>1000</v>
      </c>
      <c r="G6" s="327">
        <f>SUM(E6:F6)</f>
        <v/>
      </c>
      <c r="H6" s="51" t="n">
        <v>1496</v>
      </c>
      <c r="K6" s="1" t="inlineStr">
        <is>
          <t>Maintenance</t>
        </is>
      </c>
      <c r="L6" s="1">
        <f>SUM(H2:H19)</f>
        <v/>
      </c>
    </row>
    <row r="7" ht="14.25" customHeight="1" s="366">
      <c r="A7" s="32" t="inlineStr">
        <is>
          <t>G4</t>
        </is>
      </c>
      <c r="B7" s="29" t="n">
        <v>108.54</v>
      </c>
      <c r="C7" s="29" t="n">
        <v>115.41</v>
      </c>
      <c r="D7" s="29">
        <f>(C7-B7)*1000</f>
        <v/>
      </c>
      <c r="E7" s="50">
        <f>ROUND(D7*D22,0)</f>
        <v/>
      </c>
      <c r="F7" s="29" t="n">
        <v>1000</v>
      </c>
      <c r="G7" s="327">
        <f>SUM(E7:F7)</f>
        <v/>
      </c>
      <c r="H7" s="51" t="n">
        <v>1486</v>
      </c>
    </row>
    <row r="8" ht="14.25" customHeight="1" s="366">
      <c r="A8" s="73" t="n">
        <v>101</v>
      </c>
      <c r="B8" s="29" t="n">
        <v>0.38</v>
      </c>
      <c r="C8" s="29" t="n">
        <v>0.38</v>
      </c>
      <c r="D8" s="29">
        <f>(C8-B8)*1000</f>
        <v/>
      </c>
      <c r="E8" s="50">
        <f>ROUND(D8*D22,0)</f>
        <v/>
      </c>
      <c r="F8" s="29" t="n">
        <v>800</v>
      </c>
      <c r="G8" s="327">
        <f>SUM(E8:F8)</f>
        <v/>
      </c>
      <c r="H8" s="51" t="n">
        <v>600</v>
      </c>
      <c r="K8" s="66" t="inlineStr">
        <is>
          <t>Amount received</t>
        </is>
      </c>
      <c r="L8" s="66" t="inlineStr">
        <is>
          <t> </t>
        </is>
      </c>
    </row>
    <row r="9" ht="14.25" customHeight="1" s="366">
      <c r="A9" s="32" t="n">
        <v>102</v>
      </c>
      <c r="B9" s="29" t="n">
        <v>182.22</v>
      </c>
      <c r="C9" s="29" t="n">
        <v>197.69</v>
      </c>
      <c r="D9" s="29">
        <f>(C9-B9)*1000</f>
        <v/>
      </c>
      <c r="E9" s="50">
        <f>ROUND(D9*D22,0)</f>
        <v/>
      </c>
      <c r="F9" s="29" t="n">
        <v>1000</v>
      </c>
      <c r="G9" s="327">
        <f>SUM(E9:F9)</f>
        <v/>
      </c>
      <c r="H9" s="51" t="n">
        <v>2095</v>
      </c>
      <c r="K9" s="1" t="inlineStr">
        <is>
          <t>Jan balance</t>
        </is>
      </c>
      <c r="L9" s="70" t="n">
        <v>11092</v>
      </c>
    </row>
    <row r="10" ht="14.25" customHeight="1" s="366">
      <c r="A10" s="75" t="n">
        <v>103</v>
      </c>
      <c r="B10" s="29" t="n">
        <v>0.83</v>
      </c>
      <c r="C10" s="29" t="n">
        <v>0.83</v>
      </c>
      <c r="D10" s="29">
        <f>(C10-B10)*1000</f>
        <v/>
      </c>
      <c r="E10" s="50">
        <f>ROUND(D10*D22,0)</f>
        <v/>
      </c>
      <c r="F10" s="29" t="n">
        <v>1000</v>
      </c>
      <c r="G10" s="327">
        <f>SUM(E10:F10)</f>
        <v/>
      </c>
      <c r="H10" s="51" t="n">
        <v>1000</v>
      </c>
      <c r="K10" s="55" t="inlineStr">
        <is>
          <t>Total</t>
        </is>
      </c>
      <c r="L10" s="55">
        <f>SUM(L6:L9)</f>
        <v/>
      </c>
    </row>
    <row r="11" ht="14.25" customHeight="1" s="366">
      <c r="A11" s="32" t="n">
        <v>104</v>
      </c>
      <c r="B11" s="29" t="n">
        <v>109.06</v>
      </c>
      <c r="C11" s="29" t="n">
        <v>112.33</v>
      </c>
      <c r="D11" s="29">
        <f>(C11-B11)*1000</f>
        <v/>
      </c>
      <c r="E11" s="50">
        <f>ROUND(D11*D22,0)</f>
        <v/>
      </c>
      <c r="F11" s="29" t="n">
        <v>1000</v>
      </c>
      <c r="G11" s="327">
        <f>SUM(E11:F11)</f>
        <v/>
      </c>
      <c r="H11" s="51" t="n">
        <v>1232</v>
      </c>
      <c r="K11" s="68" t="inlineStr">
        <is>
          <t>Expenditures</t>
        </is>
      </c>
    </row>
    <row r="12" ht="14.25" customHeight="1" s="366">
      <c r="A12" s="78" t="n">
        <v>201</v>
      </c>
      <c r="B12" s="29" t="n">
        <v>1.59</v>
      </c>
      <c r="C12" s="29" t="n">
        <v>1.59</v>
      </c>
      <c r="D12" s="29">
        <f>(C12-B12)*1000</f>
        <v/>
      </c>
      <c r="E12" s="50">
        <f>ROUND(D12*D22,0)</f>
        <v/>
      </c>
      <c r="F12" s="29" t="n">
        <v>800</v>
      </c>
      <c r="G12" s="327">
        <f>SUM(E12:F12)</f>
        <v/>
      </c>
      <c r="H12" s="51" t="n">
        <v>600</v>
      </c>
      <c r="K12" s="1" t="inlineStr">
        <is>
          <t>Watchman</t>
        </is>
      </c>
      <c r="L12" s="1" t="n">
        <v>6500</v>
      </c>
    </row>
    <row r="13" ht="14.25" customHeight="1" s="366">
      <c r="A13" s="32" t="n">
        <v>202</v>
      </c>
      <c r="B13" s="29" t="n">
        <v>137.32</v>
      </c>
      <c r="C13" s="29" t="n">
        <v>144.66</v>
      </c>
      <c r="D13" s="29">
        <f>(C13-B13)*1000</f>
        <v/>
      </c>
      <c r="E13" s="50">
        <f>ROUND(D13*D22,0)</f>
        <v/>
      </c>
      <c r="F13" s="29" t="n">
        <v>1000</v>
      </c>
      <c r="G13" s="327">
        <f>SUM(E13:F13)</f>
        <v/>
      </c>
      <c r="H13" s="51" t="n">
        <v>1520</v>
      </c>
      <c r="K13" s="1" t="inlineStr">
        <is>
          <t>Manjeera bill</t>
        </is>
      </c>
      <c r="L13" s="1" t="n">
        <v>2044</v>
      </c>
    </row>
    <row r="14" ht="14.25" customHeight="1" s="366">
      <c r="A14" s="32" t="n">
        <v>203</v>
      </c>
      <c r="B14" s="29" t="n">
        <v>101.51</v>
      </c>
      <c r="C14" s="29" t="n">
        <v>106.39</v>
      </c>
      <c r="D14" s="29">
        <f>(C14-B14)*1000</f>
        <v/>
      </c>
      <c r="E14" s="50">
        <f>ROUND(D14*D22,0)</f>
        <v/>
      </c>
      <c r="F14" s="29" t="n">
        <v>1000</v>
      </c>
      <c r="G14" s="327">
        <f>SUM(E14:F14)</f>
        <v/>
      </c>
      <c r="H14" s="51" t="n">
        <v>1346</v>
      </c>
      <c r="K14" s="107" t="inlineStr">
        <is>
          <t>Electricity bill</t>
        </is>
      </c>
      <c r="L14" s="1" t="n">
        <v>1567</v>
      </c>
    </row>
    <row r="15" ht="14.25" customHeight="1" s="366">
      <c r="A15" s="32" t="n">
        <v>204</v>
      </c>
      <c r="B15" s="29" t="n">
        <v>73.02</v>
      </c>
      <c r="C15" s="29" t="n">
        <v>77.31999999999999</v>
      </c>
      <c r="D15" s="29">
        <f>(C15-B15)*1000</f>
        <v/>
      </c>
      <c r="E15" s="50">
        <f>ROUND(D15*D22,0)</f>
        <v/>
      </c>
      <c r="F15" s="29" t="n">
        <v>1000</v>
      </c>
      <c r="G15" s="327">
        <f>SUM(E15:F15)</f>
        <v/>
      </c>
      <c r="H15" s="51" t="n">
        <v>1304</v>
      </c>
      <c r="K15" s="1" t="inlineStr">
        <is>
          <t>Generator Charger</t>
        </is>
      </c>
      <c r="L15" s="1" t="n">
        <v>3500</v>
      </c>
    </row>
    <row r="16" ht="14.25" customHeight="1" s="366">
      <c r="A16" s="73" t="n">
        <v>301</v>
      </c>
      <c r="B16" s="29" t="n">
        <v>0.38</v>
      </c>
      <c r="C16" s="29" t="n">
        <v>0.38</v>
      </c>
      <c r="D16" s="29">
        <f>(C16-B16)*1000</f>
        <v/>
      </c>
      <c r="E16" s="50">
        <f>ROUND(D16*D22,0)</f>
        <v/>
      </c>
      <c r="F16" s="29" t="n">
        <v>800</v>
      </c>
      <c r="G16" s="327">
        <f>SUM(E16:F16)</f>
        <v/>
      </c>
      <c r="H16" s="51" t="n">
        <v>600</v>
      </c>
      <c r="K16" s="1" t="inlineStr">
        <is>
          <t>Tankers</t>
        </is>
      </c>
      <c r="L16" s="1" t="n">
        <v>6000</v>
      </c>
      <c r="O16" s="1" t="n">
        <v>3592</v>
      </c>
    </row>
    <row r="17" ht="14.25" customHeight="1" s="366">
      <c r="A17" s="73" t="n">
        <v>302</v>
      </c>
      <c r="B17" s="29" t="n">
        <v>0.39</v>
      </c>
      <c r="C17" s="29" t="n">
        <v>0.39</v>
      </c>
      <c r="D17" s="29">
        <f>(C17-B17)*1000</f>
        <v/>
      </c>
      <c r="E17" s="50">
        <f>ROUND(D17*D22,0)</f>
        <v/>
      </c>
      <c r="F17" s="29" t="n">
        <v>800</v>
      </c>
      <c r="G17" s="327">
        <f>SUM(E17:F17)</f>
        <v/>
      </c>
      <c r="H17" s="51" t="n">
        <v>600</v>
      </c>
      <c r="K17" s="1" t="inlineStr">
        <is>
          <t>Bleaching Power &amp; spanges</t>
        </is>
      </c>
      <c r="L17" s="1" t="n">
        <v>80</v>
      </c>
    </row>
    <row r="18" ht="14.25" customHeight="1" s="366">
      <c r="A18" s="32" t="n">
        <v>303</v>
      </c>
      <c r="B18" s="29" t="n">
        <v>322.88</v>
      </c>
      <c r="C18" s="29" t="n">
        <v>338.3</v>
      </c>
      <c r="D18" s="29">
        <f>(C18-B18)*1000</f>
        <v/>
      </c>
      <c r="E18" s="50">
        <f>ROUND(D18*D22,0)</f>
        <v/>
      </c>
      <c r="F18" s="29" t="n">
        <v>1000</v>
      </c>
      <c r="G18" s="327">
        <f>SUM(E18:F18)</f>
        <v/>
      </c>
      <c r="H18" s="51" t="n">
        <v>2092</v>
      </c>
      <c r="K18" s="1" t="inlineStr">
        <is>
          <t>Lyzol &amp; Dust pan</t>
        </is>
      </c>
      <c r="L18" s="1" t="n">
        <v>424</v>
      </c>
    </row>
    <row r="19" ht="14.25" customHeight="1" s="366">
      <c r="A19" s="32" t="n">
        <v>304</v>
      </c>
      <c r="B19" s="30" t="n">
        <v>1.49</v>
      </c>
      <c r="C19" s="30" t="n">
        <v>2.04</v>
      </c>
      <c r="D19" s="29">
        <f>(C19-B19)*1000</f>
        <v/>
      </c>
      <c r="E19" s="50">
        <f>ROUND(D19*D22,0)</f>
        <v/>
      </c>
      <c r="F19" s="29" t="n">
        <v>800</v>
      </c>
      <c r="G19" s="327">
        <f>SUM(E19:F19)</f>
        <v/>
      </c>
      <c r="H19" s="51" t="n">
        <v>600</v>
      </c>
      <c r="K19" s="1" t="inlineStr">
        <is>
          <t>Tanks Clean</t>
        </is>
      </c>
      <c r="L19" s="1" t="n">
        <v>1400</v>
      </c>
    </row>
    <row r="20" ht="14.25" customHeight="1" s="366">
      <c r="A20" s="29" t="n"/>
      <c r="B20" s="29" t="n"/>
      <c r="C20" s="29" t="n"/>
      <c r="D20" s="29" t="n"/>
      <c r="E20" s="357">
        <f>SUM(E4:E19)</f>
        <v/>
      </c>
      <c r="F20" s="49">
        <f>SUM(F2:F19)</f>
        <v/>
      </c>
      <c r="G20" s="29">
        <f>SUM(E20:F20)</f>
        <v/>
      </c>
      <c r="H20" s="1">
        <f>SUM(H2:H19)</f>
        <v/>
      </c>
    </row>
    <row r="21" ht="14.25" customHeight="1" s="366">
      <c r="A21" s="29" t="n"/>
      <c r="B21" s="29" t="inlineStr">
        <is>
          <t>Total Usage Units</t>
        </is>
      </c>
      <c r="C21" s="29" t="n"/>
      <c r="D21" s="30">
        <f>SUM(D4:D20)</f>
        <v/>
      </c>
      <c r="E21" s="327" t="n"/>
      <c r="F21" s="29" t="n"/>
      <c r="G21" s="29" t="n"/>
      <c r="H21" s="330" t="n"/>
    </row>
    <row r="22" ht="14.25" customHeight="1" s="366">
      <c r="A22" s="29" t="n"/>
      <c r="B22" s="29" t="inlineStr">
        <is>
          <t>Per Lt cost</t>
        </is>
      </c>
      <c r="C22" s="29" t="inlineStr">
        <is>
          <t>Number of tankers/Number of litters</t>
        </is>
      </c>
      <c r="D22" s="29">
        <f>B23/D21</f>
        <v/>
      </c>
      <c r="E22" s="327" t="n"/>
      <c r="F22" s="29" t="n"/>
      <c r="G22" s="29" t="inlineStr">
        <is>
          <t>Balance</t>
        </is>
      </c>
      <c r="H22" s="330">
        <f>G20-H20</f>
        <v/>
      </c>
      <c r="I22" s="330" t="n"/>
      <c r="K22" s="1" t="inlineStr">
        <is>
          <t xml:space="preserve">Total </t>
        </is>
      </c>
      <c r="L22" s="1">
        <f>SUM(L12:L19)</f>
        <v/>
      </c>
    </row>
    <row r="23" ht="14.25" customHeight="1" s="366">
      <c r="A23" s="29" t="inlineStr">
        <is>
          <t>Total Water Bill</t>
        </is>
      </c>
      <c r="B23" s="30" t="n">
        <v>5000</v>
      </c>
      <c r="C23" s="84" t="inlineStr">
        <is>
          <t xml:space="preserve">WATER Tankers(5) </t>
        </is>
      </c>
      <c r="D23" s="330" t="n"/>
      <c r="E23" s="330" t="n">
        <v>5000</v>
      </c>
      <c r="F23" s="29" t="n"/>
      <c r="G23" s="29" t="n"/>
      <c r="H23" s="330" t="n"/>
    </row>
    <row r="24" ht="14.25" customHeight="1" s="366">
      <c r="K24" s="1" t="inlineStr">
        <is>
          <t>FEB Balance</t>
        </is>
      </c>
      <c r="L24" s="1">
        <f>L10-L22</f>
        <v/>
      </c>
    </row>
    <row r="25" ht="14.25" customHeight="1" s="366"/>
    <row r="26" ht="14.25" customHeight="1" s="366">
      <c r="E26" s="1">
        <f>5000/50000</f>
        <v/>
      </c>
      <c r="K26" s="1" t="inlineStr">
        <is>
          <t>Addition (Subbarao)</t>
        </is>
      </c>
      <c r="L26" s="1" t="n">
        <v>3000</v>
      </c>
    </row>
    <row r="27" ht="14.25" customHeight="1" s="366"/>
    <row r="28" ht="14.25" customHeight="1" s="366"/>
    <row r="29" ht="14.25" customHeight="1" s="366">
      <c r="K29" s="1" t="inlineStr">
        <is>
          <t>Water Tankers</t>
        </is>
      </c>
    </row>
    <row r="30" ht="14.25" customHeight="1" s="366"/>
    <row r="31" ht="14.25" customHeight="1" s="366">
      <c r="K31" s="1" t="inlineStr">
        <is>
          <t>Date</t>
        </is>
      </c>
      <c r="L31" s="1" t="inlineStr">
        <is>
          <t>Paid Amount</t>
        </is>
      </c>
    </row>
    <row r="32" ht="14.25" customHeight="1" s="366">
      <c r="K32" s="109" t="n">
        <v>44596</v>
      </c>
      <c r="L32" s="1" t="n">
        <v>1000</v>
      </c>
    </row>
  </sheetData>
  <mergeCells count="1">
    <mergeCell ref="K3:L3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ColWidth="14.42578125" defaultRowHeight="15" customHeight="1"/>
  <cols>
    <col width="18" customWidth="1" style="366" min="1" max="1"/>
    <col width="29.5703125" customWidth="1" style="366" min="2" max="2"/>
    <col width="22.85546875" customWidth="1" style="366" min="3" max="3"/>
    <col width="12" customWidth="1" style="366" min="4" max="4"/>
    <col width="9" customWidth="1" style="366" min="5" max="5"/>
    <col width="19.28515625" customWidth="1" style="366" min="6" max="6"/>
    <col width="10.7109375" customWidth="1" style="366" min="7" max="7"/>
    <col width="14.28515625" customWidth="1" style="366" min="8" max="8"/>
    <col width="25.7109375" customWidth="1" style="366" min="9" max="9"/>
    <col width="13" customWidth="1" style="366" min="10" max="10"/>
    <col width="17.85546875" customWidth="1" style="366" min="11" max="11"/>
    <col width="7.85546875" customWidth="1" style="366" min="12" max="12"/>
  </cols>
  <sheetData>
    <row r="1" ht="14.25" customHeight="1" s="366">
      <c r="A1" s="49" t="inlineStr">
        <is>
          <t>Flat Number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49" t="inlineStr">
        <is>
          <t>Total Units</t>
        </is>
      </c>
      <c r="E1" s="71" t="inlineStr">
        <is>
          <t>Water Bill</t>
        </is>
      </c>
      <c r="F1" s="29" t="inlineStr">
        <is>
          <t>CommonMaintanence</t>
        </is>
      </c>
      <c r="G1" s="327" t="inlineStr">
        <is>
          <t>Total to Pay</t>
        </is>
      </c>
      <c r="H1" s="49" t="inlineStr">
        <is>
          <t>Payment Status</t>
        </is>
      </c>
      <c r="I1" s="26" t="n"/>
      <c r="J1" s="26" t="n"/>
      <c r="K1" s="26" t="n"/>
      <c r="L1" s="26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50" t="inlineStr">
        <is>
          <t>NA</t>
        </is>
      </c>
      <c r="F2" s="29" t="n">
        <v>300</v>
      </c>
      <c r="G2" s="327">
        <f>SUM(E2:F2)</f>
        <v/>
      </c>
      <c r="H2" s="51" t="n">
        <v>300</v>
      </c>
      <c r="I2" s="26" t="n"/>
      <c r="J2" s="26" t="n"/>
      <c r="K2" s="26" t="n"/>
      <c r="L2" s="26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50" t="inlineStr">
        <is>
          <t>NA</t>
        </is>
      </c>
      <c r="F3" s="29" t="n">
        <v>300</v>
      </c>
      <c r="G3" s="327">
        <f>SUM(E3:F3)</f>
        <v/>
      </c>
      <c r="H3" s="51" t="n">
        <v>300</v>
      </c>
      <c r="I3" s="26" t="n"/>
      <c r="J3" s="26" t="n"/>
      <c r="K3" s="26" t="n"/>
      <c r="L3" s="26" t="n"/>
    </row>
    <row r="4" ht="14.25" customHeight="1" s="366">
      <c r="A4" s="73" t="inlineStr">
        <is>
          <t>G1</t>
        </is>
      </c>
      <c r="B4" s="30" t="n">
        <v>1.48</v>
      </c>
      <c r="C4" s="30" t="n">
        <v>1.48</v>
      </c>
      <c r="D4" s="29">
        <f>(C4-B4)*1000</f>
        <v/>
      </c>
      <c r="E4" s="50">
        <f>ROUND(D4*D22,0)</f>
        <v/>
      </c>
      <c r="F4" s="29" t="n">
        <v>800</v>
      </c>
      <c r="G4" s="327">
        <f>SUM(E4:F4)</f>
        <v/>
      </c>
      <c r="H4" s="51" t="n">
        <v>800</v>
      </c>
      <c r="I4" s="26" t="n"/>
      <c r="J4" s="26" t="n"/>
      <c r="K4" s="26" t="n"/>
      <c r="L4" s="26" t="n"/>
    </row>
    <row r="5" ht="14.25" customHeight="1" s="366">
      <c r="A5" s="32" t="inlineStr">
        <is>
          <t>G2</t>
        </is>
      </c>
      <c r="B5" s="29" t="n">
        <v>79.7</v>
      </c>
      <c r="C5" s="29" t="n">
        <v>83.41</v>
      </c>
      <c r="D5" s="29">
        <f>(C5-B5)*1000</f>
        <v/>
      </c>
      <c r="E5" s="50">
        <f>ROUND(D5*D22,0)</f>
        <v/>
      </c>
      <c r="F5" s="29" t="n">
        <v>1000</v>
      </c>
      <c r="G5" s="327">
        <f>SUM(E5:F5)</f>
        <v/>
      </c>
      <c r="H5" s="51" t="n">
        <v>1211</v>
      </c>
      <c r="I5" s="26" t="n"/>
      <c r="J5" s="26" t="n"/>
      <c r="K5" s="26" t="n"/>
      <c r="L5" s="26" t="n"/>
    </row>
    <row r="6" ht="14.25" customHeight="1" s="366">
      <c r="A6" s="32" t="inlineStr">
        <is>
          <t>G3</t>
        </is>
      </c>
      <c r="B6" s="29" t="n">
        <v>153.88</v>
      </c>
      <c r="C6" s="29" t="n">
        <v>160.72</v>
      </c>
      <c r="D6" s="29">
        <f>(C6-B6)*1000</f>
        <v/>
      </c>
      <c r="E6" s="50">
        <f>ROUND(D6*D22,0)</f>
        <v/>
      </c>
      <c r="F6" s="29" t="n">
        <v>1000</v>
      </c>
      <c r="G6" s="327">
        <f>SUM(E6:F6)</f>
        <v/>
      </c>
      <c r="H6" s="51" t="n">
        <v>1390</v>
      </c>
      <c r="I6" s="26" t="n"/>
      <c r="J6" s="26" t="n"/>
      <c r="K6" s="26" t="n"/>
      <c r="L6" s="26" t="n"/>
    </row>
    <row r="7" ht="14.25" customHeight="1" s="366">
      <c r="A7" s="32" t="inlineStr">
        <is>
          <t>G4</t>
        </is>
      </c>
      <c r="B7" s="29" t="n">
        <v>122.05</v>
      </c>
      <c r="C7" s="29" t="n">
        <v>127.98</v>
      </c>
      <c r="D7" s="29">
        <f>(C7-B7)*1000</f>
        <v/>
      </c>
      <c r="E7" s="50">
        <f>ROUND(D7*D22,0)</f>
        <v/>
      </c>
      <c r="F7" s="29" t="n">
        <v>1000</v>
      </c>
      <c r="G7" s="327">
        <f>SUM(E7:F7)</f>
        <v/>
      </c>
      <c r="H7" s="51" t="n">
        <v>1338</v>
      </c>
      <c r="I7" s="26" t="n"/>
      <c r="J7" s="26" t="n"/>
      <c r="K7" s="335" t="inlineStr">
        <is>
          <t>Type</t>
        </is>
      </c>
      <c r="L7" s="335" t="inlineStr">
        <is>
          <t>Amount</t>
        </is>
      </c>
    </row>
    <row r="8" ht="14.25" customHeight="1" s="366">
      <c r="A8" s="73" t="n">
        <v>101</v>
      </c>
      <c r="B8" s="29" t="n">
        <v>0.38</v>
      </c>
      <c r="C8" s="29" t="n">
        <v>0.38</v>
      </c>
      <c r="D8" s="29">
        <f>(C8-B8)*1000</f>
        <v/>
      </c>
      <c r="E8" s="50">
        <f>ROUND(D8*D22,0)</f>
        <v/>
      </c>
      <c r="F8" s="29" t="n">
        <v>800</v>
      </c>
      <c r="G8" s="327">
        <f>SUM(E8:F8)</f>
        <v/>
      </c>
      <c r="H8" s="51" t="n">
        <v>1600</v>
      </c>
      <c r="I8" s="26" t="inlineStr">
        <is>
          <t>Received 101 pending amount</t>
        </is>
      </c>
      <c r="J8" s="26" t="n">
        <v>800</v>
      </c>
      <c r="K8" s="47" t="n"/>
      <c r="L8" s="26" t="n"/>
    </row>
    <row r="9" ht="14.25" customHeight="1" s="366">
      <c r="A9" s="32" t="n">
        <v>102</v>
      </c>
      <c r="B9" s="29" t="n">
        <v>212.34</v>
      </c>
      <c r="C9" s="29" t="n">
        <v>226.22</v>
      </c>
      <c r="D9" s="29">
        <f>(C9-B9)*1000</f>
        <v/>
      </c>
      <c r="E9" s="50">
        <f>ROUND(D9*D22,0)</f>
        <v/>
      </c>
      <c r="F9" s="29" t="n">
        <v>1000</v>
      </c>
      <c r="G9" s="327">
        <f>SUM(E9:F9)</f>
        <v/>
      </c>
      <c r="H9" s="51" t="n">
        <v>1791</v>
      </c>
      <c r="I9" s="26" t="n"/>
      <c r="J9" s="26" t="n"/>
      <c r="K9" s="26" t="inlineStr">
        <is>
          <t>Maintenance</t>
        </is>
      </c>
      <c r="L9" s="26">
        <f>SUM(H2:H19)</f>
        <v/>
      </c>
    </row>
    <row r="10" ht="14.25" customHeight="1" s="366">
      <c r="A10" s="75" t="n">
        <v>103</v>
      </c>
      <c r="B10" s="29" t="n">
        <v>2.71</v>
      </c>
      <c r="C10" s="29" t="n">
        <v>5.74</v>
      </c>
      <c r="D10" s="29">
        <f>(C10-B10)*1000</f>
        <v/>
      </c>
      <c r="E10" s="50">
        <f>ROUND(D10*D22,0)</f>
        <v/>
      </c>
      <c r="F10" s="29" t="n">
        <v>1000</v>
      </c>
      <c r="G10" s="327">
        <f>SUM(E10:F10)</f>
        <v/>
      </c>
      <c r="H10" s="51" t="n">
        <v>1173</v>
      </c>
      <c r="I10" s="26" t="n"/>
      <c r="J10" s="26" t="n"/>
      <c r="K10" s="26" t="n"/>
      <c r="L10" s="26" t="n"/>
    </row>
    <row r="11" ht="14.25" customHeight="1" s="366">
      <c r="A11" s="32" t="n">
        <v>104</v>
      </c>
      <c r="B11" s="29" t="n">
        <v>120.48</v>
      </c>
      <c r="C11" s="29" t="n">
        <v>135.22</v>
      </c>
      <c r="D11" s="29">
        <f>(C11-B11)*1000</f>
        <v/>
      </c>
      <c r="E11" s="50">
        <f>ROUND(D11*D22,0)</f>
        <v/>
      </c>
      <c r="F11" s="29" t="n">
        <v>1000</v>
      </c>
      <c r="G11" s="327">
        <f>SUM(E11:F11)</f>
        <v/>
      </c>
      <c r="H11" s="51" t="n">
        <v>1840</v>
      </c>
      <c r="I11" s="26" t="n"/>
      <c r="J11" s="26" t="n"/>
      <c r="K11" s="66" t="inlineStr">
        <is>
          <t>Amount received</t>
        </is>
      </c>
      <c r="L11" s="66" t="inlineStr">
        <is>
          <t> </t>
        </is>
      </c>
    </row>
    <row r="12" ht="14.25" customHeight="1" s="366">
      <c r="A12" s="78" t="n">
        <v>201</v>
      </c>
      <c r="B12" s="29" t="n">
        <v>1.59</v>
      </c>
      <c r="C12" s="29" t="n">
        <v>1.59</v>
      </c>
      <c r="D12" s="29">
        <f>(C12-B12)*1000</f>
        <v/>
      </c>
      <c r="E12" s="50">
        <f>ROUND(D12*D22,0)</f>
        <v/>
      </c>
      <c r="F12" s="29" t="n">
        <v>800</v>
      </c>
      <c r="G12" s="327">
        <f>SUM(E12:F12)</f>
        <v/>
      </c>
      <c r="H12" s="51" t="n">
        <v>800</v>
      </c>
      <c r="I12" s="26" t="n"/>
      <c r="J12" s="26" t="n"/>
      <c r="K12" s="26" t="inlineStr">
        <is>
          <t>Mar balance</t>
        </is>
      </c>
      <c r="L12" s="70" t="n">
        <v>17417</v>
      </c>
    </row>
    <row r="13" ht="14.25" customHeight="1" s="366">
      <c r="A13" s="32" t="n">
        <v>202</v>
      </c>
      <c r="B13" s="29" t="n">
        <v>150.12</v>
      </c>
      <c r="C13" s="29" t="n">
        <v>155.29</v>
      </c>
      <c r="D13" s="29">
        <f>(C13-B13)*1000</f>
        <v/>
      </c>
      <c r="E13" s="50">
        <f>ROUND(D13*D22,0)</f>
        <v/>
      </c>
      <c r="F13" s="29" t="n">
        <v>1000</v>
      </c>
      <c r="G13" s="327">
        <f>SUM(E13:F13)</f>
        <v/>
      </c>
      <c r="H13" s="51" t="n">
        <v>1295</v>
      </c>
      <c r="I13" s="26" t="n"/>
      <c r="J13" s="26" t="n"/>
      <c r="K13" s="55" t="inlineStr">
        <is>
          <t>Total</t>
        </is>
      </c>
      <c r="L13" s="55">
        <f>SUM(L9:L12)</f>
        <v/>
      </c>
    </row>
    <row r="14" ht="14.25" customHeight="1" s="366">
      <c r="A14" s="32" t="n">
        <v>203</v>
      </c>
      <c r="B14" s="29" t="n">
        <v>115.09</v>
      </c>
      <c r="C14" s="29" t="n">
        <v>127.32</v>
      </c>
      <c r="D14" s="29">
        <f>(C14-B14)*1000</f>
        <v/>
      </c>
      <c r="E14" s="50">
        <f>ROUND(D14*D22,0)</f>
        <v/>
      </c>
      <c r="F14" s="29" t="n">
        <v>1000</v>
      </c>
      <c r="G14" s="327">
        <f>SUM(E14:F14)</f>
        <v/>
      </c>
      <c r="H14" s="51" t="n">
        <v>1697</v>
      </c>
      <c r="I14" s="26" t="n"/>
      <c r="J14" s="26" t="n"/>
      <c r="K14" s="68" t="inlineStr">
        <is>
          <t>Expenditures</t>
        </is>
      </c>
      <c r="L14" s="26" t="n"/>
    </row>
    <row r="15" ht="14.25" customHeight="1" s="366">
      <c r="A15" s="32" t="n">
        <v>204</v>
      </c>
      <c r="B15" s="29" t="n">
        <v>82.59</v>
      </c>
      <c r="C15" s="29" t="n">
        <v>88.68000000000001</v>
      </c>
      <c r="D15" s="29">
        <f>(C15-B15)*1000</f>
        <v/>
      </c>
      <c r="E15" s="50">
        <f>ROUND(D15*D22,0)</f>
        <v/>
      </c>
      <c r="F15" s="29" t="n">
        <v>1000</v>
      </c>
      <c r="G15" s="327">
        <f>SUM(E15:F15)</f>
        <v/>
      </c>
      <c r="H15" s="51" t="n">
        <v>1347</v>
      </c>
      <c r="I15" s="26" t="n"/>
      <c r="J15" s="26" t="n"/>
      <c r="K15" s="26" t="inlineStr">
        <is>
          <t>Watchman</t>
        </is>
      </c>
      <c r="L15" s="26" t="n">
        <v>6500</v>
      </c>
    </row>
    <row r="16" ht="14.25" customHeight="1" s="366">
      <c r="A16" s="73" t="n">
        <v>301</v>
      </c>
      <c r="B16" s="29" t="n">
        <v>0.38</v>
      </c>
      <c r="C16" s="29" t="n">
        <v>0.38</v>
      </c>
      <c r="D16" s="29">
        <f>(C16-B16)*1000</f>
        <v/>
      </c>
      <c r="E16" s="50">
        <f>ROUND(D16*D22,0)</f>
        <v/>
      </c>
      <c r="F16" s="29" t="n">
        <v>800</v>
      </c>
      <c r="G16" s="327">
        <f>SUM(E16:F16)</f>
        <v/>
      </c>
      <c r="H16" s="51" t="n">
        <v>800</v>
      </c>
      <c r="I16" s="26" t="n"/>
      <c r="J16" s="26" t="n"/>
      <c r="K16" s="26" t="inlineStr">
        <is>
          <t>Manjeera bill</t>
        </is>
      </c>
      <c r="L16" s="26" t="n">
        <v>4088</v>
      </c>
    </row>
    <row r="17" ht="14.25" customHeight="1" s="366">
      <c r="A17" s="73" t="n">
        <v>302</v>
      </c>
      <c r="B17" s="29" t="n">
        <v>0.39</v>
      </c>
      <c r="C17" s="29" t="n">
        <v>0.39</v>
      </c>
      <c r="D17" s="29">
        <f>(C17-B17)*1000</f>
        <v/>
      </c>
      <c r="E17" s="50">
        <f>ROUND(D17*D22,0)</f>
        <v/>
      </c>
      <c r="F17" s="29" t="n">
        <v>800</v>
      </c>
      <c r="G17" s="327">
        <f>SUM(E17:F17)</f>
        <v/>
      </c>
      <c r="H17" s="51" t="n">
        <v>800</v>
      </c>
      <c r="I17" s="26" t="n"/>
      <c r="J17" s="26" t="n"/>
      <c r="K17" s="107" t="inlineStr">
        <is>
          <t>Electricity bill</t>
        </is>
      </c>
      <c r="L17" s="26" t="n">
        <v>1726</v>
      </c>
    </row>
    <row r="18" ht="14.25" customHeight="1" s="366">
      <c r="A18" s="32" t="n">
        <v>303</v>
      </c>
      <c r="B18" s="29" t="n">
        <v>354.34</v>
      </c>
      <c r="C18" s="29" t="n">
        <v>369.47</v>
      </c>
      <c r="D18" s="29">
        <f>(C18-B18)*1000</f>
        <v/>
      </c>
      <c r="E18" s="50">
        <f>ROUND(D18*D22,0)</f>
        <v/>
      </c>
      <c r="F18" s="29" t="n">
        <v>1000</v>
      </c>
      <c r="G18" s="327">
        <f>SUM(E18:F18)</f>
        <v/>
      </c>
      <c r="H18" s="51" t="n">
        <v>1862</v>
      </c>
      <c r="I18" s="26" t="n"/>
      <c r="J18" s="26" t="n"/>
      <c r="K18" s="26" t="inlineStr">
        <is>
          <t>Tankers</t>
        </is>
      </c>
      <c r="L18" s="26" t="n">
        <v>7300</v>
      </c>
    </row>
    <row r="19" ht="14.25" customHeight="1" s="366">
      <c r="A19" s="32" t="n">
        <v>304</v>
      </c>
      <c r="B19" s="30" t="n">
        <v>2.69</v>
      </c>
      <c r="C19" s="30" t="n">
        <v>3.67</v>
      </c>
      <c r="D19" s="29">
        <f>(C19-B19)*1000</f>
        <v/>
      </c>
      <c r="E19" s="50">
        <f>ROUND(D19*D22,0)</f>
        <v/>
      </c>
      <c r="F19" s="29" t="n">
        <v>1000</v>
      </c>
      <c r="G19" s="327">
        <f>SUM(E19:F19)</f>
        <v/>
      </c>
      <c r="H19" s="51" t="n">
        <v>1056</v>
      </c>
      <c r="K19" s="26" t="inlineStr">
        <is>
          <t>ugadi flowers</t>
        </is>
      </c>
      <c r="L19" s="26" t="n">
        <v>350</v>
      </c>
    </row>
    <row r="20" ht="14.25" customHeight="1" s="366">
      <c r="A20" s="29" t="n"/>
      <c r="B20" s="29" t="n"/>
      <c r="C20" s="29" t="n"/>
      <c r="D20" s="29" t="n"/>
      <c r="E20" s="357">
        <f>SUM(E4:E19)</f>
        <v/>
      </c>
      <c r="F20" s="49">
        <f>SUM(F2:F19)</f>
        <v/>
      </c>
      <c r="G20" s="29">
        <f>SUM(E20:F20)</f>
        <v/>
      </c>
      <c r="H20" s="26">
        <f>SUM(H2:H19)</f>
        <v/>
      </c>
      <c r="I20" s="26" t="n"/>
      <c r="J20" s="26" t="n"/>
      <c r="K20" s="26" t="inlineStr">
        <is>
          <t>cheepuru,lizol</t>
        </is>
      </c>
      <c r="L20" s="26" t="n">
        <v>495</v>
      </c>
    </row>
    <row r="21" ht="14.25" customHeight="1" s="366">
      <c r="A21" s="29" t="n"/>
      <c r="B21" s="29" t="inlineStr">
        <is>
          <t>Total Usage Units</t>
        </is>
      </c>
      <c r="C21" s="29" t="n"/>
      <c r="D21" s="30">
        <f>SUM(D4:D20)</f>
        <v/>
      </c>
      <c r="E21" s="327" t="n"/>
      <c r="F21" s="29" t="n"/>
      <c r="G21" s="29" t="n"/>
      <c r="H21" s="330" t="n"/>
      <c r="I21" s="26" t="n"/>
      <c r="J21" s="26" t="n"/>
      <c r="K21" s="26" t="n"/>
      <c r="L21" s="26" t="n"/>
    </row>
    <row r="22" ht="14.25" customHeight="1" s="366">
      <c r="A22" s="29" t="n"/>
      <c r="B22" s="29" t="inlineStr">
        <is>
          <t>Per Lt cost</t>
        </is>
      </c>
      <c r="C22" s="29" t="inlineStr">
        <is>
          <t>Number of tankers/Number of litters</t>
        </is>
      </c>
      <c r="D22" s="29">
        <f>B23/D21</f>
        <v/>
      </c>
      <c r="E22" s="327" t="n"/>
      <c r="F22" s="29" t="n"/>
      <c r="G22" s="29" t="inlineStr">
        <is>
          <t>Balance</t>
        </is>
      </c>
      <c r="H22" s="330" t="n"/>
      <c r="I22" s="26" t="n"/>
      <c r="J22" s="26" t="n"/>
      <c r="K22" s="26" t="n"/>
      <c r="L22" s="26" t="n"/>
    </row>
    <row r="23" ht="14.25" customHeight="1" s="366">
      <c r="A23" s="29" t="inlineStr">
        <is>
          <t>Total Water Bill</t>
        </is>
      </c>
      <c r="B23" s="30" t="n">
        <v>5000</v>
      </c>
      <c r="C23" s="84" t="inlineStr">
        <is>
          <t xml:space="preserve">WATER Tankers(5) </t>
        </is>
      </c>
      <c r="D23" s="330" t="n"/>
      <c r="E23" s="330" t="n">
        <v>5000</v>
      </c>
      <c r="F23" s="29" t="n"/>
      <c r="G23" s="29" t="n"/>
      <c r="H23" s="330" t="n"/>
      <c r="I23" s="26" t="n"/>
      <c r="J23" s="26" t="n"/>
      <c r="K23" s="26" t="n"/>
      <c r="L23" s="26" t="n"/>
    </row>
    <row r="24" ht="14.25" customHeight="1" s="366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</row>
    <row r="25" ht="14.25" customHeight="1" s="366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inlineStr">
        <is>
          <t xml:space="preserve">Total </t>
        </is>
      </c>
      <c r="L25" s="26">
        <f>SUM(L15:L22)</f>
        <v/>
      </c>
    </row>
    <row r="26" ht="14.25" customHeight="1" s="366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</row>
    <row r="27" ht="14.25" customHeight="1" s="366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inlineStr">
        <is>
          <t>Apr Balance</t>
        </is>
      </c>
      <c r="L27" s="26">
        <f>L13-L25</f>
        <v/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ColWidth="14.42578125" defaultRowHeight="15" customHeight="1"/>
  <cols>
    <col width="19.140625" customWidth="1" style="366" min="1" max="1"/>
    <col width="22.42578125" customWidth="1" style="366" min="2" max="2"/>
    <col width="31.42578125" customWidth="1" style="366" min="3" max="3"/>
    <col width="12" customWidth="1" style="366" min="4" max="4"/>
    <col width="9.28515625" customWidth="1" style="366" min="5" max="5"/>
    <col width="19.28515625" customWidth="1" style="366" min="6" max="6"/>
    <col width="10.7109375" customWidth="1" style="366" min="7" max="7"/>
    <col width="14.28515625" customWidth="1" style="366" min="8" max="8"/>
    <col width="9.85546875" customWidth="1" style="366" min="9" max="10"/>
    <col width="19.7109375" customWidth="1" style="366" min="11" max="11"/>
    <col width="9.85546875" customWidth="1" style="366" min="12" max="12"/>
  </cols>
  <sheetData>
    <row r="1" ht="14.25" customHeight="1" s="366">
      <c r="A1" s="49" t="inlineStr">
        <is>
          <t>Flat Number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49" t="inlineStr">
        <is>
          <t>Total Units</t>
        </is>
      </c>
      <c r="E1" s="71" t="inlineStr">
        <is>
          <t>Water Bill</t>
        </is>
      </c>
      <c r="F1" s="29" t="inlineStr">
        <is>
          <t>CommonMaintanence</t>
        </is>
      </c>
      <c r="G1" s="327" t="inlineStr">
        <is>
          <t>Total to Pay</t>
        </is>
      </c>
      <c r="H1" s="49" t="inlineStr">
        <is>
          <t>Payment Status</t>
        </is>
      </c>
      <c r="I1" s="26" t="n"/>
      <c r="J1" s="26" t="n"/>
      <c r="K1" s="26" t="n"/>
      <c r="L1" s="26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50" t="inlineStr">
        <is>
          <t>NA</t>
        </is>
      </c>
      <c r="F2" s="29" t="n">
        <v>300</v>
      </c>
      <c r="G2" s="327">
        <f>SUM(E2:F2)</f>
        <v/>
      </c>
      <c r="H2" s="51" t="n">
        <v>300</v>
      </c>
      <c r="I2" s="26" t="n"/>
      <c r="J2" s="26" t="n"/>
      <c r="K2" s="26" t="n"/>
      <c r="L2" s="26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50" t="inlineStr">
        <is>
          <t>NA</t>
        </is>
      </c>
      <c r="F3" s="29" t="n">
        <v>300</v>
      </c>
      <c r="G3" s="327">
        <f>SUM(E3:F3)</f>
        <v/>
      </c>
      <c r="H3" s="51" t="n">
        <v>300</v>
      </c>
      <c r="I3" s="26" t="n"/>
      <c r="J3" s="26" t="n"/>
      <c r="K3" s="26" t="n"/>
      <c r="L3" s="26" t="n"/>
    </row>
    <row r="4" ht="14.25" customHeight="1" s="366">
      <c r="A4" s="73" t="inlineStr">
        <is>
          <t>G1</t>
        </is>
      </c>
      <c r="B4" s="30" t="n">
        <v>1.48</v>
      </c>
      <c r="C4" s="30" t="n">
        <v>1.8</v>
      </c>
      <c r="D4" s="29">
        <f>(C4-B4)*1000</f>
        <v/>
      </c>
      <c r="E4" s="50">
        <f>ROUND(D4*D22,0)</f>
        <v/>
      </c>
      <c r="F4" s="29" t="n">
        <v>800</v>
      </c>
      <c r="G4" s="327">
        <f>SUM(E4:F4)</f>
        <v/>
      </c>
      <c r="H4" s="51" t="n">
        <v>827</v>
      </c>
      <c r="I4" s="26" t="n"/>
      <c r="J4" s="26" t="n"/>
      <c r="K4" s="26" t="n"/>
      <c r="L4" s="26" t="n"/>
    </row>
    <row r="5" ht="14.25" customHeight="1" s="366">
      <c r="A5" s="32" t="inlineStr">
        <is>
          <t>G2</t>
        </is>
      </c>
      <c r="B5" s="29" t="n">
        <v>83.41</v>
      </c>
      <c r="C5" s="29" t="n">
        <v>84.55</v>
      </c>
      <c r="D5" s="29">
        <f>(C5-B5)*1000</f>
        <v/>
      </c>
      <c r="E5" s="50">
        <f>ROUND(D5*D22,0)</f>
        <v/>
      </c>
      <c r="F5" s="29" t="n">
        <v>1000</v>
      </c>
      <c r="G5" s="327">
        <f>SUM(E5:F5)</f>
        <v/>
      </c>
      <c r="H5" s="51" t="n">
        <v>1095</v>
      </c>
      <c r="I5" s="26" t="n"/>
      <c r="J5" s="26" t="n"/>
      <c r="K5" s="26" t="n"/>
      <c r="L5" s="26" t="n"/>
    </row>
    <row r="6" ht="14.25" customHeight="1" s="366">
      <c r="A6" s="32" t="inlineStr">
        <is>
          <t>G3</t>
        </is>
      </c>
      <c r="B6" s="29" t="n">
        <v>160.72</v>
      </c>
      <c r="C6" s="29" t="n">
        <v>160.72</v>
      </c>
      <c r="D6" s="29">
        <f>(C6-B6)*1000</f>
        <v/>
      </c>
      <c r="E6" s="50">
        <f>ROUND(D6*D22,0)</f>
        <v/>
      </c>
      <c r="F6" s="29" t="n">
        <v>1000</v>
      </c>
      <c r="G6" s="327">
        <f>SUM(E6:F6)</f>
        <v/>
      </c>
      <c r="H6" s="51" t="n">
        <v>1000</v>
      </c>
      <c r="I6" s="26" t="n"/>
      <c r="J6" s="26" t="n"/>
      <c r="K6" s="26" t="n"/>
      <c r="L6" s="26" t="n"/>
    </row>
    <row r="7" ht="14.25" customHeight="1" s="366">
      <c r="A7" s="32" t="inlineStr">
        <is>
          <t>G4</t>
        </is>
      </c>
      <c r="B7" s="29" t="n">
        <v>127.98</v>
      </c>
      <c r="C7" s="29" t="n">
        <v>136.16</v>
      </c>
      <c r="D7" s="29">
        <f>(C7-B7)*1000</f>
        <v/>
      </c>
      <c r="E7" s="50">
        <f>ROUND(D7*D22,0)</f>
        <v/>
      </c>
      <c r="F7" s="29" t="n">
        <v>1000</v>
      </c>
      <c r="G7" s="327">
        <f>SUM(E7:F7)</f>
        <v/>
      </c>
      <c r="H7" s="51" t="n">
        <v>1683</v>
      </c>
      <c r="I7" s="26" t="n"/>
      <c r="J7" s="26" t="n"/>
      <c r="K7" s="335" t="inlineStr">
        <is>
          <t>Type</t>
        </is>
      </c>
      <c r="L7" s="335" t="inlineStr">
        <is>
          <t>Amount</t>
        </is>
      </c>
    </row>
    <row r="8" ht="14.25" customHeight="1" s="366">
      <c r="A8" s="73" t="n">
        <v>101</v>
      </c>
      <c r="B8" s="29" t="n">
        <v>0.38</v>
      </c>
      <c r="C8" s="29" t="n">
        <v>0.38</v>
      </c>
      <c r="D8" s="29">
        <f>(C8-B8)*1000</f>
        <v/>
      </c>
      <c r="E8" s="50">
        <f>ROUND(D8*D22,0)</f>
        <v/>
      </c>
      <c r="F8" s="29" t="n">
        <v>800</v>
      </c>
      <c r="G8" s="327">
        <f>SUM(E8:F8)</f>
        <v/>
      </c>
      <c r="H8" s="51" t="n"/>
      <c r="I8" s="26" t="n"/>
      <c r="J8" s="26" t="n"/>
      <c r="K8" s="47" t="n"/>
      <c r="L8" s="26" t="n"/>
    </row>
    <row r="9" ht="14.25" customHeight="1" s="366">
      <c r="A9" s="32" t="n">
        <v>102</v>
      </c>
      <c r="B9" s="29" t="n">
        <v>226.22</v>
      </c>
      <c r="C9" s="29" t="n">
        <v>239.98</v>
      </c>
      <c r="D9" s="29">
        <f>(C9-B9)*1000</f>
        <v/>
      </c>
      <c r="E9" s="50">
        <f>ROUND(D9*D22,0)</f>
        <v/>
      </c>
      <c r="F9" s="29" t="n">
        <v>1000</v>
      </c>
      <c r="G9" s="327">
        <f>SUM(E9:F9)</f>
        <v/>
      </c>
      <c r="H9" s="51" t="n">
        <v>2148</v>
      </c>
      <c r="I9" s="26" t="n"/>
      <c r="J9" s="26" t="n"/>
      <c r="K9" s="26" t="inlineStr">
        <is>
          <t>Maintenance</t>
        </is>
      </c>
      <c r="L9" s="26">
        <f>SUM(H2:H19)</f>
        <v/>
      </c>
    </row>
    <row r="10" ht="14.25" customHeight="1" s="366">
      <c r="A10" s="75" t="n">
        <v>103</v>
      </c>
      <c r="B10" s="29" t="n">
        <v>5.74</v>
      </c>
      <c r="C10" s="29" t="n">
        <v>6.84</v>
      </c>
      <c r="D10" s="29">
        <f>(C10-B10)*1000</f>
        <v/>
      </c>
      <c r="E10" s="50">
        <f>ROUND(D10*D22,0)</f>
        <v/>
      </c>
      <c r="F10" s="29" t="n">
        <v>1000</v>
      </c>
      <c r="G10" s="327">
        <f>SUM(E10:F10)</f>
        <v/>
      </c>
      <c r="H10" s="51" t="n">
        <v>1092</v>
      </c>
      <c r="I10" s="26" t="n"/>
      <c r="J10" s="26" t="n"/>
      <c r="K10" s="26" t="n"/>
      <c r="L10" s="26" t="n"/>
    </row>
    <row r="11" ht="14.25" customHeight="1" s="366">
      <c r="A11" s="32" t="n">
        <v>104</v>
      </c>
      <c r="B11" s="29" t="n">
        <v>135.22</v>
      </c>
      <c r="C11" s="29" t="n">
        <v>148.77</v>
      </c>
      <c r="D11" s="29">
        <f>(C11-B11)*1000</f>
        <v/>
      </c>
      <c r="E11" s="50">
        <f>ROUND(D11*D22,0)</f>
        <v/>
      </c>
      <c r="F11" s="29" t="n">
        <v>1000</v>
      </c>
      <c r="G11" s="327">
        <f>SUM(E11:F11)</f>
        <v/>
      </c>
      <c r="H11" s="51" t="n">
        <v>2131</v>
      </c>
      <c r="I11" s="26" t="n"/>
      <c r="J11" s="26" t="n"/>
      <c r="K11" s="66" t="inlineStr">
        <is>
          <t>Amount received</t>
        </is>
      </c>
      <c r="L11" s="66" t="inlineStr">
        <is>
          <t> </t>
        </is>
      </c>
    </row>
    <row r="12" ht="14.25" customHeight="1" s="366">
      <c r="A12" s="78" t="n">
        <v>201</v>
      </c>
      <c r="B12" s="29" t="n">
        <v>1.59</v>
      </c>
      <c r="C12" s="29" t="n">
        <v>1.59</v>
      </c>
      <c r="D12" s="29">
        <f>(C12-B12)*1000</f>
        <v/>
      </c>
      <c r="E12" s="50">
        <f>ROUND(D12*D22,0)</f>
        <v/>
      </c>
      <c r="F12" s="29" t="n">
        <v>800</v>
      </c>
      <c r="G12" s="327">
        <f>SUM(E12:F12)</f>
        <v/>
      </c>
      <c r="H12" s="51" t="n">
        <v>800</v>
      </c>
      <c r="I12" s="26" t="n"/>
      <c r="J12" s="26" t="n"/>
      <c r="K12" s="26" t="inlineStr">
        <is>
          <t>April balance</t>
        </is>
      </c>
      <c r="L12" s="70" t="n">
        <v>18358</v>
      </c>
    </row>
    <row r="13" ht="14.25" customHeight="1" s="366">
      <c r="A13" s="32" t="n">
        <v>202</v>
      </c>
      <c r="B13" s="29" t="n">
        <v>155.29</v>
      </c>
      <c r="C13" s="29" t="n">
        <v>162.21</v>
      </c>
      <c r="D13" s="29">
        <f>(C13-B13)*1000</f>
        <v/>
      </c>
      <c r="E13" s="50">
        <f>ROUND(D13*D22,0)</f>
        <v/>
      </c>
      <c r="F13" s="29" t="n">
        <v>1000</v>
      </c>
      <c r="G13" s="327">
        <f>SUM(E13:F13)</f>
        <v/>
      </c>
      <c r="H13" s="51" t="n">
        <v>1577</v>
      </c>
      <c r="I13" s="26" t="n"/>
      <c r="J13" s="26" t="n"/>
      <c r="K13" s="55" t="inlineStr">
        <is>
          <t>Total</t>
        </is>
      </c>
      <c r="L13" s="55">
        <f>SUM(L9:L12)</f>
        <v/>
      </c>
    </row>
    <row r="14" ht="14.25" customHeight="1" s="366">
      <c r="A14" s="32" t="n">
        <v>203</v>
      </c>
      <c r="B14" s="29" t="n">
        <v>127.32</v>
      </c>
      <c r="C14" s="29" t="n">
        <v>136.78</v>
      </c>
      <c r="D14" s="29">
        <f>(C14-B14)*1000</f>
        <v/>
      </c>
      <c r="E14" s="50">
        <f>ROUND(D14*D22,0)</f>
        <v/>
      </c>
      <c r="F14" s="29" t="n">
        <v>1000</v>
      </c>
      <c r="G14" s="327">
        <f>SUM(E14:F14)</f>
        <v/>
      </c>
      <c r="H14" s="51" t="n">
        <v>1789</v>
      </c>
      <c r="I14" s="26" t="n"/>
      <c r="J14" s="26" t="n"/>
      <c r="K14" s="68" t="inlineStr">
        <is>
          <t>Expenditures</t>
        </is>
      </c>
      <c r="L14" s="26" t="n"/>
    </row>
    <row r="15" ht="14.25" customHeight="1" s="366">
      <c r="A15" s="32" t="n">
        <v>204</v>
      </c>
      <c r="B15" s="29" t="n">
        <v>88.68000000000001</v>
      </c>
      <c r="C15" s="29" t="n">
        <v>94.76000000000001</v>
      </c>
      <c r="D15" s="29">
        <f>(C15-B15)*1000</f>
        <v/>
      </c>
      <c r="E15" s="50">
        <f>ROUND(D15*D22,0)</f>
        <v/>
      </c>
      <c r="F15" s="29" t="n">
        <v>1000</v>
      </c>
      <c r="G15" s="327">
        <f>SUM(E15:F15)</f>
        <v/>
      </c>
      <c r="H15" s="51" t="n">
        <v>1507</v>
      </c>
      <c r="I15" s="26" t="n"/>
      <c r="J15" s="26" t="n"/>
      <c r="K15" s="26" t="inlineStr">
        <is>
          <t>Watchman</t>
        </is>
      </c>
      <c r="L15" s="26" t="n">
        <v>6500</v>
      </c>
    </row>
    <row r="16" ht="14.25" customHeight="1" s="366">
      <c r="A16" s="73" t="n">
        <v>301</v>
      </c>
      <c r="B16" s="29" t="n">
        <v>0.38</v>
      </c>
      <c r="C16" s="29" t="n">
        <v>0.38</v>
      </c>
      <c r="D16" s="29">
        <f>(C16-B16)*1000</f>
        <v/>
      </c>
      <c r="E16" s="50">
        <f>ROUND(D16*D22,0)</f>
        <v/>
      </c>
      <c r="F16" s="29" t="n">
        <v>800</v>
      </c>
      <c r="G16" s="327">
        <f>SUM(E16:F16)</f>
        <v/>
      </c>
      <c r="H16" s="51" t="n">
        <v>800</v>
      </c>
      <c r="I16" s="26" t="n"/>
      <c r="J16" s="26" t="n"/>
      <c r="K16" s="26" t="inlineStr">
        <is>
          <t>Manjeera bill</t>
        </is>
      </c>
      <c r="L16" s="26" t="n">
        <v>2044</v>
      </c>
    </row>
    <row r="17" ht="14.25" customHeight="1" s="366">
      <c r="A17" s="73" t="n">
        <v>302</v>
      </c>
      <c r="B17" s="29" t="n">
        <v>0.39</v>
      </c>
      <c r="C17" s="29" t="n">
        <v>0.39</v>
      </c>
      <c r="D17" s="29">
        <f>(C17-B17)*1000</f>
        <v/>
      </c>
      <c r="E17" s="50">
        <f>ROUND(D17*D22,0)</f>
        <v/>
      </c>
      <c r="F17" s="29" t="n">
        <v>800</v>
      </c>
      <c r="G17" s="327">
        <f>SUM(E17:F17)</f>
        <v/>
      </c>
      <c r="H17" s="51" t="n">
        <v>800</v>
      </c>
      <c r="I17" s="26" t="n"/>
      <c r="J17" s="26" t="n"/>
      <c r="K17" s="107" t="inlineStr">
        <is>
          <t>Electricity bill</t>
        </is>
      </c>
      <c r="L17" s="26" t="n">
        <v>1113</v>
      </c>
    </row>
    <row r="18" ht="14.25" customHeight="1" s="366">
      <c r="A18" s="32" t="n">
        <v>303</v>
      </c>
      <c r="B18" s="29" t="n">
        <v>369.47</v>
      </c>
      <c r="C18" s="29" t="n">
        <v>385.93</v>
      </c>
      <c r="D18" s="29">
        <f>(C18-B18)*1000</f>
        <v/>
      </c>
      <c r="E18" s="50">
        <f>ROUND(D18*D22,0)</f>
        <v/>
      </c>
      <c r="F18" s="29" t="n">
        <v>1000</v>
      </c>
      <c r="G18" s="327">
        <f>SUM(E18:F18)</f>
        <v/>
      </c>
      <c r="H18" s="51" t="n">
        <v>2374</v>
      </c>
      <c r="I18" s="26" t="n"/>
      <c r="J18" s="26" t="n"/>
      <c r="K18" s="26" t="inlineStr">
        <is>
          <t>Tankers</t>
        </is>
      </c>
      <c r="L18" s="26" t="n">
        <v>6600</v>
      </c>
    </row>
    <row r="19" ht="14.25" customHeight="1" s="366">
      <c r="A19" s="32" t="n">
        <v>304</v>
      </c>
      <c r="B19" s="30" t="n">
        <v>3.67</v>
      </c>
      <c r="C19" s="30" t="n">
        <v>14.18</v>
      </c>
      <c r="D19" s="29">
        <f>(C19-B19)*1000</f>
        <v/>
      </c>
      <c r="E19" s="50">
        <f>ROUND(D19*D22,0)</f>
        <v/>
      </c>
      <c r="F19" s="29" t="n">
        <v>1000</v>
      </c>
      <c r="G19" s="327">
        <f>SUM(E19:F19)</f>
        <v/>
      </c>
      <c r="H19" s="110" t="n">
        <v>1877</v>
      </c>
      <c r="I19" s="26" t="n"/>
      <c r="J19" s="26" t="n"/>
      <c r="K19" s="26" t="inlineStr">
        <is>
          <t xml:space="preserve">Lift maintainance </t>
        </is>
      </c>
      <c r="L19" s="26" t="n">
        <v>3000</v>
      </c>
    </row>
    <row r="20" ht="14.25" customHeight="1" s="366">
      <c r="A20" s="29" t="n"/>
      <c r="B20" s="29" t="n"/>
      <c r="C20" s="29" t="n"/>
      <c r="D20" s="29" t="n"/>
      <c r="E20" s="357">
        <f>SUM(E4:E19)</f>
        <v/>
      </c>
      <c r="F20" s="49">
        <f>SUM(F2:F19)</f>
        <v/>
      </c>
      <c r="G20" s="327">
        <f>SUM(E20:F20)</f>
        <v/>
      </c>
      <c r="H20" s="29">
        <f>SUM(H2:H19)</f>
        <v/>
      </c>
      <c r="I20" s="26" t="n"/>
      <c r="J20" s="26" t="n"/>
      <c r="K20" s="26" t="inlineStr">
        <is>
          <t>Lift Gear oil</t>
        </is>
      </c>
      <c r="L20" s="26" t="n">
        <v>2500</v>
      </c>
    </row>
    <row r="21" ht="14.25" customHeight="1" s="366">
      <c r="A21" s="29" t="n"/>
      <c r="B21" s="29" t="inlineStr">
        <is>
          <t>Total Usage Units</t>
        </is>
      </c>
      <c r="C21" s="29" t="n"/>
      <c r="D21" s="30">
        <f>SUM(D4:D20)</f>
        <v/>
      </c>
      <c r="E21" s="327" t="n"/>
      <c r="F21" s="29" t="n"/>
      <c r="G21" s="29" t="n"/>
      <c r="H21" s="330" t="n"/>
      <c r="I21" s="26" t="n"/>
      <c r="J21" s="26" t="n"/>
      <c r="K21" s="26" t="inlineStr">
        <is>
          <t>Two Bulbs</t>
        </is>
      </c>
      <c r="L21" s="26" t="n">
        <v>220</v>
      </c>
    </row>
    <row r="22" ht="14.25" customHeight="1" s="366">
      <c r="A22" s="29" t="n"/>
      <c r="B22" s="29" t="inlineStr">
        <is>
          <t>Per Lt cost</t>
        </is>
      </c>
      <c r="C22" s="29" t="inlineStr">
        <is>
          <t>Number of tankers/Number of litters</t>
        </is>
      </c>
      <c r="D22" s="29">
        <f>B23/D21</f>
        <v/>
      </c>
      <c r="E22" s="327" t="n"/>
      <c r="F22" s="29" t="n"/>
      <c r="G22" s="327" t="inlineStr">
        <is>
          <t>Balance</t>
        </is>
      </c>
      <c r="H22" s="29" t="n">
        <v>800</v>
      </c>
      <c r="I22" s="26" t="n"/>
      <c r="J22" s="26" t="n"/>
      <c r="K22" s="26" t="n"/>
      <c r="L22" s="26" t="n"/>
    </row>
    <row r="23" ht="14.25" customHeight="1" s="366">
      <c r="A23" s="29" t="inlineStr">
        <is>
          <t>Total Water Bill</t>
        </is>
      </c>
      <c r="B23" s="30" t="n">
        <v>7300</v>
      </c>
      <c r="C23" s="84" t="inlineStr">
        <is>
          <t xml:space="preserve">WATER Tankers(7) </t>
        </is>
      </c>
      <c r="D23" s="330" t="n"/>
      <c r="E23" s="330" t="n">
        <v>7300</v>
      </c>
      <c r="F23" s="29" t="n"/>
      <c r="G23" s="29" t="n"/>
      <c r="H23" s="330" t="n"/>
      <c r="I23" s="26" t="n"/>
      <c r="J23" s="26" t="n"/>
      <c r="K23" s="26" t="n"/>
      <c r="L23" s="26" t="n"/>
    </row>
    <row r="24" ht="14.25" customHeight="1" s="366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</row>
    <row r="25" ht="14.25" customHeight="1" s="366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inlineStr">
        <is>
          <t xml:space="preserve">Total </t>
        </is>
      </c>
      <c r="L25" s="26">
        <f>SUM(L15:L22)</f>
        <v/>
      </c>
    </row>
    <row r="26" ht="14.25" customHeight="1" s="366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</row>
    <row r="27" ht="14.25" customHeight="1" s="366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inlineStr">
        <is>
          <t>May Balance</t>
        </is>
      </c>
      <c r="L27" s="26">
        <f>L13-L25</f>
        <v/>
      </c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366" min="1" max="1"/>
    <col width="22.42578125" customWidth="1" style="366" min="2" max="2"/>
    <col width="31.42578125" customWidth="1" style="366" min="3" max="3"/>
    <col width="10.5703125" customWidth="1" style="366" min="4" max="4"/>
    <col width="9.85546875" customWidth="1" style="366" min="5" max="5"/>
    <col width="19.28515625" customWidth="1" style="366" min="6" max="6"/>
    <col width="10.7109375" customWidth="1" style="366" min="7" max="7"/>
    <col width="14.28515625" customWidth="1" style="366" min="8" max="8"/>
    <col width="9.140625" customWidth="1" style="366" min="9" max="10"/>
    <col width="19.7109375" customWidth="1" style="366" min="11" max="11"/>
    <col width="9.140625" customWidth="1" style="366" min="12" max="12"/>
  </cols>
  <sheetData>
    <row r="1" ht="14.25" customHeight="1" s="366">
      <c r="A1" s="49" t="inlineStr">
        <is>
          <t>Flat Number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49" t="inlineStr">
        <is>
          <t>Total Units</t>
        </is>
      </c>
      <c r="E1" s="71" t="inlineStr">
        <is>
          <t>Water Bill</t>
        </is>
      </c>
      <c r="F1" s="29" t="inlineStr">
        <is>
          <t>CommonMaintanence</t>
        </is>
      </c>
      <c r="G1" s="327" t="inlineStr">
        <is>
          <t>Total to Pay</t>
        </is>
      </c>
      <c r="H1" s="49" t="inlineStr">
        <is>
          <t>Payment Status</t>
        </is>
      </c>
      <c r="I1" s="26" t="n"/>
      <c r="J1" s="26" t="n"/>
      <c r="K1" s="26" t="n"/>
      <c r="L1" s="26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50" t="inlineStr">
        <is>
          <t>NA</t>
        </is>
      </c>
      <c r="F2" s="29" t="n">
        <v>300</v>
      </c>
      <c r="G2" s="327">
        <f>SUM(E2:F2)</f>
        <v/>
      </c>
      <c r="H2" s="51" t="n">
        <v>300</v>
      </c>
      <c r="I2" s="26" t="n"/>
      <c r="J2" s="26" t="n"/>
      <c r="K2" s="26" t="n"/>
      <c r="L2" s="26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50" t="inlineStr">
        <is>
          <t>NA</t>
        </is>
      </c>
      <c r="F3" s="29" t="n">
        <v>300</v>
      </c>
      <c r="G3" s="327">
        <f>SUM(E3:F3)</f>
        <v/>
      </c>
      <c r="H3" s="51" t="n">
        <v>300</v>
      </c>
      <c r="I3" s="26" t="n"/>
      <c r="J3" s="26" t="n"/>
      <c r="K3" s="26" t="n"/>
      <c r="L3" s="26" t="n"/>
    </row>
    <row r="4" ht="14.25" customHeight="1" s="366">
      <c r="A4" s="73" t="inlineStr">
        <is>
          <t>G1</t>
        </is>
      </c>
      <c r="B4" s="30" t="n">
        <v>1.8</v>
      </c>
      <c r="C4" s="30" t="n">
        <v>1.8</v>
      </c>
      <c r="D4" s="29">
        <f>(C4-B4)*1000</f>
        <v/>
      </c>
      <c r="E4" s="50">
        <f>ROUND(D4*D22,0)</f>
        <v/>
      </c>
      <c r="F4" s="29" t="n">
        <v>800</v>
      </c>
      <c r="G4" s="327">
        <f>SUM(E4:F4)</f>
        <v/>
      </c>
      <c r="H4" s="51" t="n">
        <v>800</v>
      </c>
      <c r="I4" s="26" t="n"/>
      <c r="J4" s="26" t="n"/>
      <c r="K4" s="26" t="n"/>
      <c r="L4" s="26" t="n"/>
    </row>
    <row r="5" ht="14.25" customHeight="1" s="366">
      <c r="A5" s="32" t="inlineStr">
        <is>
          <t>G2</t>
        </is>
      </c>
      <c r="B5" s="29" t="n">
        <v>84.55</v>
      </c>
      <c r="C5" s="29" t="n">
        <v>85.17</v>
      </c>
      <c r="D5" s="29">
        <f>(C5-B5)*1000</f>
        <v/>
      </c>
      <c r="E5" s="50">
        <f>ROUND(D5*D22,0)</f>
        <v/>
      </c>
      <c r="F5" s="29" t="n">
        <v>1000</v>
      </c>
      <c r="G5" s="327">
        <f>SUM(E5:F5)</f>
        <v/>
      </c>
      <c r="H5" s="51" t="n">
        <v>1042</v>
      </c>
      <c r="I5" s="26" t="n"/>
      <c r="J5" s="26" t="n"/>
      <c r="K5" s="26" t="n"/>
      <c r="L5" s="26" t="n"/>
    </row>
    <row r="6" ht="14.25" customHeight="1" s="366">
      <c r="A6" s="32" t="inlineStr">
        <is>
          <t>G3</t>
        </is>
      </c>
      <c r="B6" s="29" t="n">
        <v>160.72</v>
      </c>
      <c r="C6" s="29" t="n">
        <v>169.39</v>
      </c>
      <c r="D6" s="29">
        <f>(C6-B6)*1000</f>
        <v/>
      </c>
      <c r="E6" s="50">
        <f>ROUND(D6*D22,0)</f>
        <v/>
      </c>
      <c r="F6" s="29" t="n">
        <v>1000</v>
      </c>
      <c r="G6" s="327">
        <f>SUM(E6:F6)</f>
        <v/>
      </c>
      <c r="H6" s="51" t="n">
        <v>1586</v>
      </c>
      <c r="I6" s="26" t="n"/>
      <c r="J6" s="26" t="n"/>
      <c r="K6" s="26" t="n"/>
      <c r="L6" s="26" t="n"/>
    </row>
    <row r="7" ht="14.25" customHeight="1" s="366">
      <c r="A7" s="32" t="inlineStr">
        <is>
          <t>G4</t>
        </is>
      </c>
      <c r="B7" s="29" t="n">
        <v>136.16</v>
      </c>
      <c r="C7" s="29" t="n">
        <v>143.49</v>
      </c>
      <c r="D7" s="29">
        <f>(C7-B7)*1000</f>
        <v/>
      </c>
      <c r="E7" s="50">
        <f>ROUND(D7*D22,0)</f>
        <v/>
      </c>
      <c r="F7" s="29" t="n">
        <v>1000</v>
      </c>
      <c r="G7" s="327">
        <f>SUM(E7:F7)</f>
        <v/>
      </c>
      <c r="H7" s="51" t="n">
        <v>1496</v>
      </c>
      <c r="I7" s="26" t="n"/>
      <c r="J7" s="26" t="n"/>
      <c r="K7" s="335" t="inlineStr">
        <is>
          <t>Type</t>
        </is>
      </c>
      <c r="L7" s="335" t="inlineStr">
        <is>
          <t>Amount</t>
        </is>
      </c>
    </row>
    <row r="8" ht="14.25" customHeight="1" s="366">
      <c r="A8" s="73" t="n">
        <v>101</v>
      </c>
      <c r="B8" s="29" t="n">
        <v>0.38</v>
      </c>
      <c r="C8" s="29" t="n">
        <v>0.38</v>
      </c>
      <c r="D8" s="29">
        <f>(C8-B8)*1000</f>
        <v/>
      </c>
      <c r="E8" s="50">
        <f>ROUND(D8*D22,0)</f>
        <v/>
      </c>
      <c r="F8" s="29" t="n">
        <v>800</v>
      </c>
      <c r="G8" s="327" t="n">
        <v>1600</v>
      </c>
      <c r="H8" s="51" t="n">
        <v>800</v>
      </c>
      <c r="I8" s="26" t="n"/>
      <c r="J8" s="26" t="n"/>
      <c r="K8" s="47" t="n"/>
      <c r="L8" s="26" t="n"/>
    </row>
    <row r="9" ht="14.25" customHeight="1" s="366">
      <c r="A9" s="32" t="n">
        <v>102</v>
      </c>
      <c r="B9" s="29" t="n">
        <v>239.98</v>
      </c>
      <c r="C9" s="29" t="n">
        <v>252.26</v>
      </c>
      <c r="D9" s="29">
        <f>(C9-B9)*1000</f>
        <v/>
      </c>
      <c r="E9" s="50">
        <f>ROUND(D9*D22,0)</f>
        <v/>
      </c>
      <c r="F9" s="29" t="n">
        <v>1000</v>
      </c>
      <c r="G9" s="327">
        <f>SUM(E9:F9)</f>
        <v/>
      </c>
      <c r="H9" s="51" t="n">
        <v>1830</v>
      </c>
      <c r="I9" s="26" t="n"/>
      <c r="J9" s="26" t="n"/>
      <c r="K9" s="26" t="inlineStr">
        <is>
          <t>Maintenance</t>
        </is>
      </c>
      <c r="L9" s="26">
        <f>SUM(H2:H19)</f>
        <v/>
      </c>
    </row>
    <row r="10" ht="14.25" customHeight="1" s="366">
      <c r="A10" s="75" t="n">
        <v>103</v>
      </c>
      <c r="B10" s="29" t="n">
        <v>6.84</v>
      </c>
      <c r="C10" s="29" t="n">
        <v>6.84</v>
      </c>
      <c r="D10" s="29">
        <f>(C10-B10)*1000</f>
        <v/>
      </c>
      <c r="E10" s="50">
        <f>ROUND(D10*D22,0)</f>
        <v/>
      </c>
      <c r="F10" s="29" t="n">
        <v>1000</v>
      </c>
      <c r="G10" s="327">
        <f>SUM(E10:F10)</f>
        <v/>
      </c>
      <c r="H10" s="51" t="n">
        <v>1000</v>
      </c>
      <c r="I10" s="26" t="n"/>
      <c r="J10" s="26" t="n"/>
      <c r="K10" s="26" t="n"/>
      <c r="L10" s="26" t="n"/>
    </row>
    <row r="11" ht="14.25" customHeight="1" s="366">
      <c r="A11" s="32" t="n">
        <v>104</v>
      </c>
      <c r="B11" s="29" t="n">
        <v>148.77</v>
      </c>
      <c r="C11" s="29" t="n">
        <v>156.06</v>
      </c>
      <c r="D11" s="29">
        <f>(C11-B11)*1000</f>
        <v/>
      </c>
      <c r="E11" s="50">
        <f>ROUND(D11*D22,0)</f>
        <v/>
      </c>
      <c r="F11" s="29" t="n">
        <v>1000</v>
      </c>
      <c r="G11" s="327">
        <f>SUM(E11:F11)</f>
        <v/>
      </c>
      <c r="H11" s="51" t="n">
        <v>1493</v>
      </c>
      <c r="I11" s="26" t="n"/>
      <c r="J11" s="26" t="n"/>
      <c r="K11" s="66" t="inlineStr">
        <is>
          <t>Amount received</t>
        </is>
      </c>
      <c r="L11" s="66" t="inlineStr">
        <is>
          <t> </t>
        </is>
      </c>
    </row>
    <row r="12" ht="14.25" customHeight="1" s="366">
      <c r="A12" s="78" t="n">
        <v>201</v>
      </c>
      <c r="B12" s="29" t="n">
        <v>1.59</v>
      </c>
      <c r="C12" s="29" t="n">
        <v>1.59</v>
      </c>
      <c r="D12" s="29">
        <f>(C12-B12)*1000</f>
        <v/>
      </c>
      <c r="E12" s="50">
        <f>ROUND(D12*D22,0)</f>
        <v/>
      </c>
      <c r="F12" s="29" t="n">
        <v>800</v>
      </c>
      <c r="G12" s="327">
        <f>SUM(E12:F12)</f>
        <v/>
      </c>
      <c r="H12" s="51" t="n">
        <v>800</v>
      </c>
      <c r="I12" s="26" t="n"/>
      <c r="J12" s="26" t="n"/>
      <c r="K12" s="26" t="inlineStr">
        <is>
          <t>May balance</t>
        </is>
      </c>
      <c r="L12" s="70" t="n">
        <v>18481</v>
      </c>
    </row>
    <row r="13" ht="14.25" customHeight="1" s="366">
      <c r="A13" s="32" t="n">
        <v>202</v>
      </c>
      <c r="B13" s="29" t="n">
        <v>162.21</v>
      </c>
      <c r="C13" s="29" t="n">
        <v>170.22</v>
      </c>
      <c r="D13" s="29">
        <f>(C13-B13)*1000</f>
        <v/>
      </c>
      <c r="E13" s="50">
        <f>ROUND(D13*D22,0)</f>
        <v/>
      </c>
      <c r="F13" s="29" t="n">
        <v>1000</v>
      </c>
      <c r="G13" s="327">
        <f>SUM(E13:F13)</f>
        <v/>
      </c>
      <c r="H13" s="51" t="n">
        <v>1542</v>
      </c>
      <c r="I13" s="26" t="n"/>
      <c r="J13" s="26" t="n"/>
      <c r="K13" s="55" t="inlineStr">
        <is>
          <t>Total</t>
        </is>
      </c>
      <c r="L13" s="55">
        <f>SUM(L9:L12)</f>
        <v/>
      </c>
    </row>
    <row r="14" ht="14.25" customHeight="1" s="366">
      <c r="A14" s="32" t="n">
        <v>203</v>
      </c>
      <c r="B14" s="29" t="n">
        <v>136.78</v>
      </c>
      <c r="C14" s="29" t="n">
        <v>150.38</v>
      </c>
      <c r="D14" s="29">
        <f>(C14-B14)*1000</f>
        <v/>
      </c>
      <c r="E14" s="50">
        <f>ROUND(D14*D22,0)</f>
        <v/>
      </c>
      <c r="F14" s="29" t="n">
        <v>1000</v>
      </c>
      <c r="G14" s="327">
        <f>SUM(E14:F14)</f>
        <v/>
      </c>
      <c r="H14" s="51" t="n">
        <v>1920</v>
      </c>
      <c r="I14" s="26" t="n"/>
      <c r="J14" s="26" t="n"/>
      <c r="K14" s="68" t="inlineStr">
        <is>
          <t>Expenditures</t>
        </is>
      </c>
      <c r="L14" s="26" t="n"/>
    </row>
    <row r="15" ht="14.25" customHeight="1" s="366">
      <c r="A15" s="32" t="n">
        <v>204</v>
      </c>
      <c r="B15" s="29" t="n">
        <v>94.76000000000001</v>
      </c>
      <c r="C15" s="29" t="n">
        <v>99.15000000000001</v>
      </c>
      <c r="D15" s="29">
        <f>(C15-B15)*1000</f>
        <v/>
      </c>
      <c r="E15" s="50">
        <f>ROUND(D15*D22,0)</f>
        <v/>
      </c>
      <c r="F15" s="29" t="n">
        <v>1000</v>
      </c>
      <c r="G15" s="327">
        <f>SUM(E15:F15)</f>
        <v/>
      </c>
      <c r="H15" s="51" t="n">
        <v>1297</v>
      </c>
      <c r="I15" s="26" t="n"/>
      <c r="J15" s="26" t="n"/>
      <c r="K15" s="26" t="inlineStr">
        <is>
          <t>Watchman</t>
        </is>
      </c>
      <c r="L15" s="26" t="n">
        <v>7100</v>
      </c>
    </row>
    <row r="16" ht="14.25" customHeight="1" s="366">
      <c r="A16" s="73" t="n">
        <v>301</v>
      </c>
      <c r="B16" s="29" t="n">
        <v>0.38</v>
      </c>
      <c r="C16" s="29" t="n">
        <v>0.38</v>
      </c>
      <c r="D16" s="29">
        <f>(C16-B16)*1000</f>
        <v/>
      </c>
      <c r="E16" s="50">
        <f>ROUND(D16*D22,0)</f>
        <v/>
      </c>
      <c r="F16" s="29" t="n">
        <v>800</v>
      </c>
      <c r="G16" s="327">
        <f>SUM(E16:F16)</f>
        <v/>
      </c>
      <c r="H16" s="51" t="n">
        <v>800</v>
      </c>
      <c r="I16" s="26" t="n"/>
      <c r="J16" s="26" t="n"/>
      <c r="K16" s="26" t="inlineStr">
        <is>
          <t>Manjeera bill</t>
        </is>
      </c>
      <c r="L16" s="26" t="n">
        <v>2044</v>
      </c>
    </row>
    <row r="17" ht="14.25" customHeight="1" s="366">
      <c r="A17" s="73" t="n">
        <v>302</v>
      </c>
      <c r="B17" s="29" t="n">
        <v>0.39</v>
      </c>
      <c r="C17" s="29" t="n">
        <v>0.39</v>
      </c>
      <c r="D17" s="29">
        <f>(C17-B17)*1000</f>
        <v/>
      </c>
      <c r="E17" s="50">
        <f>ROUND(D17*D22,0)</f>
        <v/>
      </c>
      <c r="F17" s="29" t="n">
        <v>800</v>
      </c>
      <c r="G17" s="327">
        <f>SUM(E17:F17)</f>
        <v/>
      </c>
      <c r="H17" s="51" t="n">
        <v>800</v>
      </c>
      <c r="I17" s="26" t="n"/>
      <c r="J17" s="26" t="n"/>
      <c r="K17" s="107" t="inlineStr">
        <is>
          <t>Electricity bill</t>
        </is>
      </c>
      <c r="L17" s="26" t="n">
        <v>1603</v>
      </c>
    </row>
    <row r="18" ht="14.25" customHeight="1" s="366">
      <c r="A18" s="32" t="n">
        <v>303</v>
      </c>
      <c r="B18" s="29" t="n">
        <v>385.93</v>
      </c>
      <c r="C18" s="29" t="n">
        <v>409.58</v>
      </c>
      <c r="D18" s="29">
        <f>(C18-B18)*1000</f>
        <v/>
      </c>
      <c r="E18" s="50">
        <f>ROUND(D18*D22,0)</f>
        <v/>
      </c>
      <c r="F18" s="29" t="n">
        <v>1000</v>
      </c>
      <c r="G18" s="327">
        <f>SUM(E18:F18)</f>
        <v/>
      </c>
      <c r="H18" s="51" t="n">
        <v>2599</v>
      </c>
      <c r="I18" s="26" t="n"/>
      <c r="J18" s="26" t="n"/>
      <c r="K18" s="26" t="inlineStr">
        <is>
          <t>Tankers</t>
        </is>
      </c>
      <c r="L18" s="26" t="n">
        <v>8800</v>
      </c>
    </row>
    <row r="19" ht="14.25" customHeight="1" s="366">
      <c r="A19" s="32" t="n">
        <v>304</v>
      </c>
      <c r="B19" s="30" t="n">
        <v>14.18</v>
      </c>
      <c r="C19" s="30" t="n">
        <v>25.94</v>
      </c>
      <c r="D19" s="29">
        <f>(C19-B19)*1000</f>
        <v/>
      </c>
      <c r="E19" s="50">
        <f>ROUND(D19*D22,0)</f>
        <v/>
      </c>
      <c r="F19" s="29" t="n">
        <v>1000</v>
      </c>
      <c r="G19" s="327">
        <f>SUM(E19:F19)</f>
        <v/>
      </c>
      <c r="H19" s="110" t="n">
        <v>1795</v>
      </c>
      <c r="I19" s="26" t="n"/>
      <c r="J19" s="26" t="n"/>
      <c r="K19" s="26" t="inlineStr">
        <is>
          <t>Muggu+dust bin+mop sticks+grooms</t>
        </is>
      </c>
      <c r="L19" s="26" t="n">
        <v>640</v>
      </c>
    </row>
    <row r="20" ht="14.25" customHeight="1" s="366">
      <c r="A20" s="29" t="n"/>
      <c r="B20" s="29" t="n"/>
      <c r="C20" s="29" t="n"/>
      <c r="D20" s="29" t="n"/>
      <c r="E20" s="357">
        <f>SUM(E4:E19)</f>
        <v/>
      </c>
      <c r="F20" s="49">
        <f>SUM(F2:F19)</f>
        <v/>
      </c>
      <c r="G20" s="327">
        <f>SUM(E20:F20)</f>
        <v/>
      </c>
      <c r="H20" s="29">
        <f>SUM(H2:H19)</f>
        <v/>
      </c>
      <c r="I20" s="26" t="n"/>
      <c r="J20" s="26" t="n"/>
      <c r="K20" s="26" t="n"/>
      <c r="L20" s="26" t="n"/>
    </row>
    <row r="21" ht="14.25" customHeight="1" s="366">
      <c r="A21" s="29" t="n"/>
      <c r="B21" s="29" t="inlineStr">
        <is>
          <t>Total Usage Units</t>
        </is>
      </c>
      <c r="C21" s="29" t="n"/>
      <c r="D21" s="30">
        <f>SUM(D4:D20)</f>
        <v/>
      </c>
      <c r="E21" s="327" t="n"/>
      <c r="F21" s="29" t="n"/>
      <c r="G21" s="29" t="n"/>
      <c r="H21" s="330" t="n"/>
      <c r="I21" s="26" t="n"/>
      <c r="J21" s="26" t="n"/>
      <c r="K21" s="26" t="n"/>
      <c r="L21" s="26" t="n"/>
    </row>
    <row r="22" ht="14.25" customHeight="1" s="366">
      <c r="A22" s="29" t="n"/>
      <c r="B22" s="29" t="inlineStr">
        <is>
          <t>Per Lt cost</t>
        </is>
      </c>
      <c r="C22" s="29" t="inlineStr">
        <is>
          <t>Number of tankers/Number of litters</t>
        </is>
      </c>
      <c r="D22" s="111">
        <f>B23/D21</f>
        <v/>
      </c>
      <c r="E22" s="327" t="n"/>
      <c r="F22" s="29" t="n"/>
      <c r="G22" s="327" t="inlineStr">
        <is>
          <t>Balance</t>
        </is>
      </c>
      <c r="H22" s="29" t="n">
        <v>800</v>
      </c>
      <c r="I22" s="26" t="n"/>
      <c r="J22" s="26" t="n"/>
      <c r="K22" s="26" t="n"/>
      <c r="L22" s="26" t="n"/>
    </row>
    <row r="23" ht="14.25" customHeight="1" s="366">
      <c r="A23" s="29" t="inlineStr">
        <is>
          <t>Total Water Bill</t>
        </is>
      </c>
      <c r="B23" s="30" t="n">
        <v>6600</v>
      </c>
      <c r="C23" s="84" t="inlineStr">
        <is>
          <t xml:space="preserve">WATER Tankers(6) </t>
        </is>
      </c>
      <c r="D23" s="330" t="n"/>
      <c r="E23" s="330" t="n">
        <v>6600</v>
      </c>
      <c r="F23" s="29" t="n"/>
      <c r="G23" s="29" t="n"/>
      <c r="H23" s="330" t="n"/>
      <c r="I23" s="26" t="n"/>
      <c r="J23" s="26" t="n"/>
      <c r="K23" s="26" t="n"/>
      <c r="L23" s="26" t="n"/>
    </row>
    <row r="24" ht="14.25" customHeight="1" s="366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</row>
    <row r="25" ht="14.25" customHeight="1" s="366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inlineStr">
        <is>
          <t xml:space="preserve">Total </t>
        </is>
      </c>
      <c r="L25" s="26">
        <f>SUM(L15:L22)</f>
        <v/>
      </c>
    </row>
    <row r="26" ht="14.25" customHeight="1" s="366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</row>
    <row r="27" ht="14.25" customHeight="1" s="366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inlineStr">
        <is>
          <t>June Balance</t>
        </is>
      </c>
      <c r="L27" s="26">
        <f>L13-L25</f>
        <v/>
      </c>
    </row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366" min="1" max="1"/>
    <col width="22.42578125" customWidth="1" style="366" min="2" max="2"/>
    <col width="31.42578125" customWidth="1" style="366" min="3" max="3"/>
    <col width="10.5703125" customWidth="1" style="366" min="4" max="4"/>
    <col width="9.85546875" customWidth="1" style="366" min="5" max="5"/>
    <col width="19.28515625" customWidth="1" style="366" min="6" max="6"/>
    <col width="10.7109375" customWidth="1" style="366" min="7" max="7"/>
    <col width="14.28515625" customWidth="1" style="366" min="8" max="8"/>
    <col width="9.140625" customWidth="1" style="366" min="9" max="10"/>
    <col width="19.7109375" customWidth="1" style="366" min="11" max="11"/>
    <col width="9.140625" customWidth="1" style="366" min="12" max="12"/>
  </cols>
  <sheetData>
    <row r="1" ht="14.25" customHeight="1" s="366">
      <c r="A1" s="49" t="inlineStr">
        <is>
          <t>Flat Number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49" t="inlineStr">
        <is>
          <t>Total Units</t>
        </is>
      </c>
      <c r="E1" s="71" t="inlineStr">
        <is>
          <t>Water Bill</t>
        </is>
      </c>
      <c r="F1" s="29" t="inlineStr">
        <is>
          <t>CommonMaintanence</t>
        </is>
      </c>
      <c r="G1" s="327" t="inlineStr">
        <is>
          <t>Total to Pay</t>
        </is>
      </c>
      <c r="H1" s="49" t="inlineStr">
        <is>
          <t>Payment Status</t>
        </is>
      </c>
      <c r="I1" s="26" t="n"/>
      <c r="J1" s="26" t="n"/>
      <c r="K1" s="26" t="n"/>
      <c r="L1" s="26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50" t="inlineStr">
        <is>
          <t>NA</t>
        </is>
      </c>
      <c r="F2" s="29" t="n">
        <v>300</v>
      </c>
      <c r="G2" s="327">
        <f>SUM(E2:F2)</f>
        <v/>
      </c>
      <c r="H2" s="51" t="n">
        <v>300</v>
      </c>
      <c r="I2" s="26" t="n"/>
      <c r="J2" s="26" t="n"/>
      <c r="K2" s="26" t="n"/>
      <c r="L2" s="26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50" t="inlineStr">
        <is>
          <t>NA</t>
        </is>
      </c>
      <c r="F3" s="29" t="n">
        <v>300</v>
      </c>
      <c r="G3" s="327">
        <f>SUM(E3:F3)</f>
        <v/>
      </c>
      <c r="H3" s="51" t="n">
        <v>300</v>
      </c>
      <c r="I3" s="26" t="n"/>
      <c r="J3" s="26" t="n"/>
      <c r="K3" s="26" t="n"/>
      <c r="L3" s="26" t="n"/>
    </row>
    <row r="4" ht="14.25" customHeight="1" s="366">
      <c r="A4" s="32" t="inlineStr">
        <is>
          <t>G1</t>
        </is>
      </c>
      <c r="B4" s="30" t="n">
        <v>1.8</v>
      </c>
      <c r="C4" s="30" t="n">
        <v>4.3</v>
      </c>
      <c r="D4" s="29">
        <f>(C4-B4)*1000</f>
        <v/>
      </c>
      <c r="E4" s="50">
        <f>ROUND(D4*D22,0)</f>
        <v/>
      </c>
      <c r="F4" s="29" t="n">
        <v>1000</v>
      </c>
      <c r="G4" s="327">
        <f>SUM(E4:F4)</f>
        <v/>
      </c>
      <c r="H4" s="51" t="n">
        <v>1204</v>
      </c>
      <c r="I4" s="26" t="n"/>
      <c r="J4" s="26" t="n"/>
      <c r="K4" s="26" t="n"/>
      <c r="L4" s="26" t="n"/>
    </row>
    <row r="5" ht="14.25" customHeight="1" s="366">
      <c r="A5" s="32" t="inlineStr">
        <is>
          <t>G2</t>
        </is>
      </c>
      <c r="B5" s="29" t="n">
        <v>85.17</v>
      </c>
      <c r="C5" s="30" t="n">
        <v>92</v>
      </c>
      <c r="D5" s="29">
        <f>(C5-B5)*1000</f>
        <v/>
      </c>
      <c r="E5" s="50">
        <f>ROUND(D5*D22,0)</f>
        <v/>
      </c>
      <c r="F5" s="29" t="n">
        <v>1000</v>
      </c>
      <c r="G5" s="327">
        <f>SUM(E5:F5)</f>
        <v/>
      </c>
      <c r="H5" s="51" t="n">
        <v>1559</v>
      </c>
      <c r="I5" s="26" t="n"/>
      <c r="J5" s="26" t="n"/>
      <c r="K5" s="26" t="n"/>
      <c r="L5" s="26" t="n"/>
    </row>
    <row r="6" ht="14.25" customHeight="1" s="366">
      <c r="A6" s="32" t="inlineStr">
        <is>
          <t>G3</t>
        </is>
      </c>
      <c r="B6" s="29" t="n">
        <v>169.39</v>
      </c>
      <c r="C6" s="29" t="n">
        <v>178.23</v>
      </c>
      <c r="D6" s="29">
        <f>(C6-B6)*1000</f>
        <v/>
      </c>
      <c r="E6" s="50">
        <f>ROUND(D6*D22,0)</f>
        <v/>
      </c>
      <c r="F6" s="29" t="n">
        <v>1000</v>
      </c>
      <c r="G6" s="327">
        <f>SUM(E6:F6)</f>
        <v/>
      </c>
      <c r="H6" s="51" t="n">
        <v>1723</v>
      </c>
      <c r="I6" s="26" t="n"/>
      <c r="J6" s="26" t="n"/>
      <c r="K6" s="26" t="n"/>
      <c r="L6" s="26" t="n"/>
    </row>
    <row r="7" ht="14.25" customHeight="1" s="366">
      <c r="A7" s="32" t="inlineStr">
        <is>
          <t>G4</t>
        </is>
      </c>
      <c r="B7" s="29" t="n">
        <v>143.49</v>
      </c>
      <c r="C7" s="29" t="n">
        <v>156.14</v>
      </c>
      <c r="D7" s="29">
        <f>(C7-B7)*1000</f>
        <v/>
      </c>
      <c r="E7" s="50">
        <f>ROUND(D7*D22,0)</f>
        <v/>
      </c>
      <c r="F7" s="29" t="n">
        <v>1000</v>
      </c>
      <c r="G7" s="327">
        <f>SUM(E7:F7)</f>
        <v/>
      </c>
      <c r="H7" s="51" t="n">
        <v>2035</v>
      </c>
      <c r="I7" s="26" t="n"/>
      <c r="J7" s="26" t="n"/>
      <c r="K7" s="335" t="inlineStr">
        <is>
          <t>Type</t>
        </is>
      </c>
      <c r="L7" s="335" t="inlineStr">
        <is>
          <t>Amount</t>
        </is>
      </c>
    </row>
    <row r="8" ht="14.25" customHeight="1" s="366">
      <c r="A8" s="73" t="n">
        <v>101</v>
      </c>
      <c r="B8" s="29" t="n">
        <v>0.38</v>
      </c>
      <c r="C8" s="29" t="n">
        <v>0.38</v>
      </c>
      <c r="D8" s="29">
        <f>(C8-B8)*1000</f>
        <v/>
      </c>
      <c r="E8" s="50">
        <f>ROUND(D8*D22,0)</f>
        <v/>
      </c>
      <c r="F8" s="29" t="n">
        <v>800</v>
      </c>
      <c r="G8" s="327" t="n">
        <v>1600</v>
      </c>
      <c r="H8" s="51" t="n">
        <v>1600</v>
      </c>
      <c r="I8" s="26" t="n"/>
      <c r="J8" s="26" t="n"/>
      <c r="K8" s="47" t="n"/>
      <c r="L8" s="26" t="n"/>
    </row>
    <row r="9" ht="14.25" customHeight="1" s="366">
      <c r="A9" s="32" t="n">
        <v>102</v>
      </c>
      <c r="B9" s="29" t="n">
        <v>252.26</v>
      </c>
      <c r="C9" s="29" t="n">
        <v>265.82</v>
      </c>
      <c r="D9" s="29">
        <f>(C9-B9)*1000</f>
        <v/>
      </c>
      <c r="E9" s="50">
        <f>ROUND(D9*D22,0)</f>
        <v/>
      </c>
      <c r="F9" s="29" t="n">
        <v>1000</v>
      </c>
      <c r="G9" s="327">
        <f>SUM(E9:F9)</f>
        <v/>
      </c>
      <c r="H9" s="51" t="n">
        <v>2109</v>
      </c>
      <c r="I9" s="26" t="n"/>
      <c r="J9" s="26" t="n"/>
      <c r="K9" s="26" t="inlineStr">
        <is>
          <t>Maintenance</t>
        </is>
      </c>
      <c r="L9" s="26">
        <f>SUM(H2:H19)</f>
        <v/>
      </c>
    </row>
    <row r="10" ht="14.25" customHeight="1" s="366">
      <c r="A10" s="32" t="n">
        <v>103</v>
      </c>
      <c r="B10" s="29" t="n">
        <v>6.84</v>
      </c>
      <c r="C10" s="29" t="n">
        <v>15.92</v>
      </c>
      <c r="D10" s="29">
        <f>(C10-B10)*1000</f>
        <v/>
      </c>
      <c r="E10" s="50">
        <f>ROUND(D10*D22,0)</f>
        <v/>
      </c>
      <c r="F10" s="29" t="n">
        <v>1000</v>
      </c>
      <c r="G10" s="327">
        <f>SUM(E10:F10)</f>
        <v/>
      </c>
      <c r="H10" s="51" t="n">
        <v>1743</v>
      </c>
      <c r="I10" s="26" t="n"/>
      <c r="J10" s="26" t="n"/>
      <c r="K10" s="26" t="n"/>
      <c r="L10" s="26" t="n"/>
    </row>
    <row r="11" ht="14.25" customHeight="1" s="366">
      <c r="A11" s="32" t="n">
        <v>104</v>
      </c>
      <c r="B11" s="29" t="n">
        <v>156.06</v>
      </c>
      <c r="C11" s="29" t="n">
        <v>164.78</v>
      </c>
      <c r="D11" s="29">
        <f>(C11-B11)*1000</f>
        <v/>
      </c>
      <c r="E11" s="50">
        <f>ROUND(D11*D22,0)</f>
        <v/>
      </c>
      <c r="F11" s="29" t="n">
        <v>1000</v>
      </c>
      <c r="G11" s="327">
        <f>SUM(E11:F11)</f>
        <v/>
      </c>
      <c r="H11" s="51" t="n">
        <v>1713</v>
      </c>
      <c r="I11" s="26" t="n"/>
      <c r="J11" s="26" t="n"/>
      <c r="K11" s="66" t="inlineStr">
        <is>
          <t>Amount received</t>
        </is>
      </c>
      <c r="L11" s="66" t="inlineStr">
        <is>
          <t> </t>
        </is>
      </c>
    </row>
    <row r="12" ht="14.25" customHeight="1" s="366">
      <c r="A12" s="112" t="n">
        <v>201</v>
      </c>
      <c r="B12" s="29" t="n">
        <v>1.59</v>
      </c>
      <c r="C12" s="29" t="n">
        <v>1.79</v>
      </c>
      <c r="D12" s="29">
        <f>(C12-B12)*1000</f>
        <v/>
      </c>
      <c r="E12" s="50">
        <f>ROUND(D12*D22,0)</f>
        <v/>
      </c>
      <c r="F12" s="29" t="n">
        <v>800</v>
      </c>
      <c r="G12" s="327">
        <f>SUM(E12:F12)</f>
        <v/>
      </c>
      <c r="H12" s="51" t="n">
        <v>800</v>
      </c>
      <c r="I12" s="26" t="n"/>
      <c r="J12" s="26" t="n"/>
      <c r="K12" s="26" t="inlineStr">
        <is>
          <t>June balance</t>
        </is>
      </c>
      <c r="L12" s="70" t="n">
        <v>20494</v>
      </c>
    </row>
    <row r="13" ht="14.25" customHeight="1" s="366">
      <c r="A13" s="32" t="n">
        <v>202</v>
      </c>
      <c r="B13" s="29" t="n">
        <v>170.22</v>
      </c>
      <c r="C13" s="29" t="n">
        <v>173.14</v>
      </c>
      <c r="D13" s="29">
        <f>(C13-B13)*1000</f>
        <v/>
      </c>
      <c r="E13" s="50">
        <f>ROUND(D13*D22,0)</f>
        <v/>
      </c>
      <c r="F13" s="29" t="n">
        <v>1000</v>
      </c>
      <c r="G13" s="327">
        <f>SUM(E13:F13)</f>
        <v/>
      </c>
      <c r="H13" s="51" t="n">
        <v>1239</v>
      </c>
      <c r="I13" s="26" t="n"/>
      <c r="J13" s="26" t="n"/>
      <c r="K13" s="55" t="inlineStr">
        <is>
          <t>Total</t>
        </is>
      </c>
      <c r="L13" s="55">
        <f>SUM(L9:L12)</f>
        <v/>
      </c>
    </row>
    <row r="14" ht="14.25" customHeight="1" s="366">
      <c r="A14" s="32" t="n">
        <v>203</v>
      </c>
      <c r="B14" s="29" t="n">
        <v>150.38</v>
      </c>
      <c r="C14" s="29" t="n">
        <v>160.84</v>
      </c>
      <c r="D14" s="29">
        <f>(C14-B14)*1000</f>
        <v/>
      </c>
      <c r="E14" s="50">
        <f>ROUND(D14*D22,0)</f>
        <v/>
      </c>
      <c r="F14" s="29" t="n">
        <v>1000</v>
      </c>
      <c r="G14" s="327">
        <f>SUM(E14:F14)</f>
        <v/>
      </c>
      <c r="H14" s="51" t="n">
        <v>1856</v>
      </c>
      <c r="I14" s="26" t="n"/>
      <c r="J14" s="26" t="n"/>
      <c r="K14" s="68" t="inlineStr">
        <is>
          <t>Expenditures</t>
        </is>
      </c>
      <c r="L14" s="26" t="n"/>
    </row>
    <row r="15" ht="14.25" customHeight="1" s="366">
      <c r="A15" s="32" t="n">
        <v>204</v>
      </c>
      <c r="B15" s="29" t="n">
        <v>99.15000000000001</v>
      </c>
      <c r="C15" s="29" t="n">
        <v>105.75</v>
      </c>
      <c r="D15" s="29">
        <f>(C15-B15)*1000</f>
        <v/>
      </c>
      <c r="E15" s="50">
        <f>ROUND(D15*D22,0)</f>
        <v/>
      </c>
      <c r="F15" s="29" t="n">
        <v>1000</v>
      </c>
      <c r="G15" s="327">
        <f>SUM(E15:F15)</f>
        <v/>
      </c>
      <c r="H15" s="51" t="n">
        <v>1540</v>
      </c>
      <c r="I15" s="26" t="n"/>
      <c r="J15" s="26" t="n"/>
      <c r="K15" s="26" t="inlineStr">
        <is>
          <t>Watchman</t>
        </is>
      </c>
      <c r="L15" s="26" t="n">
        <v>6500</v>
      </c>
    </row>
    <row r="16" ht="14.25" customHeight="1" s="366">
      <c r="A16" s="73" t="n">
        <v>301</v>
      </c>
      <c r="B16" s="29" t="n">
        <v>0.38</v>
      </c>
      <c r="C16" s="29" t="n">
        <v>0.57</v>
      </c>
      <c r="D16" s="29">
        <f>(C16-B16)*1000</f>
        <v/>
      </c>
      <c r="E16" s="50">
        <f>ROUND(D16*D22,0)</f>
        <v/>
      </c>
      <c r="F16" s="29" t="n">
        <v>800</v>
      </c>
      <c r="G16" s="327">
        <f>SUM(E16:F16)</f>
        <v/>
      </c>
      <c r="H16" s="51" t="n">
        <v>800</v>
      </c>
      <c r="I16" s="26" t="n"/>
      <c r="J16" s="26" t="n"/>
      <c r="K16" s="26" t="inlineStr">
        <is>
          <t>Manjeera bill</t>
        </is>
      </c>
      <c r="L16" s="26" t="n">
        <v>2044</v>
      </c>
    </row>
    <row r="17" ht="14.25" customHeight="1" s="366">
      <c r="A17" s="73" t="n">
        <v>302</v>
      </c>
      <c r="B17" s="29" t="n">
        <v>0.39</v>
      </c>
      <c r="C17" s="29" t="n">
        <v>0.71</v>
      </c>
      <c r="D17" s="29">
        <f>(C17-B17)*1000</f>
        <v/>
      </c>
      <c r="E17" s="50">
        <f>ROUND(D17*D22,0)</f>
        <v/>
      </c>
      <c r="F17" s="29" t="n">
        <v>800</v>
      </c>
      <c r="G17" s="327">
        <f>SUM(E17:F17)</f>
        <v/>
      </c>
      <c r="H17" s="51" t="n">
        <v>800</v>
      </c>
      <c r="I17" s="26" t="n"/>
      <c r="J17" s="26" t="n"/>
      <c r="K17" s="107" t="inlineStr">
        <is>
          <t>Electricity bill</t>
        </is>
      </c>
      <c r="L17" s="26" t="n">
        <v>2409</v>
      </c>
    </row>
    <row r="18" ht="14.25" customHeight="1" s="366">
      <c r="A18" s="32" t="n">
        <v>303</v>
      </c>
      <c r="B18" s="29" t="n">
        <v>409.58</v>
      </c>
      <c r="C18" s="29" t="n">
        <v>423.98</v>
      </c>
      <c r="D18" s="29">
        <f>(C18-B18)*1000</f>
        <v/>
      </c>
      <c r="E18" s="50">
        <f>ROUND(D18*D22,0)</f>
        <v/>
      </c>
      <c r="F18" s="29" t="n">
        <v>1000</v>
      </c>
      <c r="G18" s="327">
        <f>SUM(E18:F18)</f>
        <v/>
      </c>
      <c r="H18" s="51" t="n">
        <v>2178</v>
      </c>
      <c r="I18" s="26" t="n"/>
      <c r="J18" s="26" t="n"/>
      <c r="K18" s="26" t="inlineStr">
        <is>
          <t>Tankers</t>
        </is>
      </c>
      <c r="L18" s="26" t="n">
        <v>9200</v>
      </c>
    </row>
    <row r="19" ht="14.25" customHeight="1" s="366">
      <c r="A19" s="32" t="n">
        <v>304</v>
      </c>
      <c r="B19" s="30" t="n">
        <v>25.94</v>
      </c>
      <c r="C19" s="30" t="n">
        <v>36.26</v>
      </c>
      <c r="D19" s="29">
        <f>(C19-B19)*1000</f>
        <v/>
      </c>
      <c r="E19" s="50">
        <f>ROUND(D19*D22,0)</f>
        <v/>
      </c>
      <c r="F19" s="29" t="n">
        <v>1000</v>
      </c>
      <c r="G19" s="327">
        <f>SUM(E19:F19)</f>
        <v/>
      </c>
      <c r="H19" s="110" t="n">
        <v>1844</v>
      </c>
      <c r="I19" s="26" t="n"/>
      <c r="J19" s="26" t="n"/>
      <c r="K19" s="26" t="inlineStr">
        <is>
          <t>Miscellaneous</t>
        </is>
      </c>
      <c r="L19" s="26" t="n">
        <v>2234</v>
      </c>
    </row>
    <row r="20" ht="14.25" customHeight="1" s="366">
      <c r="A20" s="29" t="n"/>
      <c r="B20" s="29" t="n"/>
      <c r="C20" s="29" t="n"/>
      <c r="D20" s="29" t="n"/>
      <c r="E20" s="357">
        <f>SUM(E4:E19)</f>
        <v/>
      </c>
      <c r="F20" s="49">
        <f>SUM(F2:F19)</f>
        <v/>
      </c>
      <c r="G20" s="327">
        <f>SUM(E20:F20)</f>
        <v/>
      </c>
      <c r="H20" s="29">
        <f>SUM(H2:H19)</f>
        <v/>
      </c>
      <c r="I20" s="26" t="n"/>
      <c r="J20" s="26" t="n"/>
      <c r="K20" s="26" t="inlineStr">
        <is>
          <t xml:space="preserve">Lift maintainance </t>
        </is>
      </c>
      <c r="L20" s="26" t="n"/>
    </row>
    <row r="21" ht="14.25" customHeight="1" s="366">
      <c r="A21" s="29" t="n"/>
      <c r="B21" s="29" t="inlineStr">
        <is>
          <t>Total Usage Units</t>
        </is>
      </c>
      <c r="C21" s="29" t="n"/>
      <c r="D21" s="30">
        <f>SUM(D4:D20)</f>
        <v/>
      </c>
      <c r="E21" s="327" t="n"/>
      <c r="F21" s="29" t="n"/>
      <c r="G21" s="29" t="n"/>
      <c r="H21" s="330" t="n"/>
      <c r="I21" s="26" t="n"/>
      <c r="J21" s="26" t="n"/>
      <c r="K21" s="26" t="n"/>
      <c r="L21" s="26" t="n"/>
    </row>
    <row r="22" ht="14.25" customHeight="1" s="366">
      <c r="A22" s="29" t="n"/>
      <c r="B22" s="29" t="inlineStr">
        <is>
          <t>Per Lt cost</t>
        </is>
      </c>
      <c r="C22" s="29" t="inlineStr">
        <is>
          <t>Number of tankers/Number of litters</t>
        </is>
      </c>
      <c r="D22" s="111">
        <f>B23/D21</f>
        <v/>
      </c>
      <c r="E22" s="327" t="n"/>
      <c r="F22" s="29" t="n"/>
      <c r="G22" s="327" t="inlineStr">
        <is>
          <t>Balance</t>
        </is>
      </c>
      <c r="H22" s="29" t="n">
        <v>800</v>
      </c>
      <c r="I22" s="26" t="n"/>
      <c r="J22" s="26" t="n"/>
      <c r="K22" s="26" t="n"/>
      <c r="L22" s="26" t="n"/>
    </row>
    <row r="23" ht="14.25" customHeight="1" s="366">
      <c r="A23" s="29" t="inlineStr">
        <is>
          <t>Total Water Bill</t>
        </is>
      </c>
      <c r="B23" s="30" t="n">
        <v>8800</v>
      </c>
      <c r="C23" s="84" t="inlineStr">
        <is>
          <t xml:space="preserve">WATER Tankers(8) </t>
        </is>
      </c>
      <c r="D23" s="330" t="n"/>
      <c r="E23" s="330" t="n">
        <v>8800</v>
      </c>
      <c r="F23" s="29" t="n"/>
      <c r="G23" s="29" t="n"/>
      <c r="H23" s="330" t="n"/>
      <c r="I23" s="26" t="n"/>
      <c r="J23" s="26" t="n"/>
      <c r="K23" s="26" t="n"/>
      <c r="L23" s="26" t="n"/>
    </row>
    <row r="24" ht="14.25" customHeight="1" s="366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</row>
    <row r="25" ht="14.25" customHeight="1" s="366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inlineStr">
        <is>
          <t xml:space="preserve">Total </t>
        </is>
      </c>
      <c r="L25" s="26">
        <f>SUM(L15:L22)</f>
        <v/>
      </c>
    </row>
    <row r="26" ht="14.25" customHeight="1" s="366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</row>
    <row r="27" ht="14.25" customHeight="1" s="366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inlineStr">
        <is>
          <t>Aug Balance</t>
        </is>
      </c>
      <c r="L27" s="26">
        <f>L13-L25</f>
        <v/>
      </c>
    </row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366" min="1" max="1"/>
    <col width="22.42578125" customWidth="1" style="366" min="2" max="2"/>
    <col width="31.42578125" customWidth="1" style="366" min="3" max="3"/>
    <col width="10.5703125" customWidth="1" style="366" min="4" max="4"/>
    <col width="9.85546875" customWidth="1" style="366" min="5" max="5"/>
    <col width="19.28515625" customWidth="1" style="366" min="6" max="6"/>
    <col width="10.7109375" customWidth="1" style="366" min="7" max="7"/>
    <col width="14.28515625" customWidth="1" style="366" min="8" max="8"/>
    <col width="9.140625" customWidth="1" style="366" min="9" max="10"/>
    <col width="19.7109375" customWidth="1" style="366" min="11" max="11"/>
    <col width="9.140625" customWidth="1" style="366" min="12" max="12"/>
  </cols>
  <sheetData>
    <row r="1" ht="14.25" customHeight="1" s="366">
      <c r="A1" s="49" t="inlineStr">
        <is>
          <t>Flat Number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49" t="inlineStr">
        <is>
          <t>Total Units</t>
        </is>
      </c>
      <c r="E1" s="71" t="inlineStr">
        <is>
          <t>Water Bill</t>
        </is>
      </c>
      <c r="F1" s="29" t="inlineStr">
        <is>
          <t>CommonMaintanence</t>
        </is>
      </c>
      <c r="G1" s="327" t="inlineStr">
        <is>
          <t>Total to Pay</t>
        </is>
      </c>
      <c r="H1" s="49" t="inlineStr">
        <is>
          <t>Payment Status</t>
        </is>
      </c>
      <c r="I1" s="26" t="n"/>
      <c r="J1" s="26" t="n"/>
      <c r="K1" s="26" t="n"/>
      <c r="L1" s="26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50" t="inlineStr">
        <is>
          <t>NA</t>
        </is>
      </c>
      <c r="F2" s="29" t="n">
        <v>300</v>
      </c>
      <c r="G2" s="327">
        <f>SUM(E2:F2)</f>
        <v/>
      </c>
      <c r="H2" s="51" t="n"/>
      <c r="I2" s="26" t="n"/>
      <c r="J2" s="26" t="n"/>
      <c r="K2" s="26" t="n"/>
      <c r="L2" s="26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50" t="inlineStr">
        <is>
          <t>NA</t>
        </is>
      </c>
      <c r="F3" s="29" t="n">
        <v>300</v>
      </c>
      <c r="G3" s="327">
        <f>SUM(E3:F3)</f>
        <v/>
      </c>
      <c r="H3" s="51" t="n"/>
      <c r="I3" s="26" t="n"/>
      <c r="J3" s="26" t="n"/>
      <c r="K3" s="26" t="n"/>
      <c r="L3" s="26" t="n"/>
    </row>
    <row r="4" ht="14.25" customHeight="1" s="366">
      <c r="A4" s="32" t="inlineStr">
        <is>
          <t>G1</t>
        </is>
      </c>
      <c r="B4" s="30" t="n">
        <v>4.3</v>
      </c>
      <c r="C4" s="30" t="n">
        <v>8.75</v>
      </c>
      <c r="D4" s="29">
        <f>(C4-B4)*1000</f>
        <v/>
      </c>
      <c r="E4" s="50">
        <f>ROUND(D4*D22,0)</f>
        <v/>
      </c>
      <c r="F4" s="29" t="n">
        <v>1000</v>
      </c>
      <c r="G4" s="327">
        <f>SUM(E4:F4)</f>
        <v/>
      </c>
      <c r="H4" s="51" t="n"/>
      <c r="I4" s="26" t="n"/>
      <c r="J4" s="26" t="n"/>
      <c r="K4" s="26" t="n"/>
      <c r="L4" s="26" t="n"/>
    </row>
    <row r="5" ht="14.25" customHeight="1" s="366">
      <c r="A5" s="32" t="inlineStr">
        <is>
          <t>G2</t>
        </is>
      </c>
      <c r="B5" s="30" t="n">
        <v>92</v>
      </c>
      <c r="C5" s="30" t="n">
        <v>98.62</v>
      </c>
      <c r="D5" s="29">
        <f>(C5-B5)*1000</f>
        <v/>
      </c>
      <c r="E5" s="50">
        <f>ROUND(D5*D22,0)</f>
        <v/>
      </c>
      <c r="F5" s="29" t="n">
        <v>1000</v>
      </c>
      <c r="G5" s="327">
        <f>SUM(E5:F5)</f>
        <v/>
      </c>
      <c r="H5" s="51" t="n"/>
      <c r="I5" s="26" t="n"/>
      <c r="J5" s="26" t="n"/>
      <c r="K5" s="26" t="n"/>
      <c r="L5" s="26" t="n"/>
    </row>
    <row r="6" ht="14.25" customHeight="1" s="366">
      <c r="A6" s="32" t="inlineStr">
        <is>
          <t>G3</t>
        </is>
      </c>
      <c r="B6" s="29" t="n">
        <v>178.23</v>
      </c>
      <c r="C6" s="29" t="n">
        <v>185.55</v>
      </c>
      <c r="D6" s="29">
        <f>(C6-B6)*1000</f>
        <v/>
      </c>
      <c r="E6" s="50">
        <f>ROUND(D6*D22,0)</f>
        <v/>
      </c>
      <c r="F6" s="29" t="n">
        <v>1000</v>
      </c>
      <c r="G6" s="327">
        <f>SUM(E6:F6)</f>
        <v/>
      </c>
      <c r="H6" s="51" t="n"/>
      <c r="I6" s="26" t="n"/>
      <c r="J6" s="26" t="n"/>
      <c r="K6" s="26" t="n"/>
      <c r="L6" s="26" t="n"/>
    </row>
    <row r="7" ht="14.25" customHeight="1" s="366">
      <c r="A7" s="32" t="inlineStr">
        <is>
          <t>G4</t>
        </is>
      </c>
      <c r="B7" s="29" t="n">
        <v>156.14</v>
      </c>
      <c r="C7" s="29" t="n">
        <v>161.92</v>
      </c>
      <c r="D7" s="29">
        <f>(C7-B7)*1000</f>
        <v/>
      </c>
      <c r="E7" s="50">
        <f>ROUND(D7*D22,0)</f>
        <v/>
      </c>
      <c r="F7" s="29" t="n">
        <v>1000</v>
      </c>
      <c r="G7" s="327">
        <f>SUM(E7:F7)</f>
        <v/>
      </c>
      <c r="H7" s="51" t="n"/>
      <c r="I7" s="26" t="n"/>
      <c r="J7" s="26" t="n"/>
      <c r="K7" s="335" t="inlineStr">
        <is>
          <t>Type</t>
        </is>
      </c>
      <c r="L7" s="335" t="inlineStr">
        <is>
          <t>Amount</t>
        </is>
      </c>
    </row>
    <row r="8" ht="14.25" customHeight="1" s="366">
      <c r="A8" s="73" t="n">
        <v>101</v>
      </c>
      <c r="B8" s="29" t="n">
        <v>0.38</v>
      </c>
      <c r="C8" s="29" t="n">
        <v>0.38</v>
      </c>
      <c r="D8" s="29">
        <f>(C8-B8)*1000</f>
        <v/>
      </c>
      <c r="E8" s="50">
        <f>ROUND(D8*D22,0)</f>
        <v/>
      </c>
      <c r="F8" s="29" t="n">
        <v>800</v>
      </c>
      <c r="G8" s="327" t="n">
        <v>800</v>
      </c>
      <c r="H8" s="51" t="n"/>
      <c r="I8" s="26" t="n"/>
      <c r="J8" s="26" t="n"/>
      <c r="K8" s="47" t="n"/>
      <c r="L8" s="26" t="n"/>
    </row>
    <row r="9" ht="14.25" customHeight="1" s="366">
      <c r="A9" s="32" t="n">
        <v>102</v>
      </c>
      <c r="B9" s="29" t="n">
        <v>265.82</v>
      </c>
      <c r="C9" s="29" t="n">
        <v>274.95</v>
      </c>
      <c r="D9" s="29">
        <f>(C9-B9)*1000</f>
        <v/>
      </c>
      <c r="E9" s="50">
        <f>ROUND(D9*D22,0)</f>
        <v/>
      </c>
      <c r="F9" s="29" t="n">
        <v>1000</v>
      </c>
      <c r="G9" s="327">
        <f>SUM(E9:F9)</f>
        <v/>
      </c>
      <c r="H9" s="51" t="n"/>
      <c r="I9" s="26" t="n"/>
      <c r="J9" s="26" t="n"/>
      <c r="K9" s="26" t="inlineStr">
        <is>
          <t>Maintenance</t>
        </is>
      </c>
      <c r="L9" s="26">
        <f>SUM(H2:H19)</f>
        <v/>
      </c>
    </row>
    <row r="10" ht="14.25" customHeight="1" s="366">
      <c r="A10" s="32" t="n">
        <v>103</v>
      </c>
      <c r="B10" s="29" t="n">
        <v>15.92</v>
      </c>
      <c r="C10" s="29" t="n">
        <v>17.83</v>
      </c>
      <c r="D10" s="29">
        <f>(C10-B10)*1000</f>
        <v/>
      </c>
      <c r="E10" s="50">
        <f>ROUND(D10*D22,0)</f>
        <v/>
      </c>
      <c r="F10" s="29" t="n">
        <v>1000</v>
      </c>
      <c r="G10" s="327">
        <f>SUM(E10:F10)</f>
        <v/>
      </c>
      <c r="H10" s="51" t="n"/>
      <c r="I10" s="26" t="n"/>
      <c r="J10" s="26" t="n"/>
      <c r="K10" s="26" t="n"/>
      <c r="L10" s="26" t="n"/>
    </row>
    <row r="11" ht="14.25" customHeight="1" s="366">
      <c r="A11" s="32" t="n">
        <v>104</v>
      </c>
      <c r="B11" s="29" t="n">
        <v>164.78</v>
      </c>
      <c r="C11" s="29" t="n">
        <v>175.61</v>
      </c>
      <c r="D11" s="29">
        <f>(C11-B11)*1000</f>
        <v/>
      </c>
      <c r="E11" s="50">
        <f>ROUND(D11*D22,0)</f>
        <v/>
      </c>
      <c r="F11" s="29" t="n">
        <v>1000</v>
      </c>
      <c r="G11" s="327">
        <f>SUM(E11:F11)</f>
        <v/>
      </c>
      <c r="H11" s="51" t="n"/>
      <c r="I11" s="26" t="n"/>
      <c r="J11" s="26" t="n"/>
      <c r="K11" s="66" t="inlineStr">
        <is>
          <t>Amount received</t>
        </is>
      </c>
      <c r="L11" s="66" t="inlineStr">
        <is>
          <t> </t>
        </is>
      </c>
    </row>
    <row r="12" ht="14.25" customHeight="1" s="366">
      <c r="A12" s="112" t="n">
        <v>201</v>
      </c>
      <c r="B12" s="29" t="n">
        <v>1.79</v>
      </c>
      <c r="C12" s="29" t="n">
        <v>1.79</v>
      </c>
      <c r="D12" s="29">
        <f>(C12-B12)*1000</f>
        <v/>
      </c>
      <c r="E12" s="50">
        <f>ROUND(D12*D22,0)</f>
        <v/>
      </c>
      <c r="F12" s="29" t="n">
        <v>800</v>
      </c>
      <c r="G12" s="327">
        <f>SUM(E12:F12)</f>
        <v/>
      </c>
      <c r="H12" s="51" t="n"/>
      <c r="I12" s="26" t="n"/>
      <c r="J12" s="26" t="n"/>
      <c r="K12" s="26" t="inlineStr">
        <is>
          <t>July balance</t>
        </is>
      </c>
      <c r="L12" s="70" t="n">
        <v>23450</v>
      </c>
    </row>
    <row r="13" ht="14.25" customHeight="1" s="366">
      <c r="A13" s="32" t="n">
        <v>202</v>
      </c>
      <c r="B13" s="29" t="n">
        <v>173.14</v>
      </c>
      <c r="C13" s="29" t="n">
        <v>178.54</v>
      </c>
      <c r="D13" s="29">
        <f>(C13-B13)*1000</f>
        <v/>
      </c>
      <c r="E13" s="50">
        <f>ROUND(D13*D22,0)</f>
        <v/>
      </c>
      <c r="F13" s="29" t="n">
        <v>1000</v>
      </c>
      <c r="G13" s="327">
        <f>SUM(E13:F13)</f>
        <v/>
      </c>
      <c r="H13" s="51" t="n"/>
      <c r="I13" s="26" t="n"/>
      <c r="J13" s="26" t="n"/>
      <c r="K13" s="55" t="inlineStr">
        <is>
          <t>Total</t>
        </is>
      </c>
      <c r="L13" s="55">
        <f>SUM(L9:L12)</f>
        <v/>
      </c>
    </row>
    <row r="14" ht="14.25" customHeight="1" s="366">
      <c r="A14" s="32" t="n">
        <v>203</v>
      </c>
      <c r="B14" s="29" t="n">
        <v>160.84</v>
      </c>
      <c r="C14" s="29" t="n">
        <v>169.26</v>
      </c>
      <c r="D14" s="29">
        <f>(C14-B14)*1000</f>
        <v/>
      </c>
      <c r="E14" s="50">
        <f>ROUND(D14*D22,0)</f>
        <v/>
      </c>
      <c r="F14" s="29" t="n">
        <v>1000</v>
      </c>
      <c r="G14" s="327">
        <f>SUM(E14:F14)</f>
        <v/>
      </c>
      <c r="H14" s="51" t="n"/>
      <c r="I14" s="26" t="n"/>
      <c r="J14" s="26" t="n"/>
      <c r="K14" s="68" t="inlineStr">
        <is>
          <t>Expenditures</t>
        </is>
      </c>
      <c r="L14" s="26" t="n"/>
    </row>
    <row r="15" ht="14.25" customHeight="1" s="366">
      <c r="A15" s="32" t="n">
        <v>204</v>
      </c>
      <c r="B15" s="29" t="n">
        <v>105.75</v>
      </c>
      <c r="C15" s="29" t="n">
        <v>111.5</v>
      </c>
      <c r="D15" s="29">
        <f>(C15-B15)*1000</f>
        <v/>
      </c>
      <c r="E15" s="50">
        <f>ROUND(D15*D22,0)</f>
        <v/>
      </c>
      <c r="F15" s="29" t="n">
        <v>1000</v>
      </c>
      <c r="G15" s="327">
        <f>SUM(E15:F15)</f>
        <v/>
      </c>
      <c r="H15" s="51" t="n"/>
      <c r="I15" s="26" t="n"/>
      <c r="J15" s="26" t="n"/>
      <c r="K15" s="26" t="inlineStr">
        <is>
          <t>Watchman</t>
        </is>
      </c>
      <c r="L15" s="26" t="n"/>
    </row>
    <row r="16" ht="14.25" customHeight="1" s="366">
      <c r="A16" s="73" t="n">
        <v>301</v>
      </c>
      <c r="B16" s="29" t="n">
        <v>0.57</v>
      </c>
      <c r="C16" s="29" t="n">
        <v>0.57</v>
      </c>
      <c r="D16" s="29">
        <f>(C16-B16)*1000</f>
        <v/>
      </c>
      <c r="E16" s="50">
        <f>ROUND(D16*D22,0)</f>
        <v/>
      </c>
      <c r="F16" s="29" t="n">
        <v>800</v>
      </c>
      <c r="G16" s="327">
        <f>SUM(E16:F16)</f>
        <v/>
      </c>
      <c r="H16" s="51" t="n"/>
      <c r="I16" s="26" t="n"/>
      <c r="J16" s="26" t="n"/>
      <c r="K16" s="26" t="inlineStr">
        <is>
          <t>Manjeera bill</t>
        </is>
      </c>
      <c r="L16" s="26" t="n"/>
    </row>
    <row r="17" ht="14.25" customHeight="1" s="366">
      <c r="A17" s="73" t="n">
        <v>302</v>
      </c>
      <c r="B17" s="29" t="n">
        <v>0.71</v>
      </c>
      <c r="C17" s="29" t="n">
        <v>0.71</v>
      </c>
      <c r="D17" s="29">
        <f>(C17-B17)*1000</f>
        <v/>
      </c>
      <c r="E17" s="50">
        <f>ROUND(D17*D22,0)</f>
        <v/>
      </c>
      <c r="F17" s="29" t="n">
        <v>800</v>
      </c>
      <c r="G17" s="327">
        <f>SUM(E17:F17)</f>
        <v/>
      </c>
      <c r="H17" s="51" t="n"/>
      <c r="I17" s="26" t="n"/>
      <c r="J17" s="26" t="n"/>
      <c r="K17" s="107" t="inlineStr">
        <is>
          <t>Electricity bill</t>
        </is>
      </c>
      <c r="L17" s="26" t="n"/>
    </row>
    <row r="18" ht="14.25" customHeight="1" s="366">
      <c r="A18" s="32" t="n">
        <v>303</v>
      </c>
      <c r="B18" s="29" t="n">
        <v>423.98</v>
      </c>
      <c r="C18" s="29" t="n">
        <v>439.21</v>
      </c>
      <c r="D18" s="29">
        <f>(C18-B18)*1000</f>
        <v/>
      </c>
      <c r="E18" s="50">
        <f>ROUND(D18*D22,0)</f>
        <v/>
      </c>
      <c r="F18" s="29" t="n">
        <v>1000</v>
      </c>
      <c r="G18" s="327">
        <f>SUM(E18:F18)</f>
        <v/>
      </c>
      <c r="H18" s="51" t="n"/>
      <c r="I18" s="26" t="n"/>
      <c r="J18" s="26" t="n"/>
      <c r="K18" s="26" t="inlineStr">
        <is>
          <t>Tankers</t>
        </is>
      </c>
      <c r="L18" s="26" t="n"/>
    </row>
    <row r="19" ht="14.25" customHeight="1" s="366">
      <c r="A19" s="32" t="n">
        <v>304</v>
      </c>
      <c r="B19" s="30" t="n">
        <v>36.26</v>
      </c>
      <c r="C19" s="30" t="n">
        <v>43.6</v>
      </c>
      <c r="D19" s="29">
        <f>(C19-B19)*1000</f>
        <v/>
      </c>
      <c r="E19" s="50">
        <f>ROUND(D19*D22,0)</f>
        <v/>
      </c>
      <c r="F19" s="29" t="n">
        <v>1000</v>
      </c>
      <c r="G19" s="327">
        <f>SUM(E19:F19)</f>
        <v/>
      </c>
      <c r="H19" s="110" t="n"/>
      <c r="I19" s="26" t="n"/>
      <c r="J19" s="26" t="n"/>
      <c r="K19" s="26" t="inlineStr">
        <is>
          <t xml:space="preserve">Lift maintainance </t>
        </is>
      </c>
      <c r="L19" s="26" t="n"/>
    </row>
    <row r="20" ht="14.25" customHeight="1" s="366">
      <c r="A20" s="29" t="n"/>
      <c r="B20" s="29" t="n"/>
      <c r="C20" s="29" t="n"/>
      <c r="D20" s="29" t="n"/>
      <c r="E20" s="357">
        <f>SUM(E4:E19)</f>
        <v/>
      </c>
      <c r="F20" s="49">
        <f>SUM(F2:F19)</f>
        <v/>
      </c>
      <c r="G20" s="327">
        <f>SUM(E20:F20)</f>
        <v/>
      </c>
      <c r="H20" s="22">
        <f>SUM(H2:H19)</f>
        <v/>
      </c>
      <c r="I20" s="26" t="n"/>
      <c r="J20" s="26" t="n"/>
      <c r="K20" s="26" t="n"/>
      <c r="L20" s="26" t="n"/>
    </row>
    <row r="21" ht="14.25" customHeight="1" s="366">
      <c r="A21" s="29" t="n"/>
      <c r="B21" s="29" t="inlineStr">
        <is>
          <t>Total Usage Units</t>
        </is>
      </c>
      <c r="C21" s="29" t="n"/>
      <c r="D21" s="30">
        <f>SUM(D4:D20)</f>
        <v/>
      </c>
      <c r="E21" s="327" t="n"/>
      <c r="F21" s="29" t="n"/>
      <c r="G21" s="29" t="n"/>
      <c r="H21" s="330" t="n"/>
      <c r="I21" s="26" t="n"/>
      <c r="J21" s="26" t="n"/>
      <c r="K21" s="26" t="n"/>
      <c r="L21" s="26" t="n"/>
    </row>
    <row r="22" ht="14.25" customHeight="1" s="366">
      <c r="A22" s="29" t="n"/>
      <c r="B22" s="29" t="inlineStr">
        <is>
          <t>Per Lt cost</t>
        </is>
      </c>
      <c r="C22" s="29" t="inlineStr">
        <is>
          <t>Number of tankers/Number of litters</t>
        </is>
      </c>
      <c r="D22" s="111">
        <f>B23/D21</f>
        <v/>
      </c>
      <c r="E22" s="327" t="n"/>
      <c r="F22" s="29" t="n"/>
      <c r="G22" s="327" t="inlineStr">
        <is>
          <t>Balance</t>
        </is>
      </c>
      <c r="H22" s="29" t="n">
        <v>58</v>
      </c>
      <c r="I22" s="26" t="n"/>
      <c r="J22" s="26" t="n"/>
      <c r="K22" s="26" t="n"/>
      <c r="L22" s="26" t="n"/>
    </row>
    <row r="23" ht="14.25" customHeight="1" s="366">
      <c r="A23" s="29" t="inlineStr">
        <is>
          <t>Total Water Bill</t>
        </is>
      </c>
      <c r="B23" s="30" t="n">
        <v>9200</v>
      </c>
      <c r="C23" s="84" t="inlineStr">
        <is>
          <t xml:space="preserve">WATER Tankers(9) </t>
        </is>
      </c>
      <c r="D23" s="330" t="n"/>
      <c r="E23" s="330" t="n">
        <v>9200</v>
      </c>
      <c r="F23" s="29" t="n"/>
      <c r="G23" s="29" t="n"/>
      <c r="H23" s="330" t="n"/>
      <c r="I23" s="26" t="n"/>
      <c r="J23" s="26" t="n"/>
      <c r="K23" s="26" t="n"/>
      <c r="L23" s="26" t="n"/>
    </row>
    <row r="24" ht="14.25" customHeight="1" s="366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</row>
    <row r="25" ht="14.25" customHeight="1" s="366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inlineStr">
        <is>
          <t xml:space="preserve">Total </t>
        </is>
      </c>
      <c r="L25" s="26">
        <f>SUM(L15:L22)</f>
        <v/>
      </c>
    </row>
    <row r="26" ht="14.25" customHeight="1" s="366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</row>
    <row r="27" ht="14.25" customHeight="1" s="366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inlineStr">
        <is>
          <t>July Balance</t>
        </is>
      </c>
      <c r="L27" s="26">
        <f>L13-L25</f>
        <v/>
      </c>
    </row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366" min="1" max="1"/>
    <col width="22.7109375" customWidth="1" style="366" min="2" max="2"/>
    <col width="34.5703125" customWidth="1" style="366" min="3" max="3"/>
    <col width="10.5703125" customWidth="1" style="366" min="4" max="4"/>
    <col width="9.85546875" customWidth="1" style="366" min="5" max="5"/>
    <col width="20.85546875" customWidth="1" style="366" min="6" max="6"/>
    <col width="11.7109375" customWidth="1" style="366" min="7" max="7"/>
    <col width="14.85546875" customWidth="1" style="366" min="8" max="8"/>
    <col width="26.5703125" customWidth="1" style="366" min="9" max="9"/>
    <col width="21.85546875" customWidth="1" style="366" min="10" max="10"/>
    <col width="23.140625" customWidth="1" style="366" min="11" max="11"/>
    <col width="8.7109375" customWidth="1" style="366" min="12" max="12"/>
  </cols>
  <sheetData>
    <row r="1" ht="14.25" customHeight="1" s="366">
      <c r="A1" s="49" t="inlineStr">
        <is>
          <t>Flat Number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49" t="inlineStr">
        <is>
          <t>Total Units</t>
        </is>
      </c>
      <c r="E1" s="113" t="inlineStr">
        <is>
          <t>Water Bill</t>
        </is>
      </c>
      <c r="F1" s="29" t="inlineStr">
        <is>
          <t>CommonMaintanence</t>
        </is>
      </c>
      <c r="G1" s="29" t="inlineStr">
        <is>
          <t>Total to Pay</t>
        </is>
      </c>
      <c r="H1" s="49" t="inlineStr">
        <is>
          <t>Payment Status</t>
        </is>
      </c>
      <c r="I1" s="114" t="inlineStr">
        <is>
          <t xml:space="preserve">Received on </t>
        </is>
      </c>
      <c r="L1" s="1" t="n">
        <v>24913</v>
      </c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SUM(E2:F2)</f>
        <v/>
      </c>
      <c r="H2" s="51" t="n">
        <v>300</v>
      </c>
      <c r="I2" s="114" t="inlineStr">
        <is>
          <t>9th sep</t>
        </is>
      </c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>
        <f>SUM(E3:F3)</f>
        <v/>
      </c>
      <c r="H3" s="51" t="n">
        <v>300</v>
      </c>
      <c r="I3" s="114" t="inlineStr">
        <is>
          <t>18th sep</t>
        </is>
      </c>
    </row>
    <row r="4" ht="14.25" customHeight="1" s="366">
      <c r="A4" s="32" t="inlineStr">
        <is>
          <t>G1</t>
        </is>
      </c>
      <c r="B4" s="30" t="n">
        <v>8.75</v>
      </c>
      <c r="C4" s="30" t="n">
        <v>14.25</v>
      </c>
      <c r="D4" s="29">
        <f>(C4-B4)*1000</f>
        <v/>
      </c>
      <c r="E4" s="64">
        <f>ROUND(D4*D23,0)</f>
        <v/>
      </c>
      <c r="F4" s="29" t="n">
        <v>1000</v>
      </c>
      <c r="G4" s="29">
        <f>SUM(E4:F4)</f>
        <v/>
      </c>
      <c r="H4" s="51" t="n">
        <v>1404</v>
      </c>
      <c r="I4" s="114" t="inlineStr">
        <is>
          <t>4th sep</t>
        </is>
      </c>
    </row>
    <row r="5" ht="14.25" customHeight="1" s="366">
      <c r="A5" s="32" t="inlineStr">
        <is>
          <t>G2</t>
        </is>
      </c>
      <c r="B5" s="30" t="n">
        <v>98.62</v>
      </c>
      <c r="C5" s="30" t="n">
        <v>105.49</v>
      </c>
      <c r="D5" s="29">
        <f>(C5-B5)*1000</f>
        <v/>
      </c>
      <c r="E5" s="64">
        <f>ROUND(D5*D23,0)</f>
        <v/>
      </c>
      <c r="F5" s="29" t="n">
        <v>1000</v>
      </c>
      <c r="G5" s="29">
        <f>SUM(E5:F5)</f>
        <v/>
      </c>
      <c r="H5" s="51" t="n">
        <v>1504</v>
      </c>
      <c r="I5" s="114" t="inlineStr">
        <is>
          <t>10th sep</t>
        </is>
      </c>
    </row>
    <row r="6" ht="14.25" customHeight="1" s="366">
      <c r="A6" s="32" t="inlineStr">
        <is>
          <t>G3</t>
        </is>
      </c>
      <c r="B6" s="29" t="n">
        <v>185.55</v>
      </c>
      <c r="C6" s="29" t="n">
        <v>194.82</v>
      </c>
      <c r="D6" s="29">
        <f>(C6-B6)*1000</f>
        <v/>
      </c>
      <c r="E6" s="64">
        <f>ROUND(D6*D23,0)</f>
        <v/>
      </c>
      <c r="F6" s="29" t="n">
        <v>1000</v>
      </c>
      <c r="G6" s="29">
        <f>SUM(E6:F6)</f>
        <v/>
      </c>
      <c r="H6" s="51" t="n">
        <v>1680</v>
      </c>
      <c r="I6" s="114" t="inlineStr">
        <is>
          <t>4th sep</t>
        </is>
      </c>
    </row>
    <row r="7" ht="14.25" customHeight="1" s="366">
      <c r="A7" s="32" t="inlineStr">
        <is>
          <t>G4</t>
        </is>
      </c>
      <c r="B7" s="29" t="n">
        <v>161.92</v>
      </c>
      <c r="C7" s="29" t="n">
        <v>167.17</v>
      </c>
      <c r="D7" s="29">
        <f>(C7-B7)*1000</f>
        <v/>
      </c>
      <c r="E7" s="64">
        <f>ROUND(D7*D23,0)</f>
        <v/>
      </c>
      <c r="F7" s="29" t="n">
        <v>1000</v>
      </c>
      <c r="G7" s="29">
        <f>SUM(E7:F7)</f>
        <v/>
      </c>
      <c r="H7" s="51" t="n">
        <v>1385</v>
      </c>
      <c r="I7" s="114" t="inlineStr">
        <is>
          <t>4th sep</t>
        </is>
      </c>
      <c r="J7" s="49" t="inlineStr">
        <is>
          <t>Type</t>
        </is>
      </c>
      <c r="K7" s="49" t="inlineStr">
        <is>
          <t>Amount</t>
        </is>
      </c>
    </row>
    <row r="8" ht="14.25" customHeight="1" s="366">
      <c r="A8" s="73" t="n">
        <v>101</v>
      </c>
      <c r="B8" s="29" t="n">
        <v>0.38</v>
      </c>
      <c r="C8" s="29" t="n">
        <v>0.38</v>
      </c>
      <c r="D8" s="29">
        <f>(C8-B8)*1000</f>
        <v/>
      </c>
      <c r="E8" s="64">
        <f>ROUND(D8*D23,0)</f>
        <v/>
      </c>
      <c r="F8" s="64" t="n">
        <v>1000</v>
      </c>
      <c r="G8" s="29">
        <f>SUM(E8:F8)</f>
        <v/>
      </c>
      <c r="H8" s="51" t="n">
        <v>1000</v>
      </c>
      <c r="I8" s="114" t="inlineStr">
        <is>
          <t>1st oct</t>
        </is>
      </c>
      <c r="J8" s="115" t="n"/>
      <c r="K8" s="22" t="n"/>
    </row>
    <row r="9" ht="14.25" customHeight="1" s="366">
      <c r="A9" s="32" t="n">
        <v>102</v>
      </c>
      <c r="B9" s="29" t="n">
        <v>274.95</v>
      </c>
      <c r="C9" s="29" t="n">
        <v>286.02</v>
      </c>
      <c r="D9" s="29">
        <f>(C9-B9)*1000</f>
        <v/>
      </c>
      <c r="E9" s="64">
        <f>ROUND(D9*D23,0)</f>
        <v/>
      </c>
      <c r="F9" s="29" t="n">
        <v>1000</v>
      </c>
      <c r="G9" s="29">
        <f>SUM(E9:F9)</f>
        <v/>
      </c>
      <c r="H9" s="51" t="n">
        <v>1813</v>
      </c>
      <c r="I9" s="114" t="inlineStr">
        <is>
          <t>4th sep</t>
        </is>
      </c>
      <c r="J9" s="22" t="inlineStr">
        <is>
          <t>Maintenance</t>
        </is>
      </c>
      <c r="K9" s="22" t="n"/>
    </row>
    <row r="10" ht="14.25" customHeight="1" s="366">
      <c r="A10" s="32" t="n">
        <v>103</v>
      </c>
      <c r="B10" s="29" t="n">
        <v>17.83</v>
      </c>
      <c r="C10" s="29" t="n">
        <v>23.39</v>
      </c>
      <c r="D10" s="29">
        <f>(C10-B10)*1000</f>
        <v/>
      </c>
      <c r="E10" s="64">
        <f>ROUND(D10*D23,0)</f>
        <v/>
      </c>
      <c r="F10" s="29" t="n">
        <v>1000</v>
      </c>
      <c r="G10" s="29">
        <f>SUM(E10:F10)</f>
        <v/>
      </c>
      <c r="H10" s="51" t="n">
        <v>1408</v>
      </c>
      <c r="I10" s="114" t="inlineStr">
        <is>
          <t>7th sep</t>
        </is>
      </c>
      <c r="J10" s="22" t="n"/>
      <c r="K10" s="22" t="n"/>
    </row>
    <row r="11" ht="14.25" customHeight="1" s="366">
      <c r="A11" s="32" t="n">
        <v>104</v>
      </c>
      <c r="B11" s="29" t="n">
        <v>175.61</v>
      </c>
      <c r="C11" s="29" t="n">
        <v>187.54</v>
      </c>
      <c r="D11" s="29">
        <f>(C11-B11)*1000</f>
        <v/>
      </c>
      <c r="E11" s="64">
        <f>ROUND(D11*D23,0)</f>
        <v/>
      </c>
      <c r="F11" s="29" t="n">
        <v>1000</v>
      </c>
      <c r="G11" s="29">
        <f>SUM(E11:F11)</f>
        <v/>
      </c>
      <c r="H11" s="51" t="n">
        <v>1876</v>
      </c>
      <c r="I11" s="114" t="inlineStr">
        <is>
          <t>4th sep</t>
        </is>
      </c>
      <c r="J11" s="116" t="inlineStr">
        <is>
          <t>Amount received</t>
        </is>
      </c>
      <c r="K11" s="116" t="inlineStr">
        <is>
          <t> </t>
        </is>
      </c>
    </row>
    <row r="12" ht="14.25" customHeight="1" s="366">
      <c r="A12" s="112" t="n">
        <v>201</v>
      </c>
      <c r="B12" s="29" t="n">
        <v>1.79</v>
      </c>
      <c r="C12" s="29" t="n">
        <v>1.79</v>
      </c>
      <c r="D12" s="29">
        <f>(C12-B12)*1000</f>
        <v/>
      </c>
      <c r="E12" s="64">
        <f>ROUND(D12*D23,0)</f>
        <v/>
      </c>
      <c r="F12" s="64" t="n">
        <v>1000</v>
      </c>
      <c r="G12" s="29">
        <f>SUM(E12:F12)</f>
        <v/>
      </c>
      <c r="H12" s="51" t="n">
        <v>1000</v>
      </c>
      <c r="I12" s="114" t="inlineStr">
        <is>
          <t>1st oct</t>
        </is>
      </c>
      <c r="J12" s="22" t="inlineStr">
        <is>
          <t>Aug Balnce</t>
        </is>
      </c>
      <c r="K12" s="31" t="n">
        <v>24372</v>
      </c>
    </row>
    <row r="13" ht="14.25" customHeight="1" s="366">
      <c r="A13" s="32" t="n">
        <v>202</v>
      </c>
      <c r="B13" s="29" t="n">
        <v>178.54</v>
      </c>
      <c r="C13" s="29" t="n">
        <v>183.71</v>
      </c>
      <c r="D13" s="29">
        <f>(C13-B13)*1000</f>
        <v/>
      </c>
      <c r="E13" s="64">
        <f>ROUND(D13*D23,0)</f>
        <v/>
      </c>
      <c r="F13" s="29" t="n">
        <v>1000</v>
      </c>
      <c r="G13" s="29">
        <f>SUM(E13:F13)</f>
        <v/>
      </c>
      <c r="H13" s="51" t="n">
        <v>1379</v>
      </c>
      <c r="I13" s="114" t="inlineStr">
        <is>
          <t>4th sep</t>
        </is>
      </c>
      <c r="J13" s="117" t="inlineStr">
        <is>
          <t>Total</t>
        </is>
      </c>
      <c r="K13" s="117">
        <f>SUM(K9:K12)</f>
        <v/>
      </c>
    </row>
    <row r="14" ht="14.25" customHeight="1" s="366">
      <c r="A14" s="32" t="n">
        <v>203</v>
      </c>
      <c r="B14" s="29" t="n">
        <v>169.26</v>
      </c>
      <c r="C14" s="29" t="n">
        <v>180.26</v>
      </c>
      <c r="D14" s="29">
        <f>(C14-B14)*1000</f>
        <v/>
      </c>
      <c r="E14" s="64">
        <f>ROUND(D14*D23,0)</f>
        <v/>
      </c>
      <c r="F14" s="29" t="n">
        <v>1000</v>
      </c>
      <c r="G14" s="29">
        <f>SUM(E14:F14)</f>
        <v/>
      </c>
      <c r="H14" s="51" t="n">
        <v>1807</v>
      </c>
      <c r="I14" s="114" t="inlineStr">
        <is>
          <t>4th sep</t>
        </is>
      </c>
      <c r="J14" s="60" t="inlineStr">
        <is>
          <t>Expenditures</t>
        </is>
      </c>
      <c r="K14" s="368" t="n"/>
    </row>
    <row r="15" ht="14.25" customHeight="1" s="366">
      <c r="A15" s="32" t="n">
        <v>204</v>
      </c>
      <c r="B15" s="29" t="n">
        <v>111.5</v>
      </c>
      <c r="C15" s="29" t="n">
        <v>116.95</v>
      </c>
      <c r="D15" s="29">
        <f>(C15-B15)*1000</f>
        <v/>
      </c>
      <c r="E15" s="64">
        <f>ROUND(D15*D23,0)</f>
        <v/>
      </c>
      <c r="F15" s="29" t="n">
        <v>1000</v>
      </c>
      <c r="G15" s="29">
        <f>SUM(E15:F15)</f>
        <v/>
      </c>
      <c r="H15" s="51" t="n">
        <v>1400</v>
      </c>
      <c r="I15" s="114" t="inlineStr">
        <is>
          <t xml:space="preserve">6th sep </t>
        </is>
      </c>
      <c r="J15" s="114" t="inlineStr">
        <is>
          <t>Muggu @ 2nd Sep</t>
        </is>
      </c>
      <c r="K15" s="114" t="n">
        <v>100</v>
      </c>
    </row>
    <row r="16" ht="14.25" customHeight="1" s="366">
      <c r="A16" s="73" t="n">
        <v>301</v>
      </c>
      <c r="B16" s="29" t="n">
        <v>0.57</v>
      </c>
      <c r="C16" s="29" t="n">
        <v>0.65</v>
      </c>
      <c r="D16" s="29">
        <f>(C16-B16)*1000</f>
        <v/>
      </c>
      <c r="E16" s="64">
        <f>ROUND(D16*D23,0)</f>
        <v/>
      </c>
      <c r="F16" s="64" t="n">
        <v>1000</v>
      </c>
      <c r="G16" s="29">
        <f>SUM(E16:F16)</f>
        <v/>
      </c>
      <c r="H16" s="51" t="n">
        <v>1000</v>
      </c>
      <c r="I16" s="114" t="inlineStr">
        <is>
          <t>1st oct</t>
        </is>
      </c>
      <c r="J16" s="114" t="inlineStr">
        <is>
          <t>Broom Stick @ 9th sep</t>
        </is>
      </c>
      <c r="K16" s="114" t="n">
        <v>270</v>
      </c>
    </row>
    <row r="17" ht="14.25" customHeight="1" s="366">
      <c r="A17" s="73" t="n">
        <v>302</v>
      </c>
      <c r="B17" s="29" t="n">
        <v>0.71</v>
      </c>
      <c r="C17" s="29" t="n">
        <v>3.25</v>
      </c>
      <c r="D17" s="29">
        <f>(C17-B17)*1000</f>
        <v/>
      </c>
      <c r="E17" s="64">
        <f>ROUND(D17*D23,0)</f>
        <v/>
      </c>
      <c r="F17" s="29" t="n">
        <v>1000</v>
      </c>
      <c r="G17" s="29">
        <f>SUM(E17:F17)</f>
        <v/>
      </c>
      <c r="H17" s="51" t="n">
        <v>1186</v>
      </c>
      <c r="I17" s="114" t="inlineStr">
        <is>
          <t>4th sep</t>
        </is>
      </c>
      <c r="J17" s="22" t="inlineStr">
        <is>
          <t>Watchman</t>
        </is>
      </c>
      <c r="K17" s="22" t="n">
        <v>5500</v>
      </c>
    </row>
    <row r="18" ht="14.25" customHeight="1" s="366">
      <c r="A18" s="32" t="n">
        <v>303</v>
      </c>
      <c r="B18" s="29" t="n">
        <v>439.21</v>
      </c>
      <c r="C18" s="29" t="n">
        <v>459.99</v>
      </c>
      <c r="D18" s="29">
        <f>(C18-B18)*1000</f>
        <v/>
      </c>
      <c r="E18" s="64">
        <f>ROUND(D18*D23,0)</f>
        <v/>
      </c>
      <c r="F18" s="29" t="n">
        <v>1000</v>
      </c>
      <c r="G18" s="29">
        <f>SUM(E18:F18)</f>
        <v/>
      </c>
      <c r="H18" s="51" t="n">
        <v>2525</v>
      </c>
      <c r="I18" s="114" t="inlineStr">
        <is>
          <t>4th sep</t>
        </is>
      </c>
      <c r="J18" s="22" t="inlineStr">
        <is>
          <t>Manjeera bill</t>
        </is>
      </c>
      <c r="K18" s="22" t="n">
        <v>2044</v>
      </c>
    </row>
    <row r="19" ht="14.25" customHeight="1" s="366">
      <c r="A19" s="32" t="n">
        <v>304</v>
      </c>
      <c r="B19" s="30" t="n">
        <v>43.6</v>
      </c>
      <c r="C19" s="30" t="n">
        <v>56.49</v>
      </c>
      <c r="D19" s="29">
        <f>(C19-B19)*1000</f>
        <v/>
      </c>
      <c r="E19" s="64">
        <f>ROUND(D19*D23,0)</f>
        <v/>
      </c>
      <c r="F19" s="29" t="n">
        <v>1000</v>
      </c>
      <c r="G19" s="29">
        <f>SUM(E19:F19)</f>
        <v/>
      </c>
      <c r="H19" s="51" t="n">
        <v>1946</v>
      </c>
      <c r="I19" s="114" t="inlineStr">
        <is>
          <t>4th sep</t>
        </is>
      </c>
      <c r="J19" s="118" t="inlineStr">
        <is>
          <t>Electricity bill @9th sep</t>
        </is>
      </c>
      <c r="K19" s="22" t="n">
        <v>2409</v>
      </c>
    </row>
    <row r="20" ht="14.25" customHeight="1" s="366">
      <c r="A20" s="29" t="inlineStr">
        <is>
          <t>Common</t>
        </is>
      </c>
      <c r="B20" s="29" t="n"/>
      <c r="C20" s="29" t="n">
        <v>9.25</v>
      </c>
      <c r="D20" s="29">
        <f>(C20-B20)*1000</f>
        <v/>
      </c>
      <c r="E20" s="64">
        <f>ROUND(D20*D24,0)</f>
        <v/>
      </c>
      <c r="F20" s="114" t="n"/>
      <c r="G20" s="29" t="n"/>
      <c r="H20" s="51" t="n">
        <v>0</v>
      </c>
      <c r="I20" s="114" t="n"/>
      <c r="J20" s="22" t="inlineStr">
        <is>
          <t>Tankers</t>
        </is>
      </c>
      <c r="K20" s="22" t="n">
        <v>7000</v>
      </c>
    </row>
    <row r="21" ht="14.25" customHeight="1" s="366">
      <c r="A21" s="29" t="n"/>
      <c r="B21" s="29" t="n"/>
      <c r="C21" s="29" t="n"/>
      <c r="D21" s="29" t="n"/>
      <c r="E21" s="49">
        <f>SUM(E4:E19)</f>
        <v/>
      </c>
      <c r="F21" s="49">
        <f>SUM(F2:F19)</f>
        <v/>
      </c>
      <c r="G21" s="49">
        <f>SUM(G2:G19)</f>
        <v/>
      </c>
      <c r="H21" s="29">
        <f>SUM(H2:H20)</f>
        <v/>
      </c>
      <c r="I21" s="114" t="n"/>
      <c r="J21" s="22" t="inlineStr">
        <is>
          <t xml:space="preserve">Lift maintainance </t>
        </is>
      </c>
      <c r="K21" s="22" t="n">
        <v>0</v>
      </c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 t="n"/>
      <c r="F22" s="29" t="n"/>
      <c r="G22" s="29" t="n"/>
      <c r="H22" s="29" t="n"/>
      <c r="I22" s="114" t="n"/>
      <c r="J22" s="22" t="inlineStr">
        <is>
          <t>GHMc - sweeper</t>
        </is>
      </c>
      <c r="K22" s="22" t="n">
        <v>350</v>
      </c>
    </row>
    <row r="23" ht="14.25" customHeight="1" s="366">
      <c r="A23" s="29" t="n"/>
      <c r="B23" s="29" t="inlineStr">
        <is>
          <t>Per Lt cost</t>
        </is>
      </c>
      <c r="C23" s="29" t="inlineStr">
        <is>
          <t>Number of tankers/Number of litters</t>
        </is>
      </c>
      <c r="D23" s="111">
        <f>B24/D22</f>
        <v/>
      </c>
      <c r="E23" s="29" t="n"/>
      <c r="F23" s="29" t="n"/>
      <c r="G23" s="29" t="n"/>
      <c r="H23" s="29" t="n"/>
      <c r="I23" s="114" t="n"/>
      <c r="J23" s="22" t="inlineStr">
        <is>
          <t>Manjeera person</t>
        </is>
      </c>
      <c r="K23" s="22" t="n">
        <v>400</v>
      </c>
    </row>
    <row r="24" ht="14.25" customHeight="1" s="366">
      <c r="A24" s="29" t="inlineStr">
        <is>
          <t>Total Water Bill</t>
        </is>
      </c>
      <c r="B24" s="30" t="n">
        <v>9000</v>
      </c>
      <c r="C24" s="119" t="inlineStr">
        <is>
          <t xml:space="preserve">WATER Tankers(9) </t>
        </is>
      </c>
      <c r="D24" s="29" t="n"/>
      <c r="E24" s="29" t="n">
        <v>9000</v>
      </c>
      <c r="F24" s="29" t="n"/>
      <c r="G24" s="29" t="n"/>
      <c r="H24" s="29" t="n"/>
      <c r="I24" s="114" t="n"/>
      <c r="J24" s="22" t="inlineStr">
        <is>
          <t>Total</t>
        </is>
      </c>
      <c r="K24" s="114">
        <f>SUM(K15:K23)</f>
        <v/>
      </c>
    </row>
    <row r="25" ht="14.25" customHeight="1" s="366"/>
    <row r="26" ht="14.25" customHeight="1" s="366">
      <c r="J26" s="26" t="inlineStr">
        <is>
          <t xml:space="preserve">Balance avilable </t>
        </is>
      </c>
      <c r="K26" s="1">
        <f>K13-K24</f>
        <v/>
      </c>
    </row>
    <row r="27" ht="14.25" customHeight="1" s="366"/>
    <row r="28" ht="14.25" customHeight="1" s="366"/>
    <row r="29" ht="14.25" customHeight="1" s="366">
      <c r="F29" s="1" t="inlineStr">
        <is>
          <t>September Month Balance avilable - 31212</t>
        </is>
      </c>
    </row>
  </sheetData>
  <mergeCells count="1">
    <mergeCell ref="J14:K14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ColWidth="14.42578125" defaultRowHeight="15" customHeight="1"/>
  <cols>
    <col width="14.85546875" customWidth="1" style="366" min="1" max="1"/>
    <col width="22.7109375" customWidth="1" style="366" min="2" max="2"/>
    <col width="34.5703125" customWidth="1" style="366" min="3" max="3"/>
    <col width="10.5703125" customWidth="1" style="366" min="4" max="4"/>
    <col width="9.85546875" customWidth="1" style="366" min="5" max="5"/>
    <col width="20.85546875" customWidth="1" style="366" min="6" max="6"/>
    <col width="12.42578125" customWidth="1" style="366" min="7" max="7"/>
    <col width="14.85546875" customWidth="1" style="366" min="8" max="8"/>
    <col width="13.5703125" customWidth="1" style="366" min="9" max="9"/>
    <col width="26.7109375" customWidth="1" style="366" min="10" max="10"/>
    <col width="6.7109375" customWidth="1" style="366" min="11" max="11"/>
    <col width="8.85546875" customWidth="1" style="366" min="12" max="12"/>
  </cols>
  <sheetData>
    <row r="1" ht="14.25" customHeight="1" s="366">
      <c r="A1" s="49" t="inlineStr">
        <is>
          <t>Flat Number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49" t="inlineStr">
        <is>
          <t>Total Units</t>
        </is>
      </c>
      <c r="E1" s="113" t="inlineStr">
        <is>
          <t>Water Bill</t>
        </is>
      </c>
      <c r="F1" s="29" t="inlineStr">
        <is>
          <t>CommonMaintanence</t>
        </is>
      </c>
      <c r="G1" s="29" t="inlineStr">
        <is>
          <t>Total to Pay</t>
        </is>
      </c>
      <c r="H1" s="49" t="inlineStr">
        <is>
          <t>Payment Status</t>
        </is>
      </c>
      <c r="I1" s="114" t="inlineStr">
        <is>
          <t xml:space="preserve">Received on </t>
        </is>
      </c>
      <c r="J1" s="114" t="inlineStr">
        <is>
          <t>Balance from sep.month</t>
        </is>
      </c>
      <c r="K1" s="114" t="n">
        <v>31212</v>
      </c>
      <c r="L1" s="114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SUM(E2:F2)</f>
        <v/>
      </c>
      <c r="H2" s="120" t="n">
        <v>44842</v>
      </c>
      <c r="I2" s="114" t="n"/>
      <c r="J2" s="114" t="n"/>
      <c r="K2" s="114" t="n"/>
      <c r="L2" s="114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>
        <f>SUM(E3:F3)</f>
        <v/>
      </c>
      <c r="H3" s="120" t="n">
        <v>44844</v>
      </c>
      <c r="I3" s="114" t="n"/>
      <c r="J3" s="114" t="n"/>
      <c r="K3" s="114" t="n"/>
      <c r="L3" s="114" t="n"/>
    </row>
    <row r="4" ht="14.25" customHeight="1" s="366">
      <c r="A4" s="32" t="inlineStr">
        <is>
          <t>G1</t>
        </is>
      </c>
      <c r="B4" s="30" t="n">
        <v>14.25</v>
      </c>
      <c r="C4" s="30" t="n">
        <v>19.7</v>
      </c>
      <c r="D4" s="29">
        <f>(C4-B4)*1000</f>
        <v/>
      </c>
      <c r="E4" s="64">
        <f>ROUND(D4*D23,0)</f>
        <v/>
      </c>
      <c r="F4" s="29" t="n">
        <v>1000</v>
      </c>
      <c r="G4" s="29">
        <f>SUM(E4:F4)</f>
        <v/>
      </c>
      <c r="H4" s="120" t="n">
        <v>44842</v>
      </c>
      <c r="I4" s="114" t="n"/>
      <c r="J4" s="114" t="n"/>
      <c r="K4" s="114" t="n"/>
      <c r="L4" s="114" t="n"/>
    </row>
    <row r="5" ht="14.25" customHeight="1" s="366">
      <c r="A5" s="32" t="inlineStr">
        <is>
          <t>G2</t>
        </is>
      </c>
      <c r="B5" s="30" t="n">
        <v>105.49</v>
      </c>
      <c r="C5" s="30" t="n">
        <v>110.42</v>
      </c>
      <c r="D5" s="29">
        <f>(C5-B5)*1000</f>
        <v/>
      </c>
      <c r="E5" s="64">
        <f>ROUND(D5*D23,0)</f>
        <v/>
      </c>
      <c r="F5" s="29" t="n">
        <v>1000</v>
      </c>
      <c r="G5" s="29">
        <f>SUM(E5:F5)</f>
        <v/>
      </c>
      <c r="H5" s="120" t="n">
        <v>44844</v>
      </c>
      <c r="I5" s="114" t="n"/>
      <c r="J5" s="114" t="n"/>
      <c r="K5" s="114" t="n"/>
      <c r="L5" s="114" t="n"/>
    </row>
    <row r="6" ht="14.25" customHeight="1" s="366">
      <c r="A6" s="32" t="inlineStr">
        <is>
          <t>G3</t>
        </is>
      </c>
      <c r="B6" s="29" t="n">
        <v>194.82</v>
      </c>
      <c r="C6" s="29" t="n">
        <v>204.06</v>
      </c>
      <c r="D6" s="29">
        <f>(C6-B6)*1000</f>
        <v/>
      </c>
      <c r="E6" s="64">
        <f>ROUND(D6*D23,0)</f>
        <v/>
      </c>
      <c r="F6" s="29" t="n">
        <v>1000</v>
      </c>
      <c r="G6" s="29">
        <f>SUM(E6:F6)</f>
        <v/>
      </c>
      <c r="H6" s="120" t="n">
        <v>44842</v>
      </c>
      <c r="I6" s="114" t="n"/>
      <c r="J6" s="114" t="n"/>
      <c r="K6" s="114" t="n"/>
      <c r="L6" s="114" t="n"/>
    </row>
    <row r="7" ht="14.25" customHeight="1" s="366">
      <c r="A7" s="32" t="inlineStr">
        <is>
          <t>G4</t>
        </is>
      </c>
      <c r="B7" s="29" t="n">
        <v>167.17</v>
      </c>
      <c r="C7" s="29" t="n">
        <v>174.52</v>
      </c>
      <c r="D7" s="29">
        <f>(C7-B7)*1000</f>
        <v/>
      </c>
      <c r="E7" s="64">
        <f>ROUND(D7*D23,0)</f>
        <v/>
      </c>
      <c r="F7" s="29" t="n">
        <v>1000</v>
      </c>
      <c r="G7" s="29">
        <f>SUM(E7:F7)</f>
        <v/>
      </c>
      <c r="H7" s="120" t="n">
        <v>44843</v>
      </c>
      <c r="I7" s="114" t="n"/>
      <c r="J7" s="114" t="n"/>
      <c r="K7" s="114" t="n"/>
      <c r="L7" s="114" t="n"/>
    </row>
    <row r="8" ht="14.25" customHeight="1" s="366">
      <c r="A8" s="73" t="n">
        <v>101</v>
      </c>
      <c r="B8" s="29" t="n">
        <v>0.38</v>
      </c>
      <c r="C8" s="29" t="n">
        <v>0.38</v>
      </c>
      <c r="D8" s="29">
        <f>(C8-B8)*1000</f>
        <v/>
      </c>
      <c r="E8" s="64">
        <f>ROUND(D8*D23,0)</f>
        <v/>
      </c>
      <c r="F8" s="64" t="n">
        <v>1000</v>
      </c>
      <c r="G8" s="29">
        <f>SUM(E8:F8)</f>
        <v/>
      </c>
      <c r="H8" s="120" t="n">
        <v>44871</v>
      </c>
      <c r="I8" s="114" t="n"/>
      <c r="J8" s="114" t="n"/>
      <c r="K8" s="114" t="n"/>
      <c r="L8" s="114" t="n"/>
    </row>
    <row r="9" ht="14.25" customHeight="1" s="366">
      <c r="A9" s="32" t="n">
        <v>102</v>
      </c>
      <c r="B9" s="29" t="n">
        <v>286.02</v>
      </c>
      <c r="C9" s="29" t="n">
        <v>306.32</v>
      </c>
      <c r="D9" s="29">
        <f>(C9-B9)*1000</f>
        <v/>
      </c>
      <c r="E9" s="64">
        <f>ROUND(D9*D23,0)</f>
        <v/>
      </c>
      <c r="F9" s="29" t="n">
        <v>1000</v>
      </c>
      <c r="G9" s="29">
        <f>SUM(E9:F9)</f>
        <v/>
      </c>
      <c r="H9" s="120" t="n">
        <v>44842</v>
      </c>
      <c r="I9" s="114" t="n"/>
      <c r="J9" s="114" t="n"/>
      <c r="K9" s="114" t="n"/>
      <c r="L9" s="114" t="n"/>
    </row>
    <row r="10" ht="14.25" customHeight="1" s="366">
      <c r="A10" s="32" t="n">
        <v>103</v>
      </c>
      <c r="B10" s="29" t="n">
        <v>23.39</v>
      </c>
      <c r="C10" s="29" t="n">
        <v>25.74</v>
      </c>
      <c r="D10" s="29">
        <f>(C10-B10)*1000</f>
        <v/>
      </c>
      <c r="E10" s="64">
        <f>ROUND(D10*D23,0)</f>
        <v/>
      </c>
      <c r="F10" s="29" t="n">
        <v>1000</v>
      </c>
      <c r="G10" s="29">
        <f>SUM(E10:F10)</f>
        <v/>
      </c>
      <c r="H10" s="120" t="n">
        <v>44844</v>
      </c>
      <c r="I10" s="114" t="n"/>
      <c r="J10" s="60" t="inlineStr">
        <is>
          <t>Expenditures</t>
        </is>
      </c>
      <c r="K10" s="368" t="n"/>
      <c r="L10" s="114" t="n"/>
    </row>
    <row r="11" ht="14.25" customHeight="1" s="366">
      <c r="A11" s="32" t="n">
        <v>104</v>
      </c>
      <c r="B11" s="29" t="n">
        <v>187.54</v>
      </c>
      <c r="C11" s="29" t="n">
        <v>200.34</v>
      </c>
      <c r="D11" s="29">
        <f>(C11-B11)*1000</f>
        <v/>
      </c>
      <c r="E11" s="64">
        <f>ROUND(D11*D23,0)</f>
        <v/>
      </c>
      <c r="F11" s="29" t="n">
        <v>1000</v>
      </c>
      <c r="G11" s="29">
        <f>SUM(E11:F11)</f>
        <v/>
      </c>
      <c r="H11" s="120" t="n">
        <v>44842</v>
      </c>
      <c r="I11" s="114" t="n"/>
      <c r="J11" s="121" t="inlineStr">
        <is>
          <t xml:space="preserve">watchman salary+bonus </t>
        </is>
      </c>
      <c r="K11" s="114" t="n">
        <v>7500</v>
      </c>
      <c r="L11" s="114" t="inlineStr">
        <is>
          <t>1st oct</t>
        </is>
      </c>
    </row>
    <row r="12" ht="14.25" customHeight="1" s="366">
      <c r="A12" s="112" t="n">
        <v>201</v>
      </c>
      <c r="B12" s="29" t="n">
        <v>1.79</v>
      </c>
      <c r="C12" s="29" t="n">
        <v>1.8</v>
      </c>
      <c r="D12" s="29">
        <f>(C12-B12)*1000</f>
        <v/>
      </c>
      <c r="E12" s="64">
        <f>ROUND(D12*D23,0)</f>
        <v/>
      </c>
      <c r="F12" s="64" t="n">
        <v>1000</v>
      </c>
      <c r="G12" s="29">
        <f>SUM(E12:F12)</f>
        <v/>
      </c>
      <c r="H12" s="120" t="n">
        <v>44871</v>
      </c>
      <c r="I12" s="114" t="n"/>
      <c r="J12" s="114" t="inlineStr">
        <is>
          <t>Tankers bill -sep month</t>
        </is>
      </c>
      <c r="K12" s="114" t="n">
        <v>10000</v>
      </c>
      <c r="L12" s="114" t="inlineStr">
        <is>
          <t>4th oct</t>
        </is>
      </c>
    </row>
    <row r="13" ht="14.25" customHeight="1" s="366">
      <c r="A13" s="32" t="n">
        <v>202</v>
      </c>
      <c r="B13" s="29" t="n">
        <v>183.71</v>
      </c>
      <c r="C13" s="29" t="n">
        <v>189.31</v>
      </c>
      <c r="D13" s="29">
        <f>(C13-B13)*1000</f>
        <v/>
      </c>
      <c r="E13" s="64">
        <f>ROUND(D13*D23,0)</f>
        <v/>
      </c>
      <c r="F13" s="29" t="n">
        <v>1000</v>
      </c>
      <c r="G13" s="29">
        <f>SUM(E13:F13)</f>
        <v/>
      </c>
      <c r="H13" s="120" t="n">
        <v>44842</v>
      </c>
      <c r="I13" s="114" t="n"/>
      <c r="J13" s="114" t="inlineStr">
        <is>
          <t>GHMC -Garbage</t>
        </is>
      </c>
      <c r="K13" s="114" t="n">
        <v>400</v>
      </c>
      <c r="L13" s="114" t="inlineStr">
        <is>
          <t>5th Oct</t>
        </is>
      </c>
    </row>
    <row r="14" ht="14.25" customHeight="1" s="366">
      <c r="A14" s="32" t="n">
        <v>203</v>
      </c>
      <c r="B14" s="29" t="n">
        <v>180.26</v>
      </c>
      <c r="C14" s="29" t="n">
        <v>193.71</v>
      </c>
      <c r="D14" s="29">
        <f>(C14-B14)*1000</f>
        <v/>
      </c>
      <c r="E14" s="64">
        <f>ROUND(D14*D23,0)</f>
        <v/>
      </c>
      <c r="F14" s="29" t="n">
        <v>1000</v>
      </c>
      <c r="G14" s="29">
        <f>SUM(E14:F14)</f>
        <v/>
      </c>
      <c r="H14" s="120" t="n">
        <v>44842</v>
      </c>
      <c r="I14" s="114" t="n"/>
      <c r="J14" s="114" t="inlineStr">
        <is>
          <t>Muggu</t>
        </is>
      </c>
      <c r="K14" s="114" t="n">
        <v>110</v>
      </c>
      <c r="L14" s="122" t="inlineStr">
        <is>
          <t>8th Oct</t>
        </is>
      </c>
    </row>
    <row r="15" ht="14.25" customHeight="1" s="366">
      <c r="A15" s="32" t="n">
        <v>204</v>
      </c>
      <c r="B15" s="29" t="n">
        <v>116.95</v>
      </c>
      <c r="C15" s="29" t="n">
        <v>124.03</v>
      </c>
      <c r="D15" s="29">
        <f>(C15-B15)*1000</f>
        <v/>
      </c>
      <c r="E15" s="64">
        <f>ROUND(D15*D23,0)</f>
        <v/>
      </c>
      <c r="F15" s="29" t="n">
        <v>1000</v>
      </c>
      <c r="G15" s="29">
        <f>SUM(E15:F15)</f>
        <v/>
      </c>
      <c r="H15" s="120" t="n">
        <v>44843</v>
      </c>
      <c r="I15" s="114" t="n"/>
      <c r="J15" s="114" t="inlineStr">
        <is>
          <t>manjeera bill common</t>
        </is>
      </c>
      <c r="K15" s="114" t="n">
        <v>2084</v>
      </c>
      <c r="L15" s="114" t="inlineStr">
        <is>
          <t xml:space="preserve">9th oct </t>
        </is>
      </c>
    </row>
    <row r="16" ht="14.25" customHeight="1" s="366">
      <c r="A16" s="73" t="n">
        <v>301</v>
      </c>
      <c r="B16" s="29" t="n">
        <v>0.65</v>
      </c>
      <c r="C16" s="29" t="n">
        <v>0.74</v>
      </c>
      <c r="D16" s="29">
        <f>(C16-B16)*1000</f>
        <v/>
      </c>
      <c r="E16" s="64">
        <f>ROUND(D16*D23,0)</f>
        <v/>
      </c>
      <c r="F16" s="64" t="n">
        <v>1000</v>
      </c>
      <c r="G16" s="29">
        <f>SUM(E16:F16)</f>
        <v/>
      </c>
      <c r="H16" s="120" t="n">
        <v>44871</v>
      </c>
      <c r="I16" s="114" t="n"/>
      <c r="J16" s="114" t="inlineStr">
        <is>
          <t>electricity bill common</t>
        </is>
      </c>
      <c r="K16" s="114" t="n">
        <v>2733</v>
      </c>
      <c r="L16" s="114" t="inlineStr">
        <is>
          <t xml:space="preserve">3rd oct </t>
        </is>
      </c>
    </row>
    <row r="17" ht="14.25" customHeight="1" s="366">
      <c r="A17" s="73" t="n">
        <v>302</v>
      </c>
      <c r="B17" s="29" t="n">
        <v>3.25</v>
      </c>
      <c r="C17" s="29" t="n">
        <v>11</v>
      </c>
      <c r="D17" s="29">
        <f>(C17-B17)*1000</f>
        <v/>
      </c>
      <c r="E17" s="64">
        <f>ROUND(D17*D23,0)</f>
        <v/>
      </c>
      <c r="F17" s="29" t="n">
        <v>1000</v>
      </c>
      <c r="G17" s="29">
        <f>SUM(E17:F17)</f>
        <v/>
      </c>
      <c r="H17" s="120" t="n">
        <v>44846</v>
      </c>
      <c r="I17" s="114" t="n"/>
      <c r="J17" s="114" t="inlineStr">
        <is>
          <t>GHMC</t>
        </is>
      </c>
      <c r="K17" s="114" t="n">
        <v>300</v>
      </c>
      <c r="L17" s="114" t="inlineStr">
        <is>
          <t>25th Oct</t>
        </is>
      </c>
    </row>
    <row r="18" ht="14.25" customHeight="1" s="366">
      <c r="A18" s="32" t="n">
        <v>303</v>
      </c>
      <c r="B18" s="29" t="n">
        <v>459.99</v>
      </c>
      <c r="C18" s="29" t="n">
        <v>483.33</v>
      </c>
      <c r="D18" s="29">
        <f>(C18-B18)*1000</f>
        <v/>
      </c>
      <c r="E18" s="64">
        <f>ROUND(D18*D23,0)</f>
        <v/>
      </c>
      <c r="F18" s="29" t="n">
        <v>1000</v>
      </c>
      <c r="G18" s="29">
        <f>SUM(E18:F18)</f>
        <v/>
      </c>
      <c r="H18" s="120" t="n">
        <v>44847</v>
      </c>
      <c r="I18" s="114" t="n"/>
      <c r="J18" s="114" t="inlineStr">
        <is>
          <t>Lizol</t>
        </is>
      </c>
      <c r="K18" s="114" t="n">
        <v>188</v>
      </c>
      <c r="L18" s="114" t="inlineStr">
        <is>
          <t>25th Oct</t>
        </is>
      </c>
    </row>
    <row r="19" ht="14.25" customHeight="1" s="366">
      <c r="A19" s="32" t="n">
        <v>304</v>
      </c>
      <c r="B19" s="30" t="n">
        <v>56.49</v>
      </c>
      <c r="C19" s="30" t="n">
        <v>68.73</v>
      </c>
      <c r="D19" s="29">
        <f>(C19-B19)*1000</f>
        <v/>
      </c>
      <c r="E19" s="64">
        <f>ROUND(D19*D23,0)</f>
        <v/>
      </c>
      <c r="F19" s="29" t="n">
        <v>1000</v>
      </c>
      <c r="G19" s="29">
        <f>SUM(E19:F19)</f>
        <v/>
      </c>
      <c r="H19" s="120" t="n">
        <v>44842</v>
      </c>
      <c r="I19" s="114" t="n"/>
      <c r="J19" s="114" t="inlineStr">
        <is>
          <t>Diesel</t>
        </is>
      </c>
      <c r="K19" s="114" t="n">
        <v>289</v>
      </c>
      <c r="L19" s="114" t="inlineStr">
        <is>
          <t>25th Oct</t>
        </is>
      </c>
    </row>
    <row r="20" ht="14.25" customHeight="1" s="366">
      <c r="A20" s="29" t="inlineStr">
        <is>
          <t>Common</t>
        </is>
      </c>
      <c r="B20" s="29" t="n">
        <v>9.25</v>
      </c>
      <c r="C20" s="29" t="n">
        <v>23.928</v>
      </c>
      <c r="D20" s="29">
        <f>(C20-B20)*1000</f>
        <v/>
      </c>
      <c r="E20" s="64" t="n">
        <v>0</v>
      </c>
      <c r="F20" s="123" t="n">
        <v>0</v>
      </c>
      <c r="G20" s="29">
        <f>SUM(E20:F20)</f>
        <v/>
      </c>
      <c r="H20" s="51" t="n"/>
      <c r="I20" s="114" t="n"/>
      <c r="J20" s="122" t="inlineStr">
        <is>
          <t>watchMan salary advance</t>
        </is>
      </c>
      <c r="K20" s="122" t="n">
        <v>2000</v>
      </c>
      <c r="L20" s="114" t="inlineStr">
        <is>
          <t>28thoct</t>
        </is>
      </c>
    </row>
    <row r="21" ht="14.25" customHeight="1" s="366">
      <c r="A21" s="29" t="n"/>
      <c r="B21" s="29" t="n"/>
      <c r="C21" s="29" t="n"/>
      <c r="D21" s="29" t="n"/>
      <c r="E21" s="49" t="n"/>
      <c r="F21" s="49">
        <f>SUM(F2:F20)</f>
        <v/>
      </c>
      <c r="G21" s="49" t="n"/>
      <c r="H21" s="29" t="n"/>
      <c r="I21" s="114" t="n"/>
      <c r="J21" s="114" t="n"/>
      <c r="K21" s="114" t="n"/>
      <c r="L21" s="114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 t="n"/>
      <c r="F22" s="29" t="n"/>
      <c r="G22" s="29" t="n"/>
      <c r="H22" s="29" t="n"/>
      <c r="I22" s="114" t="n"/>
      <c r="J22" s="114" t="n"/>
      <c r="K22" s="114" t="n"/>
      <c r="L22" s="114" t="n"/>
    </row>
    <row r="23" ht="14.25" customHeight="1" s="366">
      <c r="A23" s="29" t="n"/>
      <c r="B23" s="29" t="inlineStr">
        <is>
          <t>Per Lt cost</t>
        </is>
      </c>
      <c r="C23" s="2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 t="n">
        <v>31207</v>
      </c>
      <c r="I23" s="114" t="n"/>
      <c r="J23" s="114" t="n"/>
      <c r="K23" s="114" t="n"/>
      <c r="L23" s="114" t="n"/>
    </row>
    <row r="24" ht="14.25" customHeight="1" s="366">
      <c r="A24" s="29" t="inlineStr">
        <is>
          <t>Total Water Bill</t>
        </is>
      </c>
      <c r="B24" s="30" t="n">
        <v>10000</v>
      </c>
      <c r="C24" s="119" t="inlineStr">
        <is>
          <t xml:space="preserve">WATER Tankers(10) </t>
        </is>
      </c>
      <c r="D24" s="29" t="n"/>
      <c r="E24" s="29" t="n">
        <v>10000</v>
      </c>
      <c r="F24" s="29" t="n"/>
      <c r="G24" s="29" t="n"/>
      <c r="H24" s="29" t="n"/>
      <c r="I24" s="114" t="n"/>
      <c r="J24" s="114" t="n"/>
      <c r="K24" s="114" t="n"/>
      <c r="L24" s="114" t="n"/>
    </row>
  </sheetData>
  <mergeCells count="1">
    <mergeCell ref="J10:K10"/>
  </mergeCells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366" min="1" max="1"/>
    <col width="22.7109375" customWidth="1" style="366" min="2" max="2"/>
    <col width="34.5703125" customWidth="1" style="366" min="3" max="3"/>
    <col width="10.5703125" customWidth="1" style="366" min="4" max="4"/>
    <col width="9.85546875" customWidth="1" style="366" min="5" max="5"/>
    <col width="20.85546875" customWidth="1" style="366" min="6" max="6"/>
    <col width="12.42578125" customWidth="1" style="366" min="7" max="7"/>
    <col width="14.85546875" customWidth="1" style="366" min="8" max="8"/>
    <col width="54.5703125" customWidth="1" style="366" min="9" max="9"/>
    <col width="23.85546875" customWidth="1" style="366" min="10" max="10"/>
    <col width="8.7109375" customWidth="1" style="366" min="11" max="11"/>
    <col width="15.42578125" customWidth="1" style="366" min="12" max="12"/>
    <col width="23.42578125" customWidth="1" style="366" min="13" max="13"/>
  </cols>
  <sheetData>
    <row r="1" ht="14.25" customHeight="1" s="366">
      <c r="A1" s="49" t="inlineStr">
        <is>
          <t>Flat Number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49" t="inlineStr">
        <is>
          <t>Total Units</t>
        </is>
      </c>
      <c r="E1" s="113" t="inlineStr">
        <is>
          <t>Water Bill</t>
        </is>
      </c>
      <c r="F1" s="29" t="inlineStr">
        <is>
          <t>CommonMaintanence</t>
        </is>
      </c>
      <c r="G1" s="29" t="inlineStr">
        <is>
          <t>Total to Pay</t>
        </is>
      </c>
      <c r="H1" s="49" t="inlineStr">
        <is>
          <t>Payment Status</t>
        </is>
      </c>
      <c r="I1" s="114" t="inlineStr">
        <is>
          <t>Received on (Subbarao)</t>
        </is>
      </c>
      <c r="J1" s="114" t="inlineStr">
        <is>
          <t>Balance from Oct.month</t>
        </is>
      </c>
      <c r="K1" s="114" t="n">
        <v>31207</v>
      </c>
      <c r="L1" s="114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SUM(E2:F2)</f>
        <v/>
      </c>
      <c r="H2" s="120" t="inlineStr">
        <is>
          <t>Received</t>
        </is>
      </c>
      <c r="I2" s="114" t="n"/>
      <c r="J2" s="114" t="n"/>
      <c r="K2" s="114" t="n"/>
      <c r="L2" s="114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>
        <f>SUM(E3:F3)</f>
        <v/>
      </c>
      <c r="H3" s="120" t="n"/>
      <c r="I3" s="114" t="n"/>
      <c r="J3" s="114" t="n"/>
      <c r="K3" s="114" t="n"/>
      <c r="L3" s="114" t="n"/>
    </row>
    <row r="4" ht="14.25" customHeight="1" s="366">
      <c r="A4" s="32" t="inlineStr">
        <is>
          <t>G1</t>
        </is>
      </c>
      <c r="B4" s="30" t="n">
        <v>19.7</v>
      </c>
      <c r="C4" s="30" t="n">
        <v>23.34</v>
      </c>
      <c r="D4" s="29">
        <f>(C4-B4)*1000</f>
        <v/>
      </c>
      <c r="E4" s="64">
        <f>ROUND(D4*D23,0)</f>
        <v/>
      </c>
      <c r="F4" s="29" t="n">
        <v>1000</v>
      </c>
      <c r="G4" s="29">
        <f>SUM(E4:F4)</f>
        <v/>
      </c>
      <c r="H4" s="120" t="inlineStr">
        <is>
          <t>Received</t>
        </is>
      </c>
      <c r="I4" s="114" t="n"/>
      <c r="J4" s="114" t="n"/>
      <c r="K4" s="114" t="n"/>
      <c r="L4" s="114" t="n"/>
    </row>
    <row r="5" ht="14.25" customHeight="1" s="366">
      <c r="A5" s="32" t="inlineStr">
        <is>
          <t>G2</t>
        </is>
      </c>
      <c r="B5" s="30" t="n">
        <v>110.42</v>
      </c>
      <c r="C5" s="30" t="n">
        <v>114.77</v>
      </c>
      <c r="D5" s="29">
        <f>(C5-B5)*1000</f>
        <v/>
      </c>
      <c r="E5" s="64">
        <f>ROUND(D5*D23,0)</f>
        <v/>
      </c>
      <c r="F5" s="29" t="n">
        <v>1000</v>
      </c>
      <c r="G5" s="29">
        <f>SUM(E5:F5)</f>
        <v/>
      </c>
      <c r="H5" s="120" t="inlineStr">
        <is>
          <t>Received</t>
        </is>
      </c>
      <c r="I5" s="114" t="n"/>
      <c r="J5" s="114" t="n"/>
      <c r="K5" s="114" t="n"/>
      <c r="L5" s="114" t="n"/>
    </row>
    <row r="6" ht="14.25" customHeight="1" s="366">
      <c r="A6" s="32" t="inlineStr">
        <is>
          <t>G3</t>
        </is>
      </c>
      <c r="B6" s="29" t="n">
        <v>204.06</v>
      </c>
      <c r="C6" s="29" t="n">
        <v>213.14</v>
      </c>
      <c r="D6" s="29">
        <f>(C6-B6)*1000</f>
        <v/>
      </c>
      <c r="E6" s="64">
        <f>ROUND(D6*D23,0)</f>
        <v/>
      </c>
      <c r="F6" s="29" t="n">
        <v>1000</v>
      </c>
      <c r="G6" s="29">
        <f>SUM(E6:F6)</f>
        <v/>
      </c>
      <c r="H6" s="120" t="inlineStr">
        <is>
          <t>Received</t>
        </is>
      </c>
      <c r="I6" s="114" t="n"/>
      <c r="J6" s="114" t="n"/>
      <c r="K6" s="114" t="n"/>
      <c r="L6" s="114" t="n"/>
    </row>
    <row r="7" ht="14.25" customHeight="1" s="366">
      <c r="A7" s="32" t="inlineStr">
        <is>
          <t>G4</t>
        </is>
      </c>
      <c r="B7" s="29" t="n">
        <v>174.52</v>
      </c>
      <c r="C7" s="29" t="n">
        <v>183.46</v>
      </c>
      <c r="D7" s="29">
        <f>(C7-B7)*1000</f>
        <v/>
      </c>
      <c r="E7" s="64">
        <f>ROUND(D7*D23,0)</f>
        <v/>
      </c>
      <c r="F7" s="29" t="n">
        <v>1000</v>
      </c>
      <c r="G7" s="29">
        <f>SUM(E7:F7)</f>
        <v/>
      </c>
      <c r="H7" s="120" t="inlineStr">
        <is>
          <t>Received</t>
        </is>
      </c>
      <c r="I7" s="114" t="n"/>
      <c r="J7" s="114" t="n"/>
      <c r="K7" s="114" t="n"/>
      <c r="L7" s="114" t="n"/>
    </row>
    <row r="8" ht="14.25" customHeight="1" s="366">
      <c r="A8" s="73" t="n">
        <v>101</v>
      </c>
      <c r="B8" s="29" t="n">
        <v>0.38</v>
      </c>
      <c r="C8" s="29" t="n">
        <v>0.38</v>
      </c>
      <c r="D8" s="29">
        <f>(C8-B8)*1000</f>
        <v/>
      </c>
      <c r="E8" s="64">
        <f>ROUND(D8*D23,0)</f>
        <v/>
      </c>
      <c r="F8" s="64" t="n">
        <v>1000</v>
      </c>
      <c r="G8" s="29">
        <f>SUM(E8:F8)</f>
        <v/>
      </c>
      <c r="H8" s="51" t="inlineStr">
        <is>
          <t>Received in dec</t>
        </is>
      </c>
      <c r="I8" s="114" t="n"/>
      <c r="J8" s="114" t="n"/>
      <c r="K8" s="114" t="n"/>
      <c r="L8" s="114" t="n"/>
    </row>
    <row r="9" ht="14.25" customHeight="1" s="366">
      <c r="A9" s="32" t="n">
        <v>102</v>
      </c>
      <c r="B9" s="29" t="n">
        <v>306.32</v>
      </c>
      <c r="C9" s="29" t="n">
        <v>317.67</v>
      </c>
      <c r="D9" s="29">
        <f>(C9-B9)*1000</f>
        <v/>
      </c>
      <c r="E9" s="64">
        <f>ROUND(D9*D23,0)</f>
        <v/>
      </c>
      <c r="F9" s="29" t="n">
        <v>1000</v>
      </c>
      <c r="G9" s="29">
        <f>SUM(E9:F9)</f>
        <v/>
      </c>
      <c r="H9" s="120" t="inlineStr">
        <is>
          <t>Received</t>
        </is>
      </c>
      <c r="I9" s="114" t="n"/>
      <c r="J9" s="114" t="n"/>
      <c r="K9" s="114" t="n"/>
      <c r="L9" s="114" t="n"/>
    </row>
    <row r="10" ht="14.25" customHeight="1" s="366">
      <c r="A10" s="32" t="n">
        <v>103</v>
      </c>
      <c r="B10" s="29" t="n">
        <v>25.74</v>
      </c>
      <c r="C10" s="29" t="n">
        <v>29.25</v>
      </c>
      <c r="D10" s="29">
        <f>(C10-B10)*1000</f>
        <v/>
      </c>
      <c r="E10" s="64">
        <f>ROUND(D10*D23,0)</f>
        <v/>
      </c>
      <c r="F10" s="29" t="n">
        <v>1000</v>
      </c>
      <c r="G10" s="29">
        <f>SUM(E10:F10)</f>
        <v/>
      </c>
      <c r="H10" s="120" t="inlineStr">
        <is>
          <t>Received</t>
        </is>
      </c>
      <c r="I10" s="114" t="n"/>
      <c r="J10" s="60" t="inlineStr">
        <is>
          <t>Expenditures</t>
        </is>
      </c>
      <c r="K10" s="368" t="n"/>
      <c r="L10" s="114" t="inlineStr">
        <is>
          <t xml:space="preserve">Paid On </t>
        </is>
      </c>
    </row>
    <row r="11" ht="14.25" customHeight="1" s="366">
      <c r="A11" s="32" t="n">
        <v>104</v>
      </c>
      <c r="B11" s="29" t="n">
        <v>200.34</v>
      </c>
      <c r="C11" s="29" t="n">
        <v>210.48</v>
      </c>
      <c r="D11" s="29">
        <f>(C11-B11)*1000</f>
        <v/>
      </c>
      <c r="E11" s="64">
        <f>ROUND(D11*D23,0)</f>
        <v/>
      </c>
      <c r="F11" s="29" t="n">
        <v>1000</v>
      </c>
      <c r="G11" s="29">
        <f>SUM(E11:F11)</f>
        <v/>
      </c>
      <c r="H11" s="120" t="inlineStr">
        <is>
          <t>Received</t>
        </is>
      </c>
      <c r="I11" s="114" t="n"/>
      <c r="J11" s="121" t="inlineStr">
        <is>
          <t>watchman salary</t>
        </is>
      </c>
      <c r="K11" s="114" t="n">
        <v>4500</v>
      </c>
      <c r="L11" s="114" t="inlineStr">
        <is>
          <t>4th Nov</t>
        </is>
      </c>
    </row>
    <row r="12" ht="14.25" customHeight="1" s="366">
      <c r="A12" s="112" t="n">
        <v>201</v>
      </c>
      <c r="B12" s="29" t="n">
        <v>1.8</v>
      </c>
      <c r="C12" s="29" t="n">
        <v>1.8</v>
      </c>
      <c r="D12" s="29">
        <f>(C12-B12)*1000</f>
        <v/>
      </c>
      <c r="E12" s="64">
        <f>ROUND(D12*D23,0)</f>
        <v/>
      </c>
      <c r="F12" s="64" t="n">
        <v>1000</v>
      </c>
      <c r="G12" s="29">
        <f>SUM(E12:F12)</f>
        <v/>
      </c>
      <c r="H12" s="51" t="inlineStr">
        <is>
          <t>R</t>
        </is>
      </c>
      <c r="I12" s="114" t="inlineStr">
        <is>
          <t>6000 Received for 3 months (OCT,NOV,DEC-22) in March -23</t>
        </is>
      </c>
      <c r="J12" s="114" t="inlineStr">
        <is>
          <t>Tankers bill -Oct month</t>
        </is>
      </c>
      <c r="K12" s="114" t="n">
        <v>10000</v>
      </c>
      <c r="L12" s="114" t="inlineStr">
        <is>
          <t>4th Nov</t>
        </is>
      </c>
    </row>
    <row r="13" ht="14.25" customHeight="1" s="366">
      <c r="A13" s="32" t="n">
        <v>202</v>
      </c>
      <c r="B13" s="29" t="n">
        <v>189.31</v>
      </c>
      <c r="C13" s="29" t="n">
        <v>193.15</v>
      </c>
      <c r="D13" s="29">
        <f>(C13-B13)*1000</f>
        <v/>
      </c>
      <c r="E13" s="64">
        <f>ROUND(D13*D23,0)</f>
        <v/>
      </c>
      <c r="F13" s="29" t="n">
        <v>1000</v>
      </c>
      <c r="G13" s="29">
        <f>SUM(E13:F13)</f>
        <v/>
      </c>
      <c r="H13" s="120" t="inlineStr">
        <is>
          <t>Received</t>
        </is>
      </c>
      <c r="I13" s="114" t="n"/>
      <c r="J13" s="114" t="inlineStr">
        <is>
          <t xml:space="preserve">Broom Stick </t>
        </is>
      </c>
      <c r="K13" s="114" t="n">
        <v>25</v>
      </c>
      <c r="L13" s="114" t="inlineStr">
        <is>
          <t>6th Nov</t>
        </is>
      </c>
    </row>
    <row r="14" ht="14.25" customHeight="1" s="366">
      <c r="A14" s="32" t="n">
        <v>203</v>
      </c>
      <c r="B14" s="29" t="n">
        <v>193.71</v>
      </c>
      <c r="C14" s="29" t="n">
        <v>202.28</v>
      </c>
      <c r="D14" s="29">
        <f>(C14-B14)*1000</f>
        <v/>
      </c>
      <c r="E14" s="64">
        <f>ROUND(D14*D23,0)</f>
        <v/>
      </c>
      <c r="F14" s="29" t="n">
        <v>1000</v>
      </c>
      <c r="G14" s="29">
        <f>SUM(E14:F14)</f>
        <v/>
      </c>
      <c r="H14" s="120" t="inlineStr">
        <is>
          <t>Received</t>
        </is>
      </c>
      <c r="I14" s="114" t="n"/>
      <c r="J14" s="122" t="inlineStr">
        <is>
          <t>Common electricity bill</t>
        </is>
      </c>
      <c r="K14" s="122" t="n">
        <v>2857</v>
      </c>
      <c r="L14" s="122" t="inlineStr">
        <is>
          <t>5th Nov</t>
        </is>
      </c>
    </row>
    <row r="15" ht="14.25" customHeight="1" s="366">
      <c r="A15" s="32" t="n">
        <v>204</v>
      </c>
      <c r="B15" s="29" t="n">
        <v>124.03</v>
      </c>
      <c r="C15" s="29" t="n">
        <v>132.66</v>
      </c>
      <c r="D15" s="29">
        <f>(C15-B15)*1000</f>
        <v/>
      </c>
      <c r="E15" s="64">
        <f>ROUND(D15*D23,0)</f>
        <v/>
      </c>
      <c r="F15" s="29" t="n">
        <v>1000</v>
      </c>
      <c r="G15" s="29">
        <f>SUM(E15:F15)</f>
        <v/>
      </c>
      <c r="H15" s="120" t="inlineStr">
        <is>
          <t>Received</t>
        </is>
      </c>
      <c r="I15" s="114" t="n"/>
      <c r="J15" s="114" t="inlineStr">
        <is>
          <t xml:space="preserve">water bill </t>
        </is>
      </c>
      <c r="K15" s="114" t="n">
        <v>2045</v>
      </c>
      <c r="L15" s="122" t="inlineStr">
        <is>
          <t>22nd Nov</t>
        </is>
      </c>
    </row>
    <row r="16" ht="14.25" customHeight="1" s="366">
      <c r="A16" s="73" t="n">
        <v>301</v>
      </c>
      <c r="B16" s="29" t="n">
        <v>0.74</v>
      </c>
      <c r="C16" s="29" t="n">
        <v>0.8</v>
      </c>
      <c r="D16" s="29">
        <f>(C16-B16)*1000</f>
        <v/>
      </c>
      <c r="E16" s="64">
        <f>ROUND(D16*D23,0)</f>
        <v/>
      </c>
      <c r="F16" s="64" t="n">
        <v>1000</v>
      </c>
      <c r="G16" s="29">
        <f>SUM(E16:F16)</f>
        <v/>
      </c>
      <c r="H16" s="51" t="inlineStr">
        <is>
          <t>R</t>
        </is>
      </c>
      <c r="I16" s="114" t="inlineStr">
        <is>
          <t>6000 Received for 3 months (OCT,NOV,DEC-22) in March -23</t>
        </is>
      </c>
      <c r="J16" s="114" t="inlineStr">
        <is>
          <t xml:space="preserve">Tank Cleaning </t>
        </is>
      </c>
      <c r="K16" s="114" t="n">
        <v>300</v>
      </c>
      <c r="L16" s="114" t="inlineStr">
        <is>
          <t>14th Nov</t>
        </is>
      </c>
    </row>
    <row r="17" ht="14.25" customHeight="1" s="366">
      <c r="A17" s="73" t="n">
        <v>302</v>
      </c>
      <c r="B17" s="29" t="n">
        <v>11</v>
      </c>
      <c r="C17" s="29" t="n">
        <v>19.59</v>
      </c>
      <c r="D17" s="29">
        <f>(C17-B17)*1000</f>
        <v/>
      </c>
      <c r="E17" s="64">
        <f>ROUND(D17*D23,0)</f>
        <v/>
      </c>
      <c r="F17" s="29" t="n">
        <v>1000</v>
      </c>
      <c r="G17" s="29">
        <f>SUM(E17:F17)</f>
        <v/>
      </c>
      <c r="H17" s="120" t="inlineStr">
        <is>
          <t>Received</t>
        </is>
      </c>
      <c r="I17" s="114" t="n"/>
      <c r="J17" s="114" t="inlineStr">
        <is>
          <t>Plumbing amount</t>
        </is>
      </c>
      <c r="K17" s="114" t="n">
        <v>2000</v>
      </c>
      <c r="L17" s="114" t="inlineStr">
        <is>
          <t>29th Nov</t>
        </is>
      </c>
    </row>
    <row r="18" ht="14.25" customHeight="1" s="366">
      <c r="A18" s="32" t="n">
        <v>303</v>
      </c>
      <c r="B18" s="29" t="n">
        <v>483.33</v>
      </c>
      <c r="C18" s="29" t="n">
        <v>496.19</v>
      </c>
      <c r="D18" s="29">
        <f>(C18-B18)*1000</f>
        <v/>
      </c>
      <c r="E18" s="64">
        <f>ROUND(D18*D23,0)</f>
        <v/>
      </c>
      <c r="F18" s="29" t="n">
        <v>1000</v>
      </c>
      <c r="G18" s="29">
        <f>SUM(E18:F18)</f>
        <v/>
      </c>
      <c r="H18" s="120" t="inlineStr">
        <is>
          <t>Received</t>
        </is>
      </c>
      <c r="I18" s="114" t="n"/>
      <c r="J18" s="114" t="inlineStr">
        <is>
          <t xml:space="preserve">Muggu </t>
        </is>
      </c>
      <c r="K18" s="114" t="n">
        <v>100</v>
      </c>
      <c r="L18" s="114" t="inlineStr">
        <is>
          <t>29th Nov</t>
        </is>
      </c>
    </row>
    <row r="19" ht="14.25" customHeight="1" s="366">
      <c r="A19" s="32" t="n">
        <v>304</v>
      </c>
      <c r="B19" s="30" t="n">
        <v>68.73</v>
      </c>
      <c r="C19" s="30" t="n">
        <v>80.45</v>
      </c>
      <c r="D19" s="29">
        <f>(C19-B19)*1000</f>
        <v/>
      </c>
      <c r="E19" s="64">
        <f>ROUND(D19*D23,0)</f>
        <v/>
      </c>
      <c r="F19" s="29" t="n">
        <v>1000</v>
      </c>
      <c r="G19" s="29">
        <f>SUM(E19:F19)</f>
        <v/>
      </c>
      <c r="H19" s="120" t="inlineStr">
        <is>
          <t>Received</t>
        </is>
      </c>
      <c r="I19" s="114" t="n"/>
      <c r="J19" s="114" t="n"/>
      <c r="K19" s="114" t="n"/>
      <c r="L19" s="114" t="n"/>
    </row>
    <row r="20" ht="14.25" customHeight="1" s="366">
      <c r="A20" s="29" t="inlineStr">
        <is>
          <t>Common</t>
        </is>
      </c>
      <c r="B20" s="29" t="n">
        <v>23.928</v>
      </c>
      <c r="C20" s="29" t="n">
        <v>36.3</v>
      </c>
      <c r="D20" s="29">
        <f>(C20-B20)*1000</f>
        <v/>
      </c>
      <c r="E20" s="64" t="n">
        <v>0</v>
      </c>
      <c r="F20" s="123" t="n">
        <v>0</v>
      </c>
      <c r="G20" s="29">
        <f>SUM(E20:F20)</f>
        <v/>
      </c>
      <c r="H20" s="51" t="n"/>
      <c r="I20" s="114" t="n"/>
      <c r="K20" s="122" t="n"/>
      <c r="L20" s="114" t="n"/>
    </row>
    <row r="21" ht="14.25" customHeight="1" s="366">
      <c r="A21" s="29" t="n"/>
      <c r="B21" s="29" t="n"/>
      <c r="C21" s="29" t="n"/>
      <c r="D21" s="29" t="n"/>
      <c r="E21" s="49" t="n"/>
      <c r="F21" s="49">
        <f>SUM(F2:F20)</f>
        <v/>
      </c>
      <c r="G21" s="49" t="n"/>
      <c r="H21" s="29" t="n"/>
      <c r="I21" s="114" t="n"/>
      <c r="J21" s="114" t="n"/>
      <c r="K21" s="114" t="n"/>
      <c r="L21" s="114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 t="n"/>
      <c r="F22" s="29" t="n"/>
      <c r="G22" s="29" t="n"/>
      <c r="H22" s="29" t="n"/>
      <c r="I22" s="114" t="n"/>
      <c r="J22" s="114" t="n"/>
      <c r="K22" s="114" t="n"/>
      <c r="L22" s="114" t="n"/>
    </row>
    <row r="23" ht="14.25" customHeight="1" s="366">
      <c r="A23" s="29" t="n"/>
      <c r="B23" s="29" t="inlineStr">
        <is>
          <t>Per Lt cost</t>
        </is>
      </c>
      <c r="C23" s="2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 t="n">
        <v>31623</v>
      </c>
      <c r="I23" s="114" t="n"/>
      <c r="J23" s="114" t="n"/>
      <c r="K23" s="114" t="n"/>
      <c r="L23" s="114" t="n"/>
    </row>
    <row r="24" ht="14.25" customHeight="1" s="366">
      <c r="A24" s="29" t="inlineStr">
        <is>
          <t>Total Water Bill</t>
        </is>
      </c>
      <c r="B24" s="30" t="n">
        <v>10000</v>
      </c>
      <c r="C24" s="119" t="inlineStr">
        <is>
          <t xml:space="preserve">WATER Tankers(10) </t>
        </is>
      </c>
      <c r="D24" s="29" t="n"/>
      <c r="E24" s="29" t="n">
        <v>10000</v>
      </c>
      <c r="F24" s="29" t="n"/>
      <c r="G24" s="29" t="n"/>
      <c r="H24" s="29" t="n"/>
      <c r="I24" s="114" t="n"/>
      <c r="J24" s="114" t="n"/>
      <c r="K24" s="114" t="n"/>
      <c r="L24" s="114" t="n"/>
      <c r="M24" s="1" t="inlineStr">
        <is>
          <t>                                                                                                                                </t>
        </is>
      </c>
    </row>
  </sheetData>
  <mergeCells count="1">
    <mergeCell ref="J10:K10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366" min="1" max="1"/>
    <col width="22.7109375" customWidth="1" style="366" min="2" max="2"/>
    <col width="25" customWidth="1" style="366" min="3" max="3"/>
    <col width="10.5703125" customWidth="1" style="366" min="4" max="4"/>
    <col width="9.85546875" customWidth="1" style="366" min="5" max="5"/>
    <col width="20.85546875" customWidth="1" style="366" min="6" max="6"/>
    <col width="11.28515625" customWidth="1" style="366" min="7" max="7"/>
    <col width="14.85546875" customWidth="1" style="366" min="8" max="8"/>
    <col width="52.7109375" customWidth="1" style="366" min="9" max="9"/>
    <col width="31.42578125" customWidth="1" style="366" min="10" max="10"/>
    <col width="11.85546875" customWidth="1" style="366" min="11" max="11"/>
    <col width="24.42578125" customWidth="1" style="366" min="12" max="12"/>
  </cols>
  <sheetData>
    <row r="1" ht="14.25" customHeight="1" s="366">
      <c r="A1" s="49" t="inlineStr">
        <is>
          <t>Flat Number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49" t="inlineStr">
        <is>
          <t>Total Units</t>
        </is>
      </c>
      <c r="E1" s="113" t="inlineStr">
        <is>
          <t>Water Bill</t>
        </is>
      </c>
      <c r="F1" s="29" t="inlineStr">
        <is>
          <t>CommonMaintanence</t>
        </is>
      </c>
      <c r="G1" s="29" t="inlineStr">
        <is>
          <t>Total to Pay</t>
        </is>
      </c>
      <c r="H1" s="49" t="inlineStr">
        <is>
          <t>Payment Status</t>
        </is>
      </c>
      <c r="I1" s="49" t="inlineStr">
        <is>
          <t>Reveived Amount (Subbarao)</t>
        </is>
      </c>
      <c r="J1" s="124" t="inlineStr">
        <is>
          <t>Balance from Nov.month</t>
        </is>
      </c>
      <c r="K1" s="114" t="n">
        <v>31623</v>
      </c>
      <c r="L1" s="114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SUM(E2:F2)</f>
        <v/>
      </c>
      <c r="H2" s="120" t="inlineStr">
        <is>
          <t>Not Received</t>
        </is>
      </c>
      <c r="I2" s="120" t="n"/>
      <c r="J2" s="114" t="n"/>
      <c r="K2" s="114" t="n"/>
      <c r="L2" s="125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>
        <f>SUM(E3:F3)</f>
        <v/>
      </c>
      <c r="H3" s="120" t="inlineStr">
        <is>
          <t>Not Received</t>
        </is>
      </c>
      <c r="I3" s="120" t="n"/>
      <c r="J3" s="114" t="n"/>
      <c r="K3" s="114" t="n"/>
      <c r="L3" s="125" t="n"/>
    </row>
    <row r="4" ht="14.25" customHeight="1" s="366">
      <c r="A4" s="32" t="inlineStr">
        <is>
          <t>G1</t>
        </is>
      </c>
      <c r="B4" s="30" t="n">
        <v>23.34</v>
      </c>
      <c r="C4" s="30" t="n">
        <v>28.11</v>
      </c>
      <c r="D4" s="29">
        <f>(C4-B4)*1000</f>
        <v/>
      </c>
      <c r="E4" s="64">
        <f>ROUND(D4*D23,0)</f>
        <v/>
      </c>
      <c r="F4" s="29" t="n">
        <v>1000</v>
      </c>
      <c r="G4" s="29">
        <f>SUM(E4:F4)</f>
        <v/>
      </c>
      <c r="H4" s="120" t="inlineStr">
        <is>
          <t>Received</t>
        </is>
      </c>
      <c r="I4" s="120" t="n"/>
      <c r="J4" s="114" t="n"/>
      <c r="K4" s="114" t="n"/>
      <c r="L4" s="125" t="n"/>
    </row>
    <row r="5" ht="14.25" customHeight="1" s="366">
      <c r="A5" s="32" t="inlineStr">
        <is>
          <t>G2</t>
        </is>
      </c>
      <c r="B5" s="30" t="n">
        <v>114.77</v>
      </c>
      <c r="C5" s="30" t="n">
        <v>118.96</v>
      </c>
      <c r="D5" s="29">
        <f>(C5-B5)*1000</f>
        <v/>
      </c>
      <c r="E5" s="64">
        <f>ROUND(D5*D23,0)</f>
        <v/>
      </c>
      <c r="F5" s="29" t="n">
        <v>1000</v>
      </c>
      <c r="G5" s="29">
        <f>SUM(E5:F5)</f>
        <v/>
      </c>
      <c r="H5" s="120" t="inlineStr">
        <is>
          <t>Received</t>
        </is>
      </c>
      <c r="I5" s="120" t="n"/>
      <c r="J5" s="114" t="n"/>
      <c r="K5" s="114" t="n"/>
      <c r="L5" s="125" t="n"/>
    </row>
    <row r="6" ht="14.25" customHeight="1" s="366">
      <c r="A6" s="32" t="inlineStr">
        <is>
          <t>G3</t>
        </is>
      </c>
      <c r="B6" s="29" t="n">
        <v>213.14</v>
      </c>
      <c r="C6" s="29" t="n">
        <v>224.33</v>
      </c>
      <c r="D6" s="29">
        <f>(C6-B6)*1000</f>
        <v/>
      </c>
      <c r="E6" s="64">
        <f>ROUND(D6*D23,0)</f>
        <v/>
      </c>
      <c r="F6" s="29" t="n">
        <v>1000</v>
      </c>
      <c r="G6" s="29">
        <f>SUM(E6:F6)</f>
        <v/>
      </c>
      <c r="H6" s="120" t="inlineStr">
        <is>
          <t>Received</t>
        </is>
      </c>
      <c r="I6" s="120" t="n"/>
      <c r="J6" s="114" t="n"/>
      <c r="K6" s="114" t="n"/>
      <c r="L6" s="114" t="n"/>
    </row>
    <row r="7" ht="14.25" customHeight="1" s="366">
      <c r="A7" s="32" t="inlineStr">
        <is>
          <t>G4</t>
        </is>
      </c>
      <c r="B7" s="29" t="n">
        <v>183.46</v>
      </c>
      <c r="C7" s="29" t="n">
        <v>189.76</v>
      </c>
      <c r="D7" s="29">
        <f>(C7-B7)*1000</f>
        <v/>
      </c>
      <c r="E7" s="64">
        <f>ROUND(D7*D23,0)</f>
        <v/>
      </c>
      <c r="F7" s="29" t="n">
        <v>1000</v>
      </c>
      <c r="G7" s="29">
        <f>SUM(E7:F7)</f>
        <v/>
      </c>
      <c r="H7" s="120" t="inlineStr">
        <is>
          <t>Received</t>
        </is>
      </c>
      <c r="I7" s="120" t="n"/>
      <c r="J7" s="114" t="n"/>
      <c r="K7" s="114" t="n"/>
      <c r="L7" s="114" t="n"/>
    </row>
    <row r="8" ht="14.25" customHeight="1" s="366">
      <c r="A8" s="73" t="n">
        <v>101</v>
      </c>
      <c r="B8" s="29" t="n">
        <v>0.38</v>
      </c>
      <c r="C8" s="29" t="n">
        <v>0.38</v>
      </c>
      <c r="D8" s="29">
        <f>(C8-B8)*1000</f>
        <v/>
      </c>
      <c r="E8" s="64">
        <f>ROUND(D8*D23,0)</f>
        <v/>
      </c>
      <c r="F8" s="64" t="n">
        <v>1000</v>
      </c>
      <c r="G8" s="29" t="n">
        <v>2000</v>
      </c>
      <c r="H8" s="126" t="inlineStr">
        <is>
          <t>Received</t>
        </is>
      </c>
      <c r="I8" s="126" t="n"/>
      <c r="J8" s="126" t="inlineStr">
        <is>
          <t>For Nov &amp; December Month</t>
        </is>
      </c>
      <c r="K8" s="114" t="n"/>
      <c r="L8" s="114" t="n"/>
    </row>
    <row r="9" ht="14.25" customHeight="1" s="366">
      <c r="A9" s="32" t="n">
        <v>102</v>
      </c>
      <c r="B9" s="29" t="n">
        <v>317.67</v>
      </c>
      <c r="C9" s="29" t="n">
        <v>330.04</v>
      </c>
      <c r="D9" s="29">
        <f>(C9-B9)*1000</f>
        <v/>
      </c>
      <c r="E9" s="64">
        <f>ROUND(D9*D23,0)</f>
        <v/>
      </c>
      <c r="F9" s="29" t="n">
        <v>1000</v>
      </c>
      <c r="G9" s="29">
        <f>SUM(E9:F9)</f>
        <v/>
      </c>
      <c r="H9" s="120" t="inlineStr">
        <is>
          <t>Received</t>
        </is>
      </c>
      <c r="I9" s="120" t="n"/>
      <c r="J9" s="114" t="n"/>
      <c r="K9" s="114" t="n"/>
      <c r="L9" s="114" t="n"/>
    </row>
    <row r="10" ht="14.25" customHeight="1" s="366">
      <c r="A10" s="32" t="n">
        <v>103</v>
      </c>
      <c r="B10" s="29" t="n">
        <v>29.25</v>
      </c>
      <c r="C10" s="29" t="n">
        <v>31.67</v>
      </c>
      <c r="D10" s="29">
        <f>(C10-B10)*1000</f>
        <v/>
      </c>
      <c r="E10" s="64">
        <f>ROUND(D10*D23,0)</f>
        <v/>
      </c>
      <c r="F10" s="29" t="n">
        <v>1000</v>
      </c>
      <c r="G10" s="29">
        <f>SUM(E10:F10)</f>
        <v/>
      </c>
      <c r="H10" s="120" t="inlineStr">
        <is>
          <t>Received</t>
        </is>
      </c>
      <c r="I10" s="120" t="n"/>
      <c r="J10" s="60" t="inlineStr">
        <is>
          <t>Expenditures</t>
        </is>
      </c>
      <c r="K10" s="368" t="n"/>
      <c r="L10" s="114" t="n"/>
    </row>
    <row r="11" ht="14.25" customHeight="1" s="366">
      <c r="A11" s="32" t="n">
        <v>104</v>
      </c>
      <c r="B11" s="29" t="n">
        <v>210.48</v>
      </c>
      <c r="C11" s="29" t="n">
        <v>225.2</v>
      </c>
      <c r="D11" s="29">
        <f>(C11-B11)*1000</f>
        <v/>
      </c>
      <c r="E11" s="64">
        <f>ROUND(D11*D23,0)</f>
        <v/>
      </c>
      <c r="F11" s="29" t="n">
        <v>1000</v>
      </c>
      <c r="G11" s="29">
        <f>SUM(E11:F11)</f>
        <v/>
      </c>
      <c r="H11" s="120" t="inlineStr">
        <is>
          <t>Received</t>
        </is>
      </c>
      <c r="I11" s="120" t="n"/>
      <c r="J11" s="121" t="inlineStr">
        <is>
          <t xml:space="preserve">Watch Man Salary </t>
        </is>
      </c>
      <c r="K11" s="114" t="n">
        <v>6700</v>
      </c>
      <c r="L11" s="125" t="n">
        <v>44632</v>
      </c>
    </row>
    <row r="12" ht="14.25" customHeight="1" s="366">
      <c r="A12" s="112" t="n">
        <v>201</v>
      </c>
      <c r="B12" s="29" t="n">
        <v>1.8</v>
      </c>
      <c r="C12" s="29" t="n">
        <v>1.8</v>
      </c>
      <c r="D12" s="29">
        <f>(C12-B12)*1000</f>
        <v/>
      </c>
      <c r="E12" s="64">
        <f>ROUND(D12*D23,0)</f>
        <v/>
      </c>
      <c r="F12" s="64" t="n">
        <v>1000</v>
      </c>
      <c r="G12" s="29">
        <f>SUM(E12:F12)</f>
        <v/>
      </c>
      <c r="H12" s="51" t="inlineStr">
        <is>
          <t>R</t>
        </is>
      </c>
      <c r="I12" s="114" t="inlineStr">
        <is>
          <t>6000 Received for 3 months (OCT,NOV,DEC-22) in March -23</t>
        </is>
      </c>
      <c r="J12" s="114" t="inlineStr">
        <is>
          <t>Nov - Water Tanker</t>
        </is>
      </c>
      <c r="K12" s="114" t="n">
        <v>10000</v>
      </c>
      <c r="L12" s="125" t="n">
        <v>44632</v>
      </c>
    </row>
    <row r="13" ht="14.25" customHeight="1" s="366">
      <c r="A13" s="32" t="n">
        <v>202</v>
      </c>
      <c r="B13" s="29" t="n">
        <v>193.15</v>
      </c>
      <c r="C13" s="29" t="n">
        <v>196.82</v>
      </c>
      <c r="D13" s="29">
        <f>(C13-B13)*1000</f>
        <v/>
      </c>
      <c r="E13" s="64">
        <f>ROUND(D13*D23,0)</f>
        <v/>
      </c>
      <c r="F13" s="29" t="n">
        <v>1000</v>
      </c>
      <c r="G13" s="29">
        <f>SUM(E13:F13)</f>
        <v/>
      </c>
      <c r="H13" s="120" t="inlineStr">
        <is>
          <t>Received</t>
        </is>
      </c>
      <c r="I13" s="120" t="n"/>
      <c r="J13" s="114" t="inlineStr">
        <is>
          <t xml:space="preserve">Common electricity </t>
        </is>
      </c>
      <c r="K13" s="114" t="n">
        <v>2851</v>
      </c>
      <c r="L13" s="125" t="n">
        <v>44693</v>
      </c>
    </row>
    <row r="14" ht="14.25" customHeight="1" s="366">
      <c r="A14" s="32" t="n">
        <v>203</v>
      </c>
      <c r="B14" s="29" t="n">
        <v>202.28</v>
      </c>
      <c r="C14" s="29" t="n">
        <v>212.73</v>
      </c>
      <c r="D14" s="29">
        <f>(C14-B14)*1000</f>
        <v/>
      </c>
      <c r="E14" s="64">
        <f>ROUND(D14*D23,0)</f>
        <v/>
      </c>
      <c r="F14" s="29" t="n">
        <v>1000</v>
      </c>
      <c r="G14" s="29">
        <f>SUM(E14:F14)</f>
        <v/>
      </c>
      <c r="H14" s="120" t="inlineStr">
        <is>
          <t>Received</t>
        </is>
      </c>
      <c r="I14" s="120" t="n"/>
      <c r="J14" s="114" t="inlineStr">
        <is>
          <t>common water</t>
        </is>
      </c>
      <c r="K14" s="114" t="n">
        <v>2044</v>
      </c>
      <c r="L14" s="125" t="n">
        <v>44846</v>
      </c>
    </row>
    <row r="15" ht="14.25" customHeight="1" s="366">
      <c r="A15" s="32" t="n">
        <v>204</v>
      </c>
      <c r="B15" s="29" t="n">
        <v>132.66</v>
      </c>
      <c r="C15" s="29" t="n">
        <v>139.46</v>
      </c>
      <c r="D15" s="29">
        <f>(C15-B15)*1000</f>
        <v/>
      </c>
      <c r="E15" s="64">
        <f>ROUND(D15*D23,0)</f>
        <v/>
      </c>
      <c r="F15" s="29" t="n">
        <v>1000</v>
      </c>
      <c r="G15" s="29">
        <f>SUM(E15:F15)</f>
        <v/>
      </c>
      <c r="H15" s="120" t="inlineStr">
        <is>
          <t>Received</t>
        </is>
      </c>
      <c r="I15" s="120" t="n"/>
      <c r="J15" s="114" t="inlineStr">
        <is>
          <t>MCB Repair</t>
        </is>
      </c>
      <c r="K15" s="114" t="n">
        <v>15147</v>
      </c>
      <c r="L15" s="125" t="n">
        <v>44907</v>
      </c>
    </row>
    <row r="16" ht="14.25" customHeight="1" s="366">
      <c r="A16" s="73" t="n">
        <v>301</v>
      </c>
      <c r="B16" s="29" t="n">
        <v>0.8</v>
      </c>
      <c r="C16" s="29" t="n">
        <v>0.8</v>
      </c>
      <c r="D16" s="29">
        <f>(C16-B16)*1000</f>
        <v/>
      </c>
      <c r="E16" s="64">
        <f>ROUND(D16*D23,0)</f>
        <v/>
      </c>
      <c r="F16" s="64" t="n">
        <v>1000</v>
      </c>
      <c r="G16" s="29">
        <f>SUM(E16:F16)</f>
        <v/>
      </c>
      <c r="H16" s="51" t="inlineStr">
        <is>
          <t>R</t>
        </is>
      </c>
      <c r="I16" s="114" t="inlineStr">
        <is>
          <t>6000 Received for 3 months (OCT,NOV,DEC-22) in March -23</t>
        </is>
      </c>
      <c r="J16" s="114" t="inlineStr">
        <is>
          <t>Lift &amp; Watchman washroom Repair</t>
        </is>
      </c>
      <c r="K16" s="114" t="n">
        <v>7680</v>
      </c>
      <c r="L16" s="125" t="n">
        <v>44907</v>
      </c>
    </row>
    <row r="17" ht="14.25" customHeight="1" s="366">
      <c r="A17" s="73" t="n">
        <v>302</v>
      </c>
      <c r="B17" s="29" t="n">
        <v>19.59</v>
      </c>
      <c r="C17" s="29" t="n">
        <v>25.19</v>
      </c>
      <c r="D17" s="29">
        <f>(C17-B17)*1000</f>
        <v/>
      </c>
      <c r="E17" s="64">
        <f>ROUND(D17*D23,0)</f>
        <v/>
      </c>
      <c r="F17" s="29" t="n">
        <v>1000</v>
      </c>
      <c r="G17" s="29">
        <f>SUM(E17:F17)</f>
        <v/>
      </c>
      <c r="H17" s="120" t="inlineStr">
        <is>
          <t>Received</t>
        </is>
      </c>
      <c r="I17" s="120" t="n"/>
      <c r="J17" s="114" t="inlineStr">
        <is>
          <t>distled water</t>
        </is>
      </c>
      <c r="K17" s="114" t="n">
        <v>150</v>
      </c>
      <c r="L17" s="125" t="n">
        <v>44907</v>
      </c>
    </row>
    <row r="18" ht="14.25" customHeight="1" s="366">
      <c r="A18" s="32" t="n">
        <v>303</v>
      </c>
      <c r="B18" s="29" t="n">
        <v>496.19</v>
      </c>
      <c r="C18" s="29" t="n">
        <v>513</v>
      </c>
      <c r="D18" s="29">
        <f>(C18-B18)*1000</f>
        <v/>
      </c>
      <c r="E18" s="64">
        <f>ROUND(D18*D23,0)</f>
        <v/>
      </c>
      <c r="F18" s="29" t="n">
        <v>1000</v>
      </c>
      <c r="G18" s="29">
        <f>SUM(E18:F18)</f>
        <v/>
      </c>
      <c r="H18" s="120" t="inlineStr">
        <is>
          <t>Received</t>
        </is>
      </c>
      <c r="I18" s="120" t="n"/>
      <c r="J18" s="114" t="inlineStr">
        <is>
          <t>lizol</t>
        </is>
      </c>
      <c r="K18" s="114" t="n">
        <v>245</v>
      </c>
      <c r="L18" s="125" t="n">
        <v>44907</v>
      </c>
    </row>
    <row r="19" ht="14.25" customHeight="1" s="366">
      <c r="A19" s="32" t="n">
        <v>304</v>
      </c>
      <c r="B19" s="30" t="n">
        <v>80.45</v>
      </c>
      <c r="C19" s="30" t="n">
        <v>91.05</v>
      </c>
      <c r="D19" s="29">
        <f>(C19-B19)*1000</f>
        <v/>
      </c>
      <c r="E19" s="64">
        <f>ROUND(D19*D23,0)</f>
        <v/>
      </c>
      <c r="F19" s="29" t="n">
        <v>1000</v>
      </c>
      <c r="G19" s="29">
        <f>SUM(E19:F19)</f>
        <v/>
      </c>
      <c r="H19" s="120" t="inlineStr">
        <is>
          <t>Received</t>
        </is>
      </c>
      <c r="I19" s="120" t="n"/>
      <c r="J19" s="114" t="inlineStr">
        <is>
          <t>watchman service fee</t>
        </is>
      </c>
      <c r="K19" s="114" t="n">
        <v>330</v>
      </c>
      <c r="L19" s="125" t="n">
        <v>44907</v>
      </c>
    </row>
    <row r="20" ht="14.25" customHeight="1" s="366">
      <c r="A20" s="29" t="inlineStr">
        <is>
          <t>Common</t>
        </is>
      </c>
      <c r="B20" s="29" t="n">
        <v>36.3</v>
      </c>
      <c r="C20" s="29" t="n">
        <v>49.63</v>
      </c>
      <c r="D20" s="29">
        <f>(C20-B20)*1000</f>
        <v/>
      </c>
      <c r="E20" s="64" t="n">
        <v>0</v>
      </c>
      <c r="F20" s="123" t="n">
        <v>0</v>
      </c>
      <c r="G20" s="29">
        <f>SUM(E20:F20)</f>
        <v/>
      </c>
      <c r="H20" s="51" t="n"/>
      <c r="I20" s="51" t="n"/>
      <c r="J20" s="114" t="inlineStr">
        <is>
          <t>watchman salary advance</t>
        </is>
      </c>
      <c r="K20" s="114" t="n">
        <v>2000</v>
      </c>
      <c r="L20" s="114" t="inlineStr">
        <is>
          <t>16-12-2022</t>
        </is>
      </c>
    </row>
    <row r="21" ht="14.25" customHeight="1" s="366">
      <c r="A21" s="29" t="n"/>
      <c r="B21" s="29" t="n"/>
      <c r="C21" s="29" t="n"/>
      <c r="D21" s="29" t="n"/>
      <c r="E21" s="49" t="n"/>
      <c r="F21" s="49">
        <f>SUM(F2:F20)</f>
        <v/>
      </c>
      <c r="G21" s="49" t="n"/>
      <c r="H21" s="29" t="n"/>
      <c r="I21" s="29" t="n"/>
      <c r="J21" s="114" t="inlineStr">
        <is>
          <t>9w lights 6 no.s</t>
        </is>
      </c>
      <c r="K21" s="114" t="n">
        <v>436</v>
      </c>
      <c r="L21" s="114" t="inlineStr">
        <is>
          <t>20-12-2022</t>
        </is>
      </c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 t="n"/>
      <c r="F22" s="29" t="n"/>
      <c r="G22" s="29" t="n"/>
      <c r="H22" s="29" t="n"/>
      <c r="I22" s="29" t="n"/>
      <c r="J22" s="114" t="n"/>
      <c r="K22" s="114">
        <f>SUM(K11:K21)</f>
        <v/>
      </c>
      <c r="L22" s="114" t="n"/>
    </row>
    <row r="23" ht="14.25" customHeight="1" s="366">
      <c r="A23" s="29" t="n"/>
      <c r="B23" s="29" t="inlineStr">
        <is>
          <t>Per Lt cost</t>
        </is>
      </c>
      <c r="C23" s="2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 t="n">
        <v>7957</v>
      </c>
      <c r="I23" s="29" t="n"/>
      <c r="J23" s="114" t="n"/>
      <c r="K23" s="114" t="n"/>
      <c r="L23" s="114" t="n"/>
    </row>
    <row r="24" ht="14.25" customHeight="1" s="366">
      <c r="A24" s="29" t="inlineStr">
        <is>
          <t>Total Water Bill</t>
        </is>
      </c>
      <c r="B24" s="30" t="n">
        <v>10000</v>
      </c>
      <c r="C24" s="119" t="inlineStr">
        <is>
          <t xml:space="preserve">WATER Tankers(10) </t>
        </is>
      </c>
      <c r="D24" s="29" t="n"/>
      <c r="E24" s="29" t="n">
        <v>10000</v>
      </c>
      <c r="F24" s="29" t="n"/>
      <c r="G24" s="29" t="n"/>
      <c r="H24" s="29" t="n"/>
      <c r="I24" s="29" t="n"/>
      <c r="J24" s="114" t="n"/>
      <c r="K24" s="114" t="n"/>
      <c r="L24" s="114" t="n"/>
    </row>
    <row r="25" ht="14.25" customHeight="1" s="366">
      <c r="A25" s="114" t="n"/>
      <c r="B25" s="114" t="n"/>
      <c r="C25" s="114" t="n"/>
      <c r="D25" s="114" t="n"/>
      <c r="E25" s="114" t="n"/>
      <c r="F25" s="114" t="n"/>
      <c r="G25" s="114" t="n"/>
      <c r="H25" s="114" t="n"/>
      <c r="I25" s="114" t="n"/>
      <c r="J25" s="114" t="n"/>
      <c r="K25" s="114" t="n"/>
      <c r="L25" s="114" t="n"/>
    </row>
    <row r="26" ht="14.25" customHeight="1" s="366">
      <c r="A26" s="114" t="n"/>
      <c r="B26" s="114" t="n"/>
      <c r="C26" s="114" t="inlineStr">
        <is>
          <t>Tankers Taken on date</t>
        </is>
      </c>
      <c r="D26" s="127" t="n">
        <v>44897</v>
      </c>
      <c r="E26" s="114" t="n"/>
      <c r="F26" s="114" t="n"/>
      <c r="G26" s="114" t="n"/>
      <c r="H26" s="114" t="n"/>
      <c r="I26" s="114" t="n"/>
      <c r="J26" s="114" t="n"/>
      <c r="K26" s="114" t="n"/>
      <c r="L26" s="114" t="n"/>
    </row>
    <row r="27" ht="14.25" customHeight="1" s="366">
      <c r="A27" s="114" t="n"/>
      <c r="B27" s="114" t="n"/>
      <c r="C27" s="114" t="inlineStr">
        <is>
          <t xml:space="preserve">No.s - 9 </t>
        </is>
      </c>
      <c r="D27" s="127" t="n">
        <v>44901</v>
      </c>
      <c r="E27" s="114" t="n"/>
      <c r="F27" s="114" t="n"/>
      <c r="G27" s="114" t="n"/>
      <c r="H27" s="114" t="n"/>
      <c r="I27" s="114" t="n"/>
      <c r="J27" s="114" t="n"/>
      <c r="K27" s="114" t="n"/>
      <c r="L27" s="114" t="n"/>
    </row>
    <row r="28" ht="14.25" customHeight="1" s="366">
      <c r="A28" s="114" t="n"/>
      <c r="B28" s="114" t="n"/>
      <c r="C28" s="114" t="n"/>
      <c r="D28" s="127" t="n">
        <v>44905</v>
      </c>
      <c r="E28" s="114" t="n"/>
      <c r="F28" s="114" t="n"/>
      <c r="G28" s="114" t="n"/>
      <c r="H28" s="114" t="n"/>
      <c r="I28" s="114" t="n"/>
      <c r="J28" s="114" t="n"/>
      <c r="K28" s="114" t="n"/>
      <c r="L28" s="114" t="n"/>
    </row>
    <row r="29" ht="14.25" customHeight="1" s="366">
      <c r="A29" s="114" t="n"/>
      <c r="B29" s="114" t="n"/>
      <c r="C29" s="114" t="n"/>
      <c r="D29" s="127" t="n">
        <v>44910</v>
      </c>
      <c r="E29" s="114" t="n"/>
      <c r="F29" s="114" t="n"/>
      <c r="G29" s="114" t="n"/>
      <c r="H29" s="114" t="n"/>
      <c r="I29" s="114" t="n"/>
      <c r="J29" s="114" t="n"/>
      <c r="K29" s="114" t="n"/>
      <c r="L29" s="114" t="n"/>
    </row>
    <row r="30" ht="14.25" customHeight="1" s="366">
      <c r="A30" s="114" t="n"/>
      <c r="B30" s="114" t="n"/>
      <c r="C30" s="114" t="n"/>
      <c r="D30" s="127" t="n">
        <v>44912</v>
      </c>
      <c r="E30" s="114" t="n"/>
      <c r="F30" s="114" t="n"/>
      <c r="G30" s="114" t="n"/>
      <c r="H30" s="114" t="n"/>
      <c r="I30" s="114" t="n"/>
      <c r="J30" s="114" t="n"/>
      <c r="K30" s="114" t="n"/>
      <c r="L30" s="114" t="n"/>
    </row>
    <row r="31" ht="14.25" customHeight="1" s="366">
      <c r="A31" s="114" t="n"/>
      <c r="B31" s="114" t="n"/>
      <c r="C31" s="114" t="n"/>
      <c r="D31" s="127" t="n">
        <v>44916</v>
      </c>
      <c r="E31" s="114" t="n"/>
      <c r="F31" s="114" t="n"/>
      <c r="G31" s="114" t="n"/>
      <c r="H31" s="114" t="n"/>
      <c r="I31" s="114" t="n"/>
      <c r="J31" s="114" t="n"/>
      <c r="K31" s="114" t="n"/>
      <c r="L31" s="114" t="n"/>
    </row>
    <row r="32" ht="14.25" customHeight="1" s="366">
      <c r="A32" s="114" t="n"/>
      <c r="B32" s="114" t="n"/>
      <c r="C32" s="114" t="n"/>
      <c r="D32" s="127" t="n">
        <v>44919</v>
      </c>
      <c r="E32" s="114" t="n"/>
      <c r="F32" s="114" t="n"/>
      <c r="G32" s="114" t="n"/>
      <c r="H32" s="114" t="n"/>
      <c r="I32" s="114" t="n"/>
      <c r="J32" s="114" t="n"/>
      <c r="K32" s="114" t="n"/>
      <c r="L32" s="114" t="n"/>
    </row>
    <row r="33" ht="14.25" customHeight="1" s="366">
      <c r="C33" s="114" t="n"/>
      <c r="D33" s="127" t="n">
        <v>44922</v>
      </c>
    </row>
    <row r="34" ht="14.25" customHeight="1" s="366">
      <c r="C34" s="114" t="n"/>
      <c r="D34" s="127" t="n">
        <v>44925</v>
      </c>
    </row>
  </sheetData>
  <mergeCells count="1">
    <mergeCell ref="J10:K10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ColWidth="14.42578125" defaultRowHeight="15" customHeight="1"/>
  <cols>
    <col width="14.5703125" customWidth="1" style="366" min="1" max="1"/>
    <col width="22.7109375" customWidth="1" style="366" min="2" max="2"/>
    <col width="34.5703125" customWidth="1" style="366" min="3" max="3"/>
    <col width="10.5703125" customWidth="1" style="366" min="4" max="4"/>
    <col width="9.85546875" customWidth="1" style="366" min="5" max="5"/>
    <col width="20.85546875" customWidth="1" style="366" min="6" max="6"/>
    <col width="14.5703125" customWidth="1" style="366" min="7" max="7"/>
    <col width="14.85546875" customWidth="1" style="366" min="8" max="8"/>
    <col width="55.28515625" customWidth="1" style="366" min="9" max="9"/>
    <col width="32.140625" customWidth="1" style="366" min="10" max="10"/>
    <col width="6.140625" customWidth="1" style="366" min="11" max="11"/>
    <col width="7.85546875" customWidth="1" style="366" min="12" max="12"/>
    <col width="16.42578125" customWidth="1" style="366" min="13" max="13"/>
  </cols>
  <sheetData>
    <row r="1" ht="14.25" customHeight="1" s="366">
      <c r="A1" s="49" t="inlineStr">
        <is>
          <t>Flat Number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49" t="inlineStr">
        <is>
          <t>Total Units</t>
        </is>
      </c>
      <c r="E1" s="113" t="inlineStr">
        <is>
          <t>Water Bill</t>
        </is>
      </c>
      <c r="F1" s="29" t="inlineStr">
        <is>
          <t>CommonMaintanence</t>
        </is>
      </c>
      <c r="G1" s="29" t="inlineStr">
        <is>
          <t>Total to Pay</t>
        </is>
      </c>
      <c r="H1" s="49" t="inlineStr">
        <is>
          <t>Payment Status</t>
        </is>
      </c>
      <c r="I1" s="49" t="inlineStr">
        <is>
          <t>Reveived Amount (Subbarao)</t>
        </is>
      </c>
      <c r="J1" s="124" t="inlineStr">
        <is>
          <t xml:space="preserve">Balance from December Month </t>
        </is>
      </c>
      <c r="K1" s="128" t="n">
        <v>7957</v>
      </c>
      <c r="L1" s="114" t="n"/>
      <c r="M1" s="114" t="inlineStr">
        <is>
          <t xml:space="preserve">Garbage Amount </t>
        </is>
      </c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SUM(E2:F2)</f>
        <v/>
      </c>
      <c r="H2" s="120" t="n"/>
      <c r="I2" s="120" t="n"/>
      <c r="J2" s="114" t="n"/>
      <c r="K2" s="114" t="n"/>
      <c r="L2" s="114" t="n"/>
      <c r="M2" s="114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>
        <f>SUM(E3:F3)</f>
        <v/>
      </c>
      <c r="H3" s="120" t="n"/>
      <c r="I3" s="120" t="n"/>
      <c r="J3" s="114" t="n"/>
      <c r="K3" s="114" t="n"/>
      <c r="L3" s="114" t="n"/>
      <c r="M3" s="114" t="n"/>
    </row>
    <row r="4" ht="14.25" customHeight="1" s="366">
      <c r="A4" s="32" t="inlineStr">
        <is>
          <t>G1</t>
        </is>
      </c>
      <c r="B4" s="30" t="n">
        <v>28.11</v>
      </c>
      <c r="C4" s="30" t="n">
        <v>32.39</v>
      </c>
      <c r="D4" s="29">
        <f>(C4-B4)*1000</f>
        <v/>
      </c>
      <c r="E4" s="64">
        <f>ROUND(D4*D23,0)</f>
        <v/>
      </c>
      <c r="F4" s="29" t="n">
        <v>1000</v>
      </c>
      <c r="G4" s="29">
        <f>SUM(E4:F4)</f>
        <v/>
      </c>
      <c r="H4" s="120" t="inlineStr">
        <is>
          <t>Received</t>
        </is>
      </c>
      <c r="I4" s="120" t="n"/>
      <c r="J4" s="114" t="n"/>
      <c r="K4" s="114" t="n"/>
      <c r="L4" s="114" t="n"/>
      <c r="M4" s="114" t="n"/>
    </row>
    <row r="5" ht="14.25" customHeight="1" s="366">
      <c r="A5" s="32" t="inlineStr">
        <is>
          <t>G2</t>
        </is>
      </c>
      <c r="B5" s="30" t="n">
        <v>118.96</v>
      </c>
      <c r="C5" s="30" t="n">
        <v>121.4</v>
      </c>
      <c r="D5" s="29">
        <f>(C5-B5)*1000</f>
        <v/>
      </c>
      <c r="E5" s="64">
        <f>ROUND(D5*D23,0)</f>
        <v/>
      </c>
      <c r="F5" s="29" t="n">
        <v>1000</v>
      </c>
      <c r="G5" s="29">
        <f>SUM(E5:F5)</f>
        <v/>
      </c>
      <c r="H5" s="120" t="inlineStr">
        <is>
          <t>Received</t>
        </is>
      </c>
      <c r="I5" s="120" t="n"/>
      <c r="J5" s="114" t="n"/>
      <c r="K5" s="114" t="n"/>
      <c r="L5" s="114" t="n"/>
      <c r="M5" s="114" t="n">
        <v>50</v>
      </c>
    </row>
    <row r="6" ht="14.25" customHeight="1" s="366">
      <c r="A6" s="32" t="inlineStr">
        <is>
          <t>G3</t>
        </is>
      </c>
      <c r="B6" s="29" t="n">
        <v>224.33</v>
      </c>
      <c r="C6" s="29" t="n">
        <v>230.53</v>
      </c>
      <c r="D6" s="29">
        <f>(C6-B6)*1000</f>
        <v/>
      </c>
      <c r="E6" s="64">
        <f>ROUND(D6*D23,0)</f>
        <v/>
      </c>
      <c r="F6" s="29" t="n">
        <v>1000</v>
      </c>
      <c r="G6" s="29">
        <f>SUM(E6:F6)</f>
        <v/>
      </c>
      <c r="H6" s="120" t="inlineStr">
        <is>
          <t>Received</t>
        </is>
      </c>
      <c r="I6" s="120" t="n"/>
      <c r="J6" s="114" t="n"/>
      <c r="K6" s="114" t="n"/>
      <c r="L6" s="114" t="n"/>
      <c r="M6" s="114" t="n">
        <v>50</v>
      </c>
    </row>
    <row r="7" ht="14.25" customHeight="1" s="366">
      <c r="A7" s="32" t="inlineStr">
        <is>
          <t>G4</t>
        </is>
      </c>
      <c r="B7" s="29" t="n">
        <v>189.76</v>
      </c>
      <c r="C7" s="29" t="n">
        <v>194.08</v>
      </c>
      <c r="D7" s="29">
        <f>(C7-B7)*1000</f>
        <v/>
      </c>
      <c r="E7" s="64">
        <f>ROUND(D7*D23,0)</f>
        <v/>
      </c>
      <c r="F7" s="29" t="n">
        <v>1000</v>
      </c>
      <c r="G7" s="29">
        <f>SUM(E7:F7)</f>
        <v/>
      </c>
      <c r="H7" s="120" t="inlineStr">
        <is>
          <t>Received</t>
        </is>
      </c>
      <c r="I7" s="120" t="n"/>
      <c r="J7" s="114" t="n"/>
      <c r="K7" s="114" t="n"/>
      <c r="L7" s="114" t="n"/>
      <c r="M7" s="114" t="n"/>
    </row>
    <row r="8" ht="14.25" customHeight="1" s="366">
      <c r="A8" s="73" t="n">
        <v>101</v>
      </c>
      <c r="B8" s="29" t="n">
        <v>0.38</v>
      </c>
      <c r="C8" s="29" t="n">
        <v>0.55</v>
      </c>
      <c r="D8" s="29">
        <f>(C8-B8)*1000</f>
        <v/>
      </c>
      <c r="E8" s="64">
        <f>ROUND(D8*D23,0)</f>
        <v/>
      </c>
      <c r="F8" s="64" t="n">
        <v>1000</v>
      </c>
      <c r="G8" s="29">
        <f>SUM(E8:F8)</f>
        <v/>
      </c>
      <c r="H8" s="51" t="inlineStr">
        <is>
          <t>Received</t>
        </is>
      </c>
      <c r="I8" s="126" t="n"/>
      <c r="J8" s="114" t="n"/>
      <c r="K8" s="114" t="n"/>
      <c r="L8" s="114" t="n"/>
      <c r="M8" s="114" t="n"/>
    </row>
    <row r="9" ht="14.25" customHeight="1" s="366">
      <c r="A9" s="32" t="n">
        <v>102</v>
      </c>
      <c r="B9" s="29" t="n">
        <v>330.04</v>
      </c>
      <c r="C9" s="29" t="n">
        <v>338.84</v>
      </c>
      <c r="D9" s="29">
        <f>(C9-B9)*1000</f>
        <v/>
      </c>
      <c r="E9" s="64">
        <f>ROUND(D9*D23,0)</f>
        <v/>
      </c>
      <c r="F9" s="29" t="n">
        <v>1000</v>
      </c>
      <c r="G9" s="29">
        <f>SUM(E9:F9)</f>
        <v/>
      </c>
      <c r="H9" s="120" t="inlineStr">
        <is>
          <t>Received</t>
        </is>
      </c>
      <c r="I9" s="120" t="n"/>
      <c r="J9" s="114" t="n"/>
      <c r="K9" s="114" t="n"/>
      <c r="L9" s="114" t="n"/>
      <c r="M9" s="114" t="n"/>
    </row>
    <row r="10" ht="14.25" customHeight="1" s="366">
      <c r="A10" s="32" t="n">
        <v>103</v>
      </c>
      <c r="B10" s="29" t="n">
        <v>31.67</v>
      </c>
      <c r="C10" s="29" t="n">
        <v>32.55</v>
      </c>
      <c r="D10" s="29">
        <f>(C10-B10)*1000</f>
        <v/>
      </c>
      <c r="E10" s="64">
        <f>ROUND(D10*D23,0)</f>
        <v/>
      </c>
      <c r="F10" s="29" t="n">
        <v>1000</v>
      </c>
      <c r="G10" s="29">
        <f>SUM(E10:F10)</f>
        <v/>
      </c>
      <c r="H10" s="120" t="inlineStr">
        <is>
          <t>Received</t>
        </is>
      </c>
      <c r="I10" s="120" t="n"/>
      <c r="J10" s="60" t="inlineStr">
        <is>
          <t>Expenditures</t>
        </is>
      </c>
      <c r="K10" s="368" t="n"/>
      <c r="L10" s="129" t="n"/>
      <c r="M10" s="114" t="n"/>
    </row>
    <row r="11" ht="14.25" customHeight="1" s="366">
      <c r="A11" s="32" t="n">
        <v>104</v>
      </c>
      <c r="B11" s="29" t="n">
        <v>225.2</v>
      </c>
      <c r="C11" s="29" t="n">
        <v>236.82</v>
      </c>
      <c r="D11" s="29">
        <f>(C11-B11)*1000</f>
        <v/>
      </c>
      <c r="E11" s="64">
        <f>ROUND(D11*D23,0)</f>
        <v/>
      </c>
      <c r="F11" s="29" t="n">
        <v>1000</v>
      </c>
      <c r="G11" s="29">
        <f>SUM(E11:F11)</f>
        <v/>
      </c>
      <c r="H11" s="120" t="inlineStr">
        <is>
          <t>Received</t>
        </is>
      </c>
      <c r="I11" s="120" t="n"/>
      <c r="J11" s="121" t="inlineStr">
        <is>
          <t xml:space="preserve">Water Tanker </t>
        </is>
      </c>
      <c r="K11" s="114" t="n">
        <v>9000</v>
      </c>
      <c r="L11" s="114" t="inlineStr">
        <is>
          <t>Jan 3rd</t>
        </is>
      </c>
      <c r="M11" s="114" t="n">
        <v>50</v>
      </c>
    </row>
    <row r="12" ht="14.25" customHeight="1" s="366">
      <c r="A12" s="112" t="n">
        <v>201</v>
      </c>
      <c r="B12" s="29" t="n">
        <v>1.8</v>
      </c>
      <c r="C12" s="29" t="n">
        <v>1.81</v>
      </c>
      <c r="D12" s="29">
        <f>(C12-B12)*1000</f>
        <v/>
      </c>
      <c r="E12" s="64">
        <f>ROUND(D12*D23,0)</f>
        <v/>
      </c>
      <c r="F12" s="64" t="n">
        <v>1000</v>
      </c>
      <c r="G12" s="29">
        <f>SUM(E12:F12)</f>
        <v/>
      </c>
      <c r="H12" s="51" t="inlineStr">
        <is>
          <t>R</t>
        </is>
      </c>
      <c r="I12" s="114" t="inlineStr">
        <is>
          <t>6000 Received for 3 months (OCT,NOV,DEC-22) in March -23</t>
        </is>
      </c>
      <c r="J12" s="114" t="inlineStr">
        <is>
          <t xml:space="preserve">watchman salary </t>
        </is>
      </c>
      <c r="K12" s="114" t="n">
        <v>4700</v>
      </c>
      <c r="L12" s="114" t="inlineStr">
        <is>
          <t>Jan 3rd</t>
        </is>
      </c>
      <c r="M12" s="114" t="n"/>
    </row>
    <row r="13" ht="14.25" customHeight="1" s="366">
      <c r="A13" s="32" t="n">
        <v>202</v>
      </c>
      <c r="B13" s="29" t="n">
        <v>196.82</v>
      </c>
      <c r="C13" s="29" t="n">
        <v>199.62</v>
      </c>
      <c r="D13" s="29">
        <f>(C13-B13)*1000</f>
        <v/>
      </c>
      <c r="E13" s="64">
        <f>ROUND(D13*D23,0)</f>
        <v/>
      </c>
      <c r="F13" s="29" t="n">
        <v>1000</v>
      </c>
      <c r="G13" s="29">
        <f>SUM(E13:F13)</f>
        <v/>
      </c>
      <c r="H13" s="120" t="inlineStr">
        <is>
          <t>Received</t>
        </is>
      </c>
      <c r="I13" s="120" t="n"/>
      <c r="J13" s="114" t="inlineStr">
        <is>
          <t>Common electricity</t>
        </is>
      </c>
      <c r="K13" s="114" t="n">
        <v>2375</v>
      </c>
      <c r="L13" s="114" t="inlineStr">
        <is>
          <t>jan 5th</t>
        </is>
      </c>
      <c r="M13" s="114" t="n">
        <v>50</v>
      </c>
    </row>
    <row r="14" ht="14.25" customHeight="1" s="366">
      <c r="A14" s="32" t="n">
        <v>203</v>
      </c>
      <c r="B14" s="29" t="n">
        <v>212.73</v>
      </c>
      <c r="C14" s="29" t="n">
        <v>218.77</v>
      </c>
      <c r="D14" s="29">
        <f>(C14-B14)*1000</f>
        <v/>
      </c>
      <c r="E14" s="64">
        <f>ROUND(D14*D23,0)</f>
        <v/>
      </c>
      <c r="F14" s="29" t="n">
        <v>1000</v>
      </c>
      <c r="G14" s="29">
        <f>SUM(E14:F14)</f>
        <v/>
      </c>
      <c r="H14" s="120" t="inlineStr">
        <is>
          <t>Received</t>
        </is>
      </c>
      <c r="I14" s="120" t="n"/>
      <c r="J14" s="122" t="inlineStr">
        <is>
          <t>Broomsticks</t>
        </is>
      </c>
      <c r="K14" s="122" t="n">
        <v>245</v>
      </c>
      <c r="L14" s="122" t="inlineStr">
        <is>
          <t>jan7th</t>
        </is>
      </c>
      <c r="M14" s="122" t="n">
        <v>50</v>
      </c>
    </row>
    <row r="15" ht="14.25" customHeight="1" s="366">
      <c r="A15" s="32" t="n">
        <v>204</v>
      </c>
      <c r="B15" s="29" t="n">
        <v>139.46</v>
      </c>
      <c r="C15" s="29" t="n">
        <v>143.57</v>
      </c>
      <c r="D15" s="29">
        <f>(C15-B15)*1000</f>
        <v/>
      </c>
      <c r="E15" s="64">
        <f>ROUND(D15*D23,0)</f>
        <v/>
      </c>
      <c r="F15" s="29" t="n">
        <v>1000</v>
      </c>
      <c r="G15" s="29">
        <f>SUM(E15:F15)</f>
        <v/>
      </c>
      <c r="H15" s="120" t="inlineStr">
        <is>
          <t>Received</t>
        </is>
      </c>
      <c r="I15" s="120" t="n"/>
      <c r="J15" s="114" t="inlineStr">
        <is>
          <t>common water</t>
        </is>
      </c>
      <c r="K15" s="114" t="n">
        <v>2044</v>
      </c>
      <c r="L15" s="122" t="inlineStr">
        <is>
          <t>jan 10th</t>
        </is>
      </c>
      <c r="M15" s="122" t="n"/>
    </row>
    <row r="16" ht="14.25" customHeight="1" s="366">
      <c r="A16" s="73" t="n">
        <v>301</v>
      </c>
      <c r="B16" s="29" t="n">
        <v>0.8</v>
      </c>
      <c r="C16" s="29" t="n">
        <v>0.85</v>
      </c>
      <c r="D16" s="29">
        <f>(C16-B16)*1000</f>
        <v/>
      </c>
      <c r="E16" s="64">
        <f>ROUND(D16*D23,0)</f>
        <v/>
      </c>
      <c r="F16" s="64" t="n">
        <v>1000</v>
      </c>
      <c r="G16" s="29">
        <f>SUM(E16:F16)</f>
        <v/>
      </c>
      <c r="H16" s="51" t="inlineStr">
        <is>
          <t>R</t>
        </is>
      </c>
      <c r="I16" s="114" t="inlineStr">
        <is>
          <t>6000 Received for 3 months (OCT,NOV,DEC-22) in March -23</t>
        </is>
      </c>
      <c r="J16" s="114" t="inlineStr">
        <is>
          <t>Lift maintenance( Last paid may -22 )</t>
        </is>
      </c>
      <c r="K16" s="114" t="n">
        <v>6000</v>
      </c>
      <c r="L16" s="114" t="inlineStr">
        <is>
          <t>jan 11th</t>
        </is>
      </c>
      <c r="M16" s="114" t="n"/>
    </row>
    <row r="17" ht="14.25" customHeight="1" s="366">
      <c r="A17" s="73" t="n">
        <v>302</v>
      </c>
      <c r="B17" s="29" t="n">
        <v>25.19</v>
      </c>
      <c r="C17" s="29" t="n">
        <v>27.85</v>
      </c>
      <c r="D17" s="29">
        <f>(C17-B17)*1000</f>
        <v/>
      </c>
      <c r="E17" s="64">
        <f>ROUND(D17*D23,0)</f>
        <v/>
      </c>
      <c r="F17" s="29" t="n">
        <v>1000</v>
      </c>
      <c r="G17" s="29">
        <f>SUM(E17:F17)</f>
        <v/>
      </c>
      <c r="H17" s="120" t="inlineStr">
        <is>
          <t>Received</t>
        </is>
      </c>
      <c r="I17" s="120" t="n"/>
      <c r="J17" s="114" t="inlineStr">
        <is>
          <t xml:space="preserve">Muggu </t>
        </is>
      </c>
      <c r="K17" s="114" t="n">
        <v>100</v>
      </c>
      <c r="L17" s="114" t="n"/>
      <c r="M17" s="114" t="n"/>
    </row>
    <row r="18" ht="14.25" customHeight="1" s="366">
      <c r="A18" s="32" t="n">
        <v>303</v>
      </c>
      <c r="B18" s="29" t="n">
        <v>513</v>
      </c>
      <c r="C18" s="29" t="n">
        <v>525.33</v>
      </c>
      <c r="D18" s="29">
        <f>(C18-B18)*1000</f>
        <v/>
      </c>
      <c r="E18" s="64">
        <f>ROUND(D18*D23,0)</f>
        <v/>
      </c>
      <c r="F18" s="29" t="n">
        <v>1000</v>
      </c>
      <c r="G18" s="29">
        <f>SUM(E18:F18)</f>
        <v/>
      </c>
      <c r="H18" s="120" t="inlineStr">
        <is>
          <t>Received</t>
        </is>
      </c>
      <c r="I18" s="120" t="n"/>
      <c r="J18" s="114" t="inlineStr">
        <is>
          <t xml:space="preserve">Wiper </t>
        </is>
      </c>
      <c r="K18" s="114" t="n">
        <v>150</v>
      </c>
      <c r="L18" s="114" t="inlineStr">
        <is>
          <t>jan 13th</t>
        </is>
      </c>
      <c r="M18" s="114" t="n">
        <v>50</v>
      </c>
    </row>
    <row r="19" ht="14.25" customHeight="1" s="366">
      <c r="A19" s="32" t="n">
        <v>304</v>
      </c>
      <c r="B19" s="30" t="n">
        <v>91.05</v>
      </c>
      <c r="C19" s="30" t="n">
        <v>99.5</v>
      </c>
      <c r="D19" s="29">
        <f>(C19-B19)*1000</f>
        <v/>
      </c>
      <c r="E19" s="64">
        <f>ROUND(D19*D23,0)</f>
        <v/>
      </c>
      <c r="F19" s="29" t="n">
        <v>1000</v>
      </c>
      <c r="G19" s="29">
        <f>SUM(E19:F19)</f>
        <v/>
      </c>
      <c r="H19" s="120" t="inlineStr">
        <is>
          <t>Received</t>
        </is>
      </c>
      <c r="I19" s="120" t="n"/>
      <c r="J19" s="114" t="n"/>
      <c r="K19" s="128">
        <f>SUM(K11:K18)</f>
        <v/>
      </c>
      <c r="L19" s="114" t="n"/>
      <c r="M19" s="114" t="n">
        <v>50</v>
      </c>
    </row>
    <row r="20" ht="14.25" customHeight="1" s="366">
      <c r="A20" s="29" t="inlineStr">
        <is>
          <t>Common</t>
        </is>
      </c>
      <c r="B20" s="29" t="n">
        <v>49.63</v>
      </c>
      <c r="C20" s="29" t="n">
        <v>49.63</v>
      </c>
      <c r="D20" s="29">
        <f>(C20-B20)*1000</f>
        <v/>
      </c>
      <c r="E20" s="64" t="n">
        <v>0</v>
      </c>
      <c r="F20" s="123" t="n">
        <v>0</v>
      </c>
      <c r="G20" s="29">
        <f>SUM(E20:F20)</f>
        <v/>
      </c>
      <c r="H20" s="51" t="n"/>
      <c r="I20" s="51" t="n"/>
      <c r="J20" s="122" t="n"/>
      <c r="K20" s="122" t="n"/>
      <c r="L20" s="122" t="n"/>
      <c r="M20" s="114" t="n"/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29" t="n"/>
      <c r="I21" s="29" t="n"/>
      <c r="J21" s="114" t="n"/>
      <c r="K21" s="114" t="n"/>
      <c r="L21" s="114" t="n"/>
      <c r="M21" s="114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 t="n"/>
      <c r="F22" s="29" t="n"/>
      <c r="G22" s="29" t="n"/>
      <c r="H22" s="29" t="n"/>
      <c r="I22" s="29" t="n"/>
      <c r="J22" s="114" t="n"/>
      <c r="K22" s="114" t="n"/>
      <c r="L22" s="114" t="n"/>
      <c r="M22" s="114" t="n"/>
    </row>
    <row r="23" ht="14.25" customHeight="1" s="366">
      <c r="A23" s="29" t="n"/>
      <c r="B23" s="29" t="inlineStr">
        <is>
          <t>Per Lt cost</t>
        </is>
      </c>
      <c r="C23" s="2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 t="n">
        <v>6684</v>
      </c>
      <c r="I23" s="29" t="n"/>
      <c r="J23" s="114" t="n"/>
      <c r="K23" s="114" t="n"/>
      <c r="L23" s="114" t="n"/>
      <c r="M23" s="114" t="n"/>
    </row>
    <row r="24" ht="14.25" customHeight="1" s="366">
      <c r="A24" s="29" t="inlineStr">
        <is>
          <t>Total Water Bill</t>
        </is>
      </c>
      <c r="B24" s="30" t="n">
        <v>9000</v>
      </c>
      <c r="C24" s="119" t="inlineStr">
        <is>
          <t xml:space="preserve">WATER Tankers(9) </t>
        </is>
      </c>
      <c r="D24" s="29" t="n"/>
      <c r="E24" s="29" t="n"/>
      <c r="F24" s="29" t="n"/>
      <c r="G24" s="29" t="n"/>
      <c r="H24" s="29" t="n"/>
      <c r="I24" s="29" t="n"/>
      <c r="J24" s="114" t="n"/>
      <c r="K24" s="114" t="n"/>
      <c r="L24" s="114" t="n"/>
      <c r="M24" s="128" t="n">
        <v>350</v>
      </c>
    </row>
    <row r="25" ht="14.25" customHeight="1" s="366">
      <c r="G25" s="130" t="inlineStr">
        <is>
          <t>22991 Received</t>
        </is>
      </c>
    </row>
  </sheetData>
  <mergeCells count="1">
    <mergeCell ref="J10:K10"/>
  </mergeCell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ColWidth="14.42578125" defaultRowHeight="15" customHeight="1"/>
  <cols>
    <col width="15.7109375" customWidth="1" style="366" min="1" max="1"/>
    <col width="22.7109375" customWidth="1" style="366" min="2" max="2"/>
    <col width="35.5703125" customWidth="1" style="366" min="3" max="3"/>
    <col width="10.5703125" customWidth="1" style="366" min="4" max="4"/>
    <col width="9.85546875" customWidth="1" style="366" min="5" max="5"/>
    <col width="21.42578125" customWidth="1" style="366" min="6" max="6"/>
    <col width="11.7109375" customWidth="1" style="366" min="7" max="7"/>
    <col width="16.5703125" customWidth="1" style="366" min="8" max="9"/>
    <col width="14.85546875" customWidth="1" style="366" min="10" max="10"/>
    <col width="47.7109375" customWidth="1" style="366" min="11" max="11"/>
    <col width="35.5703125" customWidth="1" style="366" min="12" max="12"/>
    <col width="6.140625" customWidth="1" style="366" min="13" max="13"/>
    <col width="8.42578125" customWidth="1" style="366" min="14" max="14"/>
  </cols>
  <sheetData>
    <row r="1" ht="14.25" customHeight="1" s="366">
      <c r="A1" s="49" t="inlineStr">
        <is>
          <t>Flat Number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49" t="inlineStr">
        <is>
          <t>Total Units</t>
        </is>
      </c>
      <c r="E1" s="113" t="inlineStr">
        <is>
          <t>Water Bill</t>
        </is>
      </c>
      <c r="F1" s="29" t="inlineStr">
        <is>
          <t>CommonMaintanence</t>
        </is>
      </c>
      <c r="G1" s="29" t="inlineStr">
        <is>
          <t>Total Maintenance</t>
        </is>
      </c>
      <c r="H1" s="29" t="inlineStr">
        <is>
          <t>Garbage Amount</t>
        </is>
      </c>
      <c r="I1" s="29" t="inlineStr">
        <is>
          <t xml:space="preserve">Topay </t>
        </is>
      </c>
      <c r="J1" s="49" t="inlineStr">
        <is>
          <t>Payment Status</t>
        </is>
      </c>
      <c r="K1" s="49" t="inlineStr">
        <is>
          <t>Reveived Amount (Subbarao)</t>
        </is>
      </c>
      <c r="L1" s="124" t="inlineStr">
        <is>
          <t xml:space="preserve">Balance from January Month </t>
        </is>
      </c>
      <c r="M1" s="128" t="n">
        <v>6684</v>
      </c>
      <c r="N1" s="114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SUM(E2:F2)</f>
        <v/>
      </c>
      <c r="H2" s="29" t="n">
        <v>0</v>
      </c>
      <c r="I2" s="29">
        <f>G2+H2</f>
        <v/>
      </c>
      <c r="J2" s="120" t="inlineStr">
        <is>
          <t>NR</t>
        </is>
      </c>
      <c r="K2" s="120" t="n"/>
      <c r="L2" s="114" t="n"/>
      <c r="M2" s="114" t="n"/>
      <c r="N2" s="114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>
        <f>SUM(E3:F3)</f>
        <v/>
      </c>
      <c r="H3" s="29" t="n">
        <v>0</v>
      </c>
      <c r="I3" s="29">
        <f>G3+H3</f>
        <v/>
      </c>
      <c r="J3" s="120" t="inlineStr">
        <is>
          <t>NR</t>
        </is>
      </c>
      <c r="K3" s="120" t="n"/>
      <c r="L3" s="114" t="n"/>
      <c r="M3" s="114" t="n"/>
      <c r="N3" s="114" t="n"/>
    </row>
    <row r="4" ht="14.25" customHeight="1" s="366">
      <c r="A4" s="32" t="inlineStr">
        <is>
          <t>G1</t>
        </is>
      </c>
      <c r="B4" s="30" t="n">
        <v>32.39</v>
      </c>
      <c r="C4" s="30" t="n">
        <v>37.06</v>
      </c>
      <c r="D4" s="29">
        <f>(C4-B4)*1000</f>
        <v/>
      </c>
      <c r="E4" s="64">
        <f>ROUND(D4*D23,0)</f>
        <v/>
      </c>
      <c r="F4" s="29" t="n">
        <v>1000</v>
      </c>
      <c r="G4" s="29">
        <f>SUM(E4:F4)</f>
        <v/>
      </c>
      <c r="H4" s="29" t="n">
        <v>50</v>
      </c>
      <c r="I4" s="29">
        <f>G4+H4</f>
        <v/>
      </c>
      <c r="J4" s="120" t="inlineStr">
        <is>
          <t>R</t>
        </is>
      </c>
      <c r="K4" s="120" t="n"/>
      <c r="L4" s="114" t="n"/>
      <c r="M4" s="114" t="n"/>
      <c r="N4" s="114" t="n"/>
    </row>
    <row r="5" ht="14.25" customHeight="1" s="366">
      <c r="A5" s="32" t="inlineStr">
        <is>
          <t>G2</t>
        </is>
      </c>
      <c r="B5" s="30" t="n">
        <v>121.4</v>
      </c>
      <c r="C5" s="30" t="n">
        <v>124.75</v>
      </c>
      <c r="D5" s="29">
        <f>(C5-B5)*1000</f>
        <v/>
      </c>
      <c r="E5" s="64">
        <f>ROUND(D5*D23,0)</f>
        <v/>
      </c>
      <c r="F5" s="29" t="n">
        <v>1000</v>
      </c>
      <c r="G5" s="29">
        <f>SUM(E5:F5)</f>
        <v/>
      </c>
      <c r="H5" s="29" t="n">
        <v>50</v>
      </c>
      <c r="I5" s="29">
        <f>G5+H5</f>
        <v/>
      </c>
      <c r="J5" s="120" t="inlineStr">
        <is>
          <t>R</t>
        </is>
      </c>
      <c r="K5" s="120" t="n"/>
      <c r="L5" s="114" t="n"/>
      <c r="M5" s="114" t="n"/>
      <c r="N5" s="114" t="n"/>
    </row>
    <row r="6" ht="14.25" customHeight="1" s="366">
      <c r="A6" s="32" t="inlineStr">
        <is>
          <t>G3</t>
        </is>
      </c>
      <c r="B6" s="29" t="n">
        <v>230.53</v>
      </c>
      <c r="C6" s="30" t="n">
        <v>240.21</v>
      </c>
      <c r="D6" s="29">
        <f>(C6-B6)*1000</f>
        <v/>
      </c>
      <c r="E6" s="64">
        <f>ROUND(D6*D23,0)</f>
        <v/>
      </c>
      <c r="F6" s="29" t="n">
        <v>1000</v>
      </c>
      <c r="G6" s="29">
        <f>SUM(E6:F6)</f>
        <v/>
      </c>
      <c r="H6" s="29" t="n">
        <v>50</v>
      </c>
      <c r="I6" s="29">
        <f>G6+H6</f>
        <v/>
      </c>
      <c r="J6" s="120" t="inlineStr">
        <is>
          <t>R</t>
        </is>
      </c>
      <c r="K6" s="120" t="n"/>
      <c r="L6" s="114" t="n"/>
      <c r="M6" s="114" t="n"/>
      <c r="N6" s="114" t="n"/>
    </row>
    <row r="7" ht="14.25" customHeight="1" s="366">
      <c r="A7" s="32" t="inlineStr">
        <is>
          <t>G4</t>
        </is>
      </c>
      <c r="B7" s="29" t="n">
        <v>194.08</v>
      </c>
      <c r="C7" s="30" t="n">
        <v>200.82</v>
      </c>
      <c r="D7" s="29">
        <f>(C7-B7)*1000</f>
        <v/>
      </c>
      <c r="E7" s="64">
        <f>ROUND(D7*D23,0)</f>
        <v/>
      </c>
      <c r="F7" s="29" t="n">
        <v>1000</v>
      </c>
      <c r="G7" s="29">
        <f>SUM(E7:F7)</f>
        <v/>
      </c>
      <c r="H7" s="29" t="n">
        <v>50</v>
      </c>
      <c r="I7" s="29">
        <f>G7+H7</f>
        <v/>
      </c>
      <c r="J7" s="120" t="inlineStr">
        <is>
          <t>R</t>
        </is>
      </c>
      <c r="K7" s="120" t="n"/>
      <c r="L7" s="114" t="n"/>
      <c r="M7" s="114" t="n"/>
      <c r="N7" s="114" t="n"/>
    </row>
    <row r="8" ht="14.25" customHeight="1" s="366">
      <c r="A8" s="73" t="n">
        <v>101</v>
      </c>
      <c r="B8" s="29" t="n">
        <v>0.55</v>
      </c>
      <c r="C8" s="30" t="n">
        <v>0.55</v>
      </c>
      <c r="D8" s="29">
        <f>(C8-B8)*1000</f>
        <v/>
      </c>
      <c r="E8" s="64">
        <f>ROUND(D8*D23,0)</f>
        <v/>
      </c>
      <c r="F8" s="64" t="n">
        <v>1000</v>
      </c>
      <c r="G8" s="29">
        <f>SUM(E8:F8)</f>
        <v/>
      </c>
      <c r="H8" s="29" t="n">
        <v>0</v>
      </c>
      <c r="I8" s="29">
        <f>G8+H8</f>
        <v/>
      </c>
      <c r="J8" s="51" t="inlineStr">
        <is>
          <t>R</t>
        </is>
      </c>
      <c r="K8" s="126" t="n"/>
      <c r="L8" s="114" t="n"/>
      <c r="M8" s="114" t="n"/>
      <c r="N8" s="114" t="n"/>
    </row>
    <row r="9" ht="14.25" customHeight="1" s="366">
      <c r="A9" s="32" t="n">
        <v>102</v>
      </c>
      <c r="B9" s="29" t="n">
        <v>338.84</v>
      </c>
      <c r="C9" s="30" t="n">
        <v>366.51</v>
      </c>
      <c r="D9" s="29">
        <f>(C9-B9)*1000</f>
        <v/>
      </c>
      <c r="E9" s="64">
        <f>ROUND(D9*D23,0)</f>
        <v/>
      </c>
      <c r="F9" s="29" t="n">
        <v>1000</v>
      </c>
      <c r="G9" s="29">
        <f>SUM(E9:F9)</f>
        <v/>
      </c>
      <c r="H9" s="29" t="n">
        <v>50</v>
      </c>
      <c r="I9" s="29">
        <f>G9+H9</f>
        <v/>
      </c>
      <c r="J9" s="120" t="inlineStr">
        <is>
          <t>R</t>
        </is>
      </c>
      <c r="K9" s="120" t="n"/>
      <c r="L9" s="114" t="n"/>
      <c r="M9" s="114" t="n"/>
      <c r="N9" s="114" t="n"/>
    </row>
    <row r="10" ht="14.25" customHeight="1" s="366">
      <c r="A10" s="32" t="n">
        <v>103</v>
      </c>
      <c r="B10" s="29" t="n">
        <v>32.55</v>
      </c>
      <c r="C10" s="30" t="n">
        <v>35.09</v>
      </c>
      <c r="D10" s="29">
        <f>(C10-B10)*1000</f>
        <v/>
      </c>
      <c r="E10" s="64">
        <f>ROUND(D10*D23,0)</f>
        <v/>
      </c>
      <c r="F10" s="29" t="n">
        <v>1000</v>
      </c>
      <c r="G10" s="29">
        <f>SUM(E10:F10)</f>
        <v/>
      </c>
      <c r="H10" s="29" t="n">
        <v>50</v>
      </c>
      <c r="I10" s="29">
        <f>G10+H10</f>
        <v/>
      </c>
      <c r="J10" s="120" t="inlineStr">
        <is>
          <t>R</t>
        </is>
      </c>
      <c r="K10" s="120" t="n"/>
      <c r="L10" s="60" t="inlineStr">
        <is>
          <t>Expenditures</t>
        </is>
      </c>
      <c r="M10" s="368" t="n"/>
      <c r="N10" s="60" t="n"/>
    </row>
    <row r="11" ht="14.25" customHeight="1" s="366">
      <c r="A11" s="32" t="n">
        <v>104</v>
      </c>
      <c r="B11" s="29" t="n">
        <v>236.82</v>
      </c>
      <c r="C11" s="30" t="n">
        <v>246.88</v>
      </c>
      <c r="D11" s="29">
        <f>(C11-B11)*1000</f>
        <v/>
      </c>
      <c r="E11" s="64">
        <f>ROUND(D11*D23,0)</f>
        <v/>
      </c>
      <c r="F11" s="29" t="n">
        <v>1000</v>
      </c>
      <c r="G11" s="29">
        <f>SUM(E11:F11)</f>
        <v/>
      </c>
      <c r="H11" s="29" t="n">
        <v>50</v>
      </c>
      <c r="I11" s="29">
        <f>G11+H11</f>
        <v/>
      </c>
      <c r="J11" s="120" t="inlineStr">
        <is>
          <t>R</t>
        </is>
      </c>
      <c r="K11" s="120" t="n"/>
      <c r="L11" s="121" t="inlineStr">
        <is>
          <t xml:space="preserve">watchman salary </t>
        </is>
      </c>
      <c r="M11" s="114" t="n">
        <v>6700</v>
      </c>
      <c r="N11" s="114" t="inlineStr">
        <is>
          <t xml:space="preserve">feb 4th </t>
        </is>
      </c>
    </row>
    <row r="12" ht="14.25" customHeight="1" s="366">
      <c r="A12" s="112" t="n">
        <v>201</v>
      </c>
      <c r="B12" s="29" t="n">
        <v>1.81</v>
      </c>
      <c r="C12" s="30" t="n">
        <v>1.81</v>
      </c>
      <c r="D12" s="29">
        <f>(C12-B12)*1000</f>
        <v/>
      </c>
      <c r="E12" s="64">
        <f>ROUND(D12*D23,0)</f>
        <v/>
      </c>
      <c r="F12" s="64" t="n">
        <v>1000</v>
      </c>
      <c r="G12" s="29">
        <f>SUM(E12:F12)</f>
        <v/>
      </c>
      <c r="H12" s="29" t="n">
        <v>0</v>
      </c>
      <c r="I12" s="29">
        <f>G12+H12</f>
        <v/>
      </c>
      <c r="J12" s="51" t="n"/>
      <c r="K12" s="114" t="inlineStr">
        <is>
          <t>4000 Received for 2 months (JAN,FEB-23) in April -23</t>
        </is>
      </c>
      <c r="L12" s="114" t="inlineStr">
        <is>
          <t>water tanker</t>
        </is>
      </c>
      <c r="M12" s="114" t="n">
        <v>11000</v>
      </c>
      <c r="N12" s="114" t="inlineStr">
        <is>
          <t xml:space="preserve">feb 4th </t>
        </is>
      </c>
    </row>
    <row r="13" ht="14.25" customHeight="1" s="366">
      <c r="A13" s="32" t="n">
        <v>202</v>
      </c>
      <c r="B13" s="29" t="n">
        <v>199.62</v>
      </c>
      <c r="C13" s="30" t="n">
        <v>203.83</v>
      </c>
      <c r="D13" s="29">
        <f>(C13-B13)*1000</f>
        <v/>
      </c>
      <c r="E13" s="64">
        <f>ROUND(D13*D23,0)</f>
        <v/>
      </c>
      <c r="F13" s="29" t="n">
        <v>1000</v>
      </c>
      <c r="G13" s="29">
        <f>SUM(E13:F13)</f>
        <v/>
      </c>
      <c r="H13" s="29" t="n">
        <v>50</v>
      </c>
      <c r="I13" s="29">
        <f>G13+H13</f>
        <v/>
      </c>
      <c r="J13" s="120" t="inlineStr">
        <is>
          <t>R</t>
        </is>
      </c>
      <c r="K13" s="120" t="n"/>
      <c r="L13" s="114" t="inlineStr">
        <is>
          <t>water bill manjeera</t>
        </is>
      </c>
      <c r="M13" s="114" t="n">
        <v>2044</v>
      </c>
      <c r="N13" s="114" t="inlineStr">
        <is>
          <t xml:space="preserve">feb 8th </t>
        </is>
      </c>
    </row>
    <row r="14" ht="14.25" customHeight="1" s="366">
      <c r="A14" s="32" t="n">
        <v>203</v>
      </c>
      <c r="B14" s="29" t="n">
        <v>218.77</v>
      </c>
      <c r="C14" s="30" t="n">
        <v>226.54</v>
      </c>
      <c r="D14" s="29">
        <f>(C14-B14)*1000</f>
        <v/>
      </c>
      <c r="E14" s="64">
        <f>ROUND(D14*D23,0)</f>
        <v/>
      </c>
      <c r="F14" s="29" t="n">
        <v>1000</v>
      </c>
      <c r="G14" s="29">
        <f>SUM(E14:F14)</f>
        <v/>
      </c>
      <c r="H14" s="29" t="n">
        <v>50</v>
      </c>
      <c r="I14" s="29">
        <f>G14+H14</f>
        <v/>
      </c>
      <c r="J14" s="120" t="inlineStr">
        <is>
          <t>R</t>
        </is>
      </c>
      <c r="K14" s="120" t="n"/>
      <c r="L14" s="114" t="inlineStr">
        <is>
          <t xml:space="preserve">common electrictiy </t>
        </is>
      </c>
      <c r="M14" s="114" t="n">
        <v>2224</v>
      </c>
      <c r="N14" s="114" t="inlineStr">
        <is>
          <t xml:space="preserve">feb 8th </t>
        </is>
      </c>
    </row>
    <row r="15" ht="14.25" customHeight="1" s="366">
      <c r="A15" s="32" t="n">
        <v>204</v>
      </c>
      <c r="B15" s="29" t="n">
        <v>143.57</v>
      </c>
      <c r="C15" s="30" t="n">
        <v>150.28</v>
      </c>
      <c r="D15" s="29">
        <f>(C15-B15)*1000</f>
        <v/>
      </c>
      <c r="E15" s="64">
        <f>ROUND(D15*D23,0)</f>
        <v/>
      </c>
      <c r="F15" s="29" t="n">
        <v>1000</v>
      </c>
      <c r="G15" s="29">
        <f>SUM(E15:F15)</f>
        <v/>
      </c>
      <c r="H15" s="29" t="n">
        <v>50</v>
      </c>
      <c r="I15" s="29">
        <f>G15+H15</f>
        <v/>
      </c>
      <c r="J15" s="120" t="inlineStr">
        <is>
          <t>R</t>
        </is>
      </c>
      <c r="K15" s="120" t="n"/>
      <c r="L15" s="114" t="inlineStr">
        <is>
          <t xml:space="preserve">GHMC dust </t>
        </is>
      </c>
      <c r="M15" s="114" t="n">
        <v>350</v>
      </c>
      <c r="N15" s="114" t="inlineStr">
        <is>
          <t xml:space="preserve">feb 9th </t>
        </is>
      </c>
    </row>
    <row r="16" ht="14.25" customHeight="1" s="366">
      <c r="A16" s="73" t="n">
        <v>301</v>
      </c>
      <c r="B16" s="29" t="n">
        <v>0.85</v>
      </c>
      <c r="C16" s="30" t="n">
        <v>0.88</v>
      </c>
      <c r="D16" s="29">
        <f>(C16-B16)*1000</f>
        <v/>
      </c>
      <c r="E16" s="64">
        <f>ROUND(D16*D23,0)</f>
        <v/>
      </c>
      <c r="F16" s="64" t="n">
        <v>1000</v>
      </c>
      <c r="G16" s="29">
        <f>SUM(E16:F16)</f>
        <v/>
      </c>
      <c r="H16" s="29" t="n">
        <v>0</v>
      </c>
      <c r="I16" s="29">
        <f>G16+H16</f>
        <v/>
      </c>
      <c r="J16" s="51" t="inlineStr">
        <is>
          <t>R</t>
        </is>
      </c>
      <c r="K16" s="114" t="inlineStr">
        <is>
          <t>4000 Received for 2 months (JAN,FEB-23) in April -23</t>
        </is>
      </c>
      <c r="L16" s="114" t="inlineStr">
        <is>
          <t>Bleaching powder</t>
        </is>
      </c>
      <c r="M16" s="114" t="n">
        <v>40</v>
      </c>
      <c r="N16" s="114" t="inlineStr">
        <is>
          <t xml:space="preserve">feb 26th </t>
        </is>
      </c>
    </row>
    <row r="17" ht="14.25" customHeight="1" s="366">
      <c r="A17" s="73" t="n">
        <v>302</v>
      </c>
      <c r="B17" s="29" t="n">
        <v>27.85</v>
      </c>
      <c r="C17" s="30" t="n">
        <v>31.31</v>
      </c>
      <c r="D17" s="29">
        <f>(C17-B17)*1000</f>
        <v/>
      </c>
      <c r="E17" s="64">
        <f>ROUND(D17*D23,0)</f>
        <v/>
      </c>
      <c r="F17" s="29" t="n">
        <v>1000</v>
      </c>
      <c r="G17" s="29">
        <f>SUM(E17:F17)</f>
        <v/>
      </c>
      <c r="H17" s="29" t="n">
        <v>50</v>
      </c>
      <c r="I17" s="29">
        <f>G17+H17</f>
        <v/>
      </c>
      <c r="J17" s="120" t="inlineStr">
        <is>
          <t>R</t>
        </is>
      </c>
      <c r="K17" s="120" t="n"/>
      <c r="L17" s="114" t="inlineStr">
        <is>
          <t>Tank cleaning</t>
        </is>
      </c>
      <c r="M17" s="114" t="n">
        <v>1200</v>
      </c>
      <c r="N17" s="114" t="inlineStr">
        <is>
          <t>feb 28th</t>
        </is>
      </c>
    </row>
    <row r="18" ht="14.25" customHeight="1" s="366">
      <c r="A18" s="32" t="n">
        <v>303</v>
      </c>
      <c r="B18" s="29" t="n">
        <v>525.33</v>
      </c>
      <c r="C18" s="30" t="n">
        <v>543.96</v>
      </c>
      <c r="D18" s="29">
        <f>(C18-B18)*1000</f>
        <v/>
      </c>
      <c r="E18" s="64">
        <f>ROUND(D18*D23,0)</f>
        <v/>
      </c>
      <c r="F18" s="29" t="n">
        <v>1000</v>
      </c>
      <c r="G18" s="29">
        <f>SUM(E18:F18)</f>
        <v/>
      </c>
      <c r="H18" s="29" t="n">
        <v>50</v>
      </c>
      <c r="I18" s="29">
        <f>G18+H18</f>
        <v/>
      </c>
      <c r="J18" s="120" t="inlineStr">
        <is>
          <t>R</t>
        </is>
      </c>
      <c r="K18" s="120" t="n"/>
      <c r="L18" s="114" t="n"/>
      <c r="M18" s="114" t="n"/>
      <c r="N18" s="114" t="n"/>
    </row>
    <row r="19" ht="14.25" customHeight="1" s="366">
      <c r="A19" s="32" t="n">
        <v>304</v>
      </c>
      <c r="B19" s="30" t="n">
        <v>99.5</v>
      </c>
      <c r="C19" s="30" t="n">
        <v>107.33</v>
      </c>
      <c r="D19" s="29">
        <f>(C19-B19)*1000</f>
        <v/>
      </c>
      <c r="E19" s="64">
        <f>ROUND(D19*D23,0)</f>
        <v/>
      </c>
      <c r="F19" s="29" t="n">
        <v>1000</v>
      </c>
      <c r="G19" s="29">
        <f>SUM(E19:F19)</f>
        <v/>
      </c>
      <c r="H19" s="29" t="n">
        <v>50</v>
      </c>
      <c r="I19" s="29">
        <f>G19+H19</f>
        <v/>
      </c>
      <c r="J19" s="120" t="inlineStr">
        <is>
          <t>R</t>
        </is>
      </c>
      <c r="K19" s="120" t="n"/>
      <c r="L19" s="114" t="n"/>
      <c r="M19" s="114" t="n"/>
      <c r="N19" s="114" t="n"/>
    </row>
    <row r="20" ht="14.25" customHeight="1" s="366">
      <c r="A20" s="29" t="inlineStr">
        <is>
          <t>Common</t>
        </is>
      </c>
      <c r="B20" s="29" t="n">
        <v>49.63</v>
      </c>
      <c r="C20" s="30" t="n">
        <v>72.81100000000001</v>
      </c>
      <c r="D20" s="29">
        <f>(C20-B20)*1000</f>
        <v/>
      </c>
      <c r="E20" s="64" t="n">
        <v>0</v>
      </c>
      <c r="F20" s="123" t="n">
        <v>0</v>
      </c>
      <c r="G20" s="29">
        <f>SUM(E20:F20)</f>
        <v/>
      </c>
      <c r="H20" s="29" t="n">
        <v>0</v>
      </c>
      <c r="I20" s="29">
        <f>G20+H20</f>
        <v/>
      </c>
      <c r="J20" s="51" t="n"/>
      <c r="K20" s="51" t="n"/>
      <c r="L20" s="114" t="n"/>
      <c r="M20" s="114" t="n"/>
      <c r="N20" s="114" t="n"/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49">
        <f>SUM(H2:H20)</f>
        <v/>
      </c>
      <c r="I21" s="49" t="n"/>
      <c r="J21" s="29" t="n"/>
      <c r="K21" s="29" t="n"/>
      <c r="L21" s="114" t="n"/>
      <c r="M21" s="114" t="n"/>
      <c r="N21" s="114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 t="n"/>
      <c r="F22" s="29" t="n"/>
      <c r="G22" s="29" t="n"/>
      <c r="H22" s="29" t="n"/>
      <c r="I22" s="29" t="n"/>
      <c r="J22" s="29" t="n"/>
      <c r="K22" s="29" t="n"/>
      <c r="L22" s="114" t="n"/>
      <c r="M22" s="114" t="n"/>
      <c r="N22" s="114" t="n"/>
    </row>
    <row r="23" ht="14.25" customHeight="1" s="366">
      <c r="A23" s="29" t="n"/>
      <c r="B23" s="29" t="inlineStr">
        <is>
          <t>Per Lt cost</t>
        </is>
      </c>
      <c r="C23" s="2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 t="n">
        <v>6907</v>
      </c>
      <c r="I23" s="29" t="n"/>
      <c r="J23" s="29" t="n"/>
      <c r="K23" s="29" t="n"/>
      <c r="L23" s="114" t="n"/>
      <c r="M23" s="114" t="n"/>
      <c r="N23" s="114" t="n"/>
    </row>
    <row r="24" ht="14.25" customHeight="1" s="366">
      <c r="A24" s="29" t="inlineStr">
        <is>
          <t>Total Water Bill</t>
        </is>
      </c>
      <c r="B24" s="30" t="n">
        <v>11000</v>
      </c>
      <c r="C24" s="119" t="inlineStr">
        <is>
          <t xml:space="preserve">WATER Tankers(11)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114" t="n"/>
      <c r="M24" s="114" t="n"/>
      <c r="N24" s="114" t="n"/>
    </row>
  </sheetData>
  <mergeCells count="1">
    <mergeCell ref="L10:M10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ColWidth="14.42578125" defaultRowHeight="15" customHeight="1"/>
  <cols>
    <col width="15.7109375" customWidth="1" style="366" min="1" max="1"/>
    <col width="22.7109375" customWidth="1" style="366" min="2" max="2"/>
    <col width="35.5703125" customWidth="1" style="366" min="3" max="3"/>
    <col width="10.5703125" customWidth="1" style="366" min="4" max="4"/>
    <col width="9.85546875" customWidth="1" style="366" min="5" max="5"/>
    <col width="21.42578125" customWidth="1" style="366" min="6" max="6"/>
    <col width="17.7109375" customWidth="1" style="366" min="7" max="7"/>
    <col width="16.5703125" customWidth="1" style="366" min="8" max="9"/>
    <col width="14.85546875" customWidth="1" style="366" min="10" max="10"/>
    <col width="47.140625" customWidth="1" style="366" min="11" max="11"/>
    <col width="21.7109375" customWidth="1" style="366" min="12" max="12"/>
    <col width="15.140625" customWidth="1" style="366" min="13" max="13"/>
    <col width="8.7109375" customWidth="1" style="366" min="14" max="14"/>
  </cols>
  <sheetData>
    <row r="1" ht="14.25" customHeight="1" s="366">
      <c r="A1" s="131" t="inlineStr">
        <is>
          <t>Flat Number</t>
        </is>
      </c>
      <c r="B1" s="131" t="inlineStr">
        <is>
          <t>Previous Meter Reading</t>
        </is>
      </c>
      <c r="C1" s="131" t="inlineStr">
        <is>
          <t>Current Meter Reading</t>
        </is>
      </c>
      <c r="D1" s="131" t="inlineStr">
        <is>
          <t>Total Units</t>
        </is>
      </c>
      <c r="E1" s="132" t="inlineStr">
        <is>
          <t>Water Bill</t>
        </is>
      </c>
      <c r="F1" s="133" t="inlineStr">
        <is>
          <t>CommonMaintanence</t>
        </is>
      </c>
      <c r="G1" s="133" t="inlineStr">
        <is>
          <t>Total Maintenance</t>
        </is>
      </c>
      <c r="H1" s="133" t="inlineStr">
        <is>
          <t>Garbage Amount</t>
        </is>
      </c>
      <c r="I1" s="133" t="inlineStr">
        <is>
          <t xml:space="preserve">Topay </t>
        </is>
      </c>
      <c r="J1" s="131" t="inlineStr">
        <is>
          <t>Payment Status</t>
        </is>
      </c>
      <c r="K1" s="131" t="inlineStr">
        <is>
          <t>Reveived Amount (Subbarao)</t>
        </is>
      </c>
      <c r="L1" s="134" t="inlineStr">
        <is>
          <t xml:space="preserve">Balance from Feb Month </t>
        </is>
      </c>
      <c r="M1" s="135" t="n">
        <v>6907</v>
      </c>
      <c r="N1" s="136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SUM(E2:F2)</f>
        <v/>
      </c>
      <c r="H2" s="29" t="n">
        <v>0</v>
      </c>
      <c r="I2" s="29">
        <f>G2+H2</f>
        <v/>
      </c>
      <c r="J2" s="120" t="inlineStr">
        <is>
          <t>NR</t>
        </is>
      </c>
      <c r="K2" s="120" t="n"/>
      <c r="L2" s="114" t="n"/>
      <c r="M2" s="114" t="n"/>
      <c r="N2" s="114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>
        <f>SUM(E3:F3)</f>
        <v/>
      </c>
      <c r="H3" s="29" t="n">
        <v>0</v>
      </c>
      <c r="I3" s="29">
        <f>G3+H3</f>
        <v/>
      </c>
      <c r="J3" s="120" t="inlineStr">
        <is>
          <t>NR</t>
        </is>
      </c>
      <c r="K3" s="120" t="n"/>
      <c r="L3" s="114" t="n"/>
      <c r="M3" s="114" t="n"/>
      <c r="N3" s="114" t="n"/>
    </row>
    <row r="4" ht="14.25" customHeight="1" s="366">
      <c r="A4" s="32" t="inlineStr">
        <is>
          <t>G1</t>
        </is>
      </c>
      <c r="B4" s="30" t="n">
        <v>37.06</v>
      </c>
      <c r="C4" s="30" t="n">
        <v>40.83</v>
      </c>
      <c r="D4" s="29">
        <f>(C4-B4)*1000</f>
        <v/>
      </c>
      <c r="E4" s="64">
        <f>ROUND(D4*D23,0)</f>
        <v/>
      </c>
      <c r="F4" s="29" t="n">
        <v>1000</v>
      </c>
      <c r="G4" s="29">
        <f>SUM(E4:F4)</f>
        <v/>
      </c>
      <c r="H4" s="29" t="n">
        <v>50</v>
      </c>
      <c r="I4" s="29">
        <f>G4+H4</f>
        <v/>
      </c>
      <c r="J4" s="120" t="inlineStr">
        <is>
          <t>R</t>
        </is>
      </c>
      <c r="K4" s="120" t="n"/>
      <c r="L4" s="114" t="n"/>
      <c r="M4" s="114" t="n"/>
      <c r="N4" s="114" t="n"/>
    </row>
    <row r="5" ht="14.25" customHeight="1" s="366">
      <c r="A5" s="32" t="inlineStr">
        <is>
          <t>G2</t>
        </is>
      </c>
      <c r="B5" s="30" t="n">
        <v>124.75</v>
      </c>
      <c r="C5" s="30" t="n">
        <v>128.23</v>
      </c>
      <c r="D5" s="29">
        <f>(C5-B5)*1000</f>
        <v/>
      </c>
      <c r="E5" s="64">
        <f>ROUND(D5*D23,0)</f>
        <v/>
      </c>
      <c r="F5" s="29" t="n">
        <v>1000</v>
      </c>
      <c r="G5" s="29">
        <f>SUM(E5:F5)</f>
        <v/>
      </c>
      <c r="H5" s="29" t="n">
        <v>50</v>
      </c>
      <c r="I5" s="29">
        <f>G5+H5</f>
        <v/>
      </c>
      <c r="J5" s="120" t="inlineStr">
        <is>
          <t>R</t>
        </is>
      </c>
      <c r="K5" s="120" t="n"/>
      <c r="L5" s="114" t="n"/>
      <c r="M5" s="114" t="n"/>
      <c r="N5" s="114" t="n"/>
    </row>
    <row r="6" ht="14.25" customHeight="1" s="366">
      <c r="A6" s="32" t="inlineStr">
        <is>
          <t>G3</t>
        </is>
      </c>
      <c r="B6" s="29" t="n">
        <v>240.21</v>
      </c>
      <c r="C6" s="30" t="n">
        <v>249.13</v>
      </c>
      <c r="D6" s="29">
        <f>(C6-B6)*1000</f>
        <v/>
      </c>
      <c r="E6" s="64">
        <f>ROUND(D6*D23,0)</f>
        <v/>
      </c>
      <c r="F6" s="29" t="n">
        <v>1000</v>
      </c>
      <c r="G6" s="29">
        <f>SUM(E6:F6)</f>
        <v/>
      </c>
      <c r="H6" s="29" t="n">
        <v>50</v>
      </c>
      <c r="I6" s="29">
        <f>G6+H6</f>
        <v/>
      </c>
      <c r="J6" s="120" t="inlineStr">
        <is>
          <t>R</t>
        </is>
      </c>
      <c r="K6" s="120" t="n"/>
      <c r="L6" s="114" t="n"/>
      <c r="M6" s="114" t="n"/>
      <c r="N6" s="114" t="n"/>
    </row>
    <row r="7" ht="14.25" customHeight="1" s="366">
      <c r="A7" s="32" t="inlineStr">
        <is>
          <t>G4</t>
        </is>
      </c>
      <c r="B7" s="29" t="n">
        <v>200.82</v>
      </c>
      <c r="C7" s="30" t="n">
        <v>206.28</v>
      </c>
      <c r="D7" s="29">
        <f>(C7-B7)*1000</f>
        <v/>
      </c>
      <c r="E7" s="64">
        <f>ROUND(D7*D23,0)</f>
        <v/>
      </c>
      <c r="F7" s="29" t="n">
        <v>1000</v>
      </c>
      <c r="G7" s="29">
        <f>SUM(E7:F7)</f>
        <v/>
      </c>
      <c r="H7" s="29" t="n">
        <v>50</v>
      </c>
      <c r="I7" s="29">
        <f>G7+H7</f>
        <v/>
      </c>
      <c r="J7" s="120" t="inlineStr">
        <is>
          <t>R</t>
        </is>
      </c>
      <c r="K7" s="120" t="n"/>
      <c r="L7" s="114" t="n"/>
      <c r="M7" s="114" t="n"/>
      <c r="N7" s="114" t="n"/>
    </row>
    <row r="8" ht="14.25" customHeight="1" s="366">
      <c r="A8" s="73" t="n">
        <v>101</v>
      </c>
      <c r="B8" s="29" t="n">
        <v>0.55</v>
      </c>
      <c r="C8" s="30" t="n">
        <v>0.55</v>
      </c>
      <c r="D8" s="29">
        <f>(C8-B8)*1000</f>
        <v/>
      </c>
      <c r="E8" s="64">
        <f>ROUND(D8*D23,0)</f>
        <v/>
      </c>
      <c r="F8" s="64" t="n">
        <v>1000</v>
      </c>
      <c r="G8" s="29">
        <f>SUM(E8:F8)</f>
        <v/>
      </c>
      <c r="H8" s="29" t="n">
        <v>0</v>
      </c>
      <c r="I8" s="29">
        <f>G8+H8</f>
        <v/>
      </c>
      <c r="J8" s="51" t="inlineStr">
        <is>
          <t>R</t>
        </is>
      </c>
      <c r="K8" s="126" t="n"/>
      <c r="L8" s="114" t="n"/>
      <c r="M8" s="114" t="n"/>
      <c r="N8" s="114" t="n"/>
    </row>
    <row r="9" ht="14.25" customHeight="1" s="366">
      <c r="A9" s="32" t="n">
        <v>102</v>
      </c>
      <c r="B9" s="29" t="n">
        <v>366.51</v>
      </c>
      <c r="C9" s="30" t="n">
        <v>387.55</v>
      </c>
      <c r="D9" s="29">
        <f>(C9-B9)*1000</f>
        <v/>
      </c>
      <c r="E9" s="64">
        <f>ROUND(D9*D23,0)</f>
        <v/>
      </c>
      <c r="F9" s="29" t="n">
        <v>1000</v>
      </c>
      <c r="G9" s="29">
        <f>SUM(E9:F9)</f>
        <v/>
      </c>
      <c r="H9" s="29" t="n">
        <v>50</v>
      </c>
      <c r="I9" s="29">
        <f>G9+H9</f>
        <v/>
      </c>
      <c r="J9" s="120" t="inlineStr">
        <is>
          <t>R</t>
        </is>
      </c>
      <c r="K9" s="120" t="n"/>
      <c r="L9" s="114" t="n"/>
      <c r="M9" s="114" t="n"/>
      <c r="N9" s="114" t="n"/>
    </row>
    <row r="10" ht="14.25" customHeight="1" s="366">
      <c r="A10" s="32" t="n">
        <v>103</v>
      </c>
      <c r="B10" s="29" t="n">
        <v>35.09</v>
      </c>
      <c r="C10" s="30" t="n">
        <v>42.33</v>
      </c>
      <c r="D10" s="29">
        <f>(C10-B10)*1000</f>
        <v/>
      </c>
      <c r="E10" s="64">
        <f>ROUND(D10*D23,0)</f>
        <v/>
      </c>
      <c r="F10" s="29" t="n">
        <v>1000</v>
      </c>
      <c r="G10" s="29">
        <f>SUM(E10:F10)</f>
        <v/>
      </c>
      <c r="H10" s="29" t="n">
        <v>50</v>
      </c>
      <c r="I10" s="29">
        <f>G10+H10</f>
        <v/>
      </c>
      <c r="J10" s="120" t="inlineStr">
        <is>
          <t>R</t>
        </is>
      </c>
      <c r="K10" s="120" t="n"/>
      <c r="L10" s="60" t="inlineStr">
        <is>
          <t>Expenditures</t>
        </is>
      </c>
      <c r="M10" s="368" t="n"/>
      <c r="N10" s="60" t="n"/>
    </row>
    <row r="11" ht="14.25" customHeight="1" s="366">
      <c r="A11" s="32" t="n">
        <v>104</v>
      </c>
      <c r="B11" s="29" t="n">
        <v>246.88</v>
      </c>
      <c r="C11" s="30" t="n">
        <v>257.74</v>
      </c>
      <c r="D11" s="29">
        <f>(C11-B11)*1000</f>
        <v/>
      </c>
      <c r="E11" s="64">
        <f>ROUND(D11*D23,0)</f>
        <v/>
      </c>
      <c r="F11" s="29" t="n">
        <v>1000</v>
      </c>
      <c r="G11" s="29">
        <f>SUM(E11:F11)</f>
        <v/>
      </c>
      <c r="H11" s="29" t="n">
        <v>50</v>
      </c>
      <c r="I11" s="29">
        <f>G11+H11</f>
        <v/>
      </c>
      <c r="J11" s="120" t="inlineStr">
        <is>
          <t>R</t>
        </is>
      </c>
      <c r="K11" s="120" t="n"/>
      <c r="L11" s="121" t="inlineStr">
        <is>
          <t xml:space="preserve">watchman salary </t>
        </is>
      </c>
      <c r="M11" s="114" t="n">
        <v>6300</v>
      </c>
      <c r="N11" s="114" t="n"/>
    </row>
    <row r="12" ht="14.25" customHeight="1" s="366">
      <c r="A12" s="112" t="n">
        <v>201</v>
      </c>
      <c r="B12" s="29" t="n">
        <v>1.81</v>
      </c>
      <c r="C12" s="30" t="n">
        <v>1.81</v>
      </c>
      <c r="D12" s="29">
        <f>(C12-B12)*1000</f>
        <v/>
      </c>
      <c r="E12" s="64">
        <f>ROUND(D12*D23,0)</f>
        <v/>
      </c>
      <c r="F12" s="64" t="n">
        <v>1000</v>
      </c>
      <c r="G12" s="29">
        <f>SUM(E12:F12)</f>
        <v/>
      </c>
      <c r="H12" s="29" t="n">
        <v>0</v>
      </c>
      <c r="I12" s="29">
        <f>G12+H12</f>
        <v/>
      </c>
      <c r="J12" s="51" t="n"/>
      <c r="K12" s="114" t="inlineStr">
        <is>
          <t>4000 Received for 2 months (JAN,FEB-23) in April -23</t>
        </is>
      </c>
      <c r="L12" s="114" t="inlineStr">
        <is>
          <t>common water</t>
        </is>
      </c>
      <c r="M12" s="114" t="n">
        <v>2044</v>
      </c>
      <c r="N12" s="114" t="n"/>
    </row>
    <row r="13" ht="14.25" customHeight="1" s="366">
      <c r="A13" s="32" t="n">
        <v>202</v>
      </c>
      <c r="B13" s="29" t="n">
        <v>203.83</v>
      </c>
      <c r="C13" s="30" t="n">
        <v>206.73</v>
      </c>
      <c r="D13" s="29">
        <f>(C13-B13)*1000</f>
        <v/>
      </c>
      <c r="E13" s="64">
        <f>ROUND(D13*D23,0)</f>
        <v/>
      </c>
      <c r="F13" s="29" t="n">
        <v>1000</v>
      </c>
      <c r="G13" s="29">
        <f>SUM(E13:F13)</f>
        <v/>
      </c>
      <c r="H13" s="29" t="n">
        <v>50</v>
      </c>
      <c r="I13" s="29">
        <f>G13+H13</f>
        <v/>
      </c>
      <c r="J13" s="120" t="inlineStr">
        <is>
          <t>R</t>
        </is>
      </c>
      <c r="K13" s="120" t="n"/>
      <c r="L13" s="114" t="inlineStr">
        <is>
          <t>tanker bill</t>
        </is>
      </c>
      <c r="M13" s="114" t="n">
        <v>11000</v>
      </c>
      <c r="N13" s="114" t="n"/>
    </row>
    <row r="14" ht="14.25" customHeight="1" s="366">
      <c r="A14" s="32" t="n">
        <v>203</v>
      </c>
      <c r="B14" s="29" t="n">
        <v>226.54</v>
      </c>
      <c r="C14" s="30" t="n">
        <v>234.61</v>
      </c>
      <c r="D14" s="29">
        <f>(C14-B14)*1000</f>
        <v/>
      </c>
      <c r="E14" s="64">
        <f>ROUND(D14*D23,0)</f>
        <v/>
      </c>
      <c r="F14" s="29" t="n">
        <v>1000</v>
      </c>
      <c r="G14" s="29">
        <f>SUM(E14:F14)</f>
        <v/>
      </c>
      <c r="H14" s="29" t="n">
        <v>50</v>
      </c>
      <c r="I14" s="29">
        <f>G14+H14</f>
        <v/>
      </c>
      <c r="J14" s="120" t="inlineStr">
        <is>
          <t>R</t>
        </is>
      </c>
      <c r="K14" s="120" t="n"/>
      <c r="L14" s="114" t="inlineStr">
        <is>
          <t>lizol</t>
        </is>
      </c>
      <c r="M14" s="114" t="n">
        <v>538</v>
      </c>
      <c r="N14" s="114" t="n"/>
    </row>
    <row r="15" ht="14.25" customHeight="1" s="366">
      <c r="A15" s="32" t="n">
        <v>204</v>
      </c>
      <c r="B15" s="29" t="n">
        <v>150.28</v>
      </c>
      <c r="C15" s="30" t="n">
        <v>154.97</v>
      </c>
      <c r="D15" s="29">
        <f>(C15-B15)*1000</f>
        <v/>
      </c>
      <c r="E15" s="64">
        <f>ROUND(D15*D23,0)</f>
        <v/>
      </c>
      <c r="F15" s="29" t="n">
        <v>1000</v>
      </c>
      <c r="G15" s="29">
        <f>SUM(E15:F15)</f>
        <v/>
      </c>
      <c r="H15" s="29" t="n">
        <v>50</v>
      </c>
      <c r="I15" s="29">
        <f>G15+H15</f>
        <v/>
      </c>
      <c r="J15" s="120" t="inlineStr">
        <is>
          <t>R</t>
        </is>
      </c>
      <c r="K15" s="120" t="n"/>
      <c r="L15" s="114" t="inlineStr">
        <is>
          <t>common electricity</t>
        </is>
      </c>
      <c r="M15" s="114" t="n">
        <v>2137</v>
      </c>
      <c r="N15" s="114" t="n"/>
    </row>
    <row r="16" ht="14.25" customHeight="1" s="366">
      <c r="A16" s="73" t="n">
        <v>301</v>
      </c>
      <c r="B16" s="29" t="n">
        <v>0.88</v>
      </c>
      <c r="C16" s="30" t="n">
        <v>0.9</v>
      </c>
      <c r="D16" s="29">
        <f>(C16-B16)*1000</f>
        <v/>
      </c>
      <c r="E16" s="64">
        <f>ROUND(D16*D23,0)</f>
        <v/>
      </c>
      <c r="F16" s="64" t="n">
        <v>1000</v>
      </c>
      <c r="G16" s="29">
        <f>SUM(E16:F16)</f>
        <v/>
      </c>
      <c r="H16" s="29" t="n">
        <v>0</v>
      </c>
      <c r="I16" s="29">
        <f>G16+H16</f>
        <v/>
      </c>
      <c r="J16" s="51" t="n"/>
      <c r="K16" s="114" t="inlineStr">
        <is>
          <t>4000 Received for 2 months (JAN,FEB-23) in April -23</t>
        </is>
      </c>
      <c r="L16" s="114" t="inlineStr">
        <is>
          <t>flowers</t>
        </is>
      </c>
      <c r="M16" s="114" t="n">
        <v>625</v>
      </c>
      <c r="N16" s="114" t="n"/>
    </row>
    <row r="17" ht="14.25" customHeight="1" s="366">
      <c r="A17" s="73" t="n">
        <v>302</v>
      </c>
      <c r="B17" s="29" t="n">
        <v>31.31</v>
      </c>
      <c r="C17" s="30" t="n">
        <v>32.44</v>
      </c>
      <c r="D17" s="29">
        <f>(C17-B17)*1000</f>
        <v/>
      </c>
      <c r="E17" s="64">
        <f>ROUND(D17*D23,0)</f>
        <v/>
      </c>
      <c r="F17" s="29" t="n">
        <v>1000</v>
      </c>
      <c r="G17" s="29">
        <f>SUM(E17:F17)</f>
        <v/>
      </c>
      <c r="H17" s="29" t="n">
        <v>50</v>
      </c>
      <c r="I17" s="29">
        <f>G17+H17</f>
        <v/>
      </c>
      <c r="J17" s="120" t="inlineStr">
        <is>
          <t>R</t>
        </is>
      </c>
      <c r="K17" s="120" t="n"/>
      <c r="L17" s="114" t="inlineStr">
        <is>
          <t>mangoleaves</t>
        </is>
      </c>
      <c r="M17" s="114" t="n">
        <v>30</v>
      </c>
      <c r="N17" s="114" t="n"/>
    </row>
    <row r="18" ht="14.25" customHeight="1" s="366">
      <c r="A18" s="32" t="n">
        <v>303</v>
      </c>
      <c r="B18" s="29" t="n">
        <v>543.96</v>
      </c>
      <c r="C18" s="30" t="n">
        <v>557.17</v>
      </c>
      <c r="D18" s="29">
        <f>(C18-B18)*1000</f>
        <v/>
      </c>
      <c r="E18" s="64">
        <f>ROUND(D18*D23,0)</f>
        <v/>
      </c>
      <c r="F18" s="29" t="n">
        <v>1000</v>
      </c>
      <c r="G18" s="29">
        <f>SUM(E18:F18)</f>
        <v/>
      </c>
      <c r="H18" s="29" t="n">
        <v>50</v>
      </c>
      <c r="I18" s="29">
        <f>G18+H18</f>
        <v/>
      </c>
      <c r="J18" s="120" t="inlineStr">
        <is>
          <t>R</t>
        </is>
      </c>
      <c r="K18" s="120" t="n"/>
      <c r="L18" s="114" t="inlineStr">
        <is>
          <t>Transformer</t>
        </is>
      </c>
      <c r="M18" s="114" t="n">
        <v>500</v>
      </c>
      <c r="N18" s="114" t="n"/>
    </row>
    <row r="19" ht="14.25" customHeight="1" s="366">
      <c r="A19" s="32" t="n">
        <v>304</v>
      </c>
      <c r="B19" s="30" t="n">
        <v>107.33</v>
      </c>
      <c r="C19" s="30" t="n">
        <v>111.12</v>
      </c>
      <c r="D19" s="29">
        <f>(C19-B19)*1000</f>
        <v/>
      </c>
      <c r="E19" s="64">
        <f>ROUND(D19*D23,0)</f>
        <v/>
      </c>
      <c r="F19" s="29" t="n">
        <v>1000</v>
      </c>
      <c r="G19" s="29">
        <f>SUM(E19:F19)</f>
        <v/>
      </c>
      <c r="H19" s="29" t="n">
        <v>50</v>
      </c>
      <c r="I19" s="29">
        <f>G19+H19</f>
        <v/>
      </c>
      <c r="J19" s="120" t="inlineStr">
        <is>
          <t>R</t>
        </is>
      </c>
      <c r="K19" s="120" t="n"/>
      <c r="L19" s="114" t="inlineStr">
        <is>
          <t>garbage</t>
        </is>
      </c>
      <c r="M19" s="114" t="n">
        <v>350</v>
      </c>
      <c r="N19" s="114" t="n"/>
    </row>
    <row r="20" ht="14.25" customHeight="1" s="366">
      <c r="A20" s="29" t="inlineStr">
        <is>
          <t>Common</t>
        </is>
      </c>
      <c r="B20" s="29" t="n">
        <v>72.81</v>
      </c>
      <c r="C20" s="30" t="n">
        <v>85.075</v>
      </c>
      <c r="D20" s="29">
        <f>(C20-B20)*1000</f>
        <v/>
      </c>
      <c r="E20" s="64" t="n">
        <v>0</v>
      </c>
      <c r="F20" s="123" t="n">
        <v>0</v>
      </c>
      <c r="G20" s="29">
        <f>SUM(E20:F20)</f>
        <v/>
      </c>
      <c r="H20" s="29" t="n">
        <v>0</v>
      </c>
      <c r="I20" s="29">
        <f>G20+H20</f>
        <v/>
      </c>
      <c r="J20" s="51" t="n"/>
      <c r="K20" s="51" t="n"/>
      <c r="L20" s="114" t="inlineStr">
        <is>
          <t>tank cleaning</t>
        </is>
      </c>
      <c r="M20" s="114" t="n">
        <v>800</v>
      </c>
      <c r="N20" s="114" t="n"/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49">
        <f>SUM(H2:H20)</f>
        <v/>
      </c>
      <c r="I21" s="49" t="n"/>
      <c r="J21" s="29" t="n"/>
      <c r="K21" s="29" t="n"/>
      <c r="L21" s="114" t="inlineStr">
        <is>
          <t>Bulb</t>
        </is>
      </c>
      <c r="M21" s="114" t="n">
        <v>70</v>
      </c>
      <c r="N21" s="114" t="n"/>
    </row>
    <row r="22" ht="14.25" customHeight="1" s="366">
      <c r="A22" s="133" t="n"/>
      <c r="B22" s="133" t="inlineStr">
        <is>
          <t>Total Usage Units</t>
        </is>
      </c>
      <c r="C22" s="133" t="n"/>
      <c r="D22" s="137">
        <f>SUM(D4:D20)</f>
        <v/>
      </c>
      <c r="E22" s="133" t="n"/>
      <c r="F22" s="133" t="n"/>
      <c r="G22" s="133" t="n"/>
      <c r="H22" s="133" t="n"/>
      <c r="I22" s="133" t="n"/>
      <c r="J22" s="133" t="n"/>
      <c r="K22" s="133" t="n"/>
      <c r="L22" s="134" t="inlineStr">
        <is>
          <t>Received 6000 Rs against maintenance for Nov ,Dec, Jan from subba rao garu</t>
        </is>
      </c>
      <c r="M22" s="136" t="n"/>
      <c r="N22" s="136" t="n">
        <v>6000</v>
      </c>
    </row>
    <row r="23" ht="14.25" customHeight="1" s="366">
      <c r="A23" s="29" t="n"/>
      <c r="B23" s="29" t="inlineStr">
        <is>
          <t>Per Lt cost</t>
        </is>
      </c>
      <c r="C23" s="2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 t="n">
        <v>12897</v>
      </c>
      <c r="I23" s="29" t="n"/>
      <c r="J23" s="29" t="n"/>
      <c r="K23" s="29" t="n"/>
      <c r="L23" s="114" t="n"/>
      <c r="M23" s="114" t="n"/>
      <c r="N23" s="114" t="n"/>
    </row>
    <row r="24" ht="14.25" customHeight="1" s="366">
      <c r="A24" s="29" t="inlineStr">
        <is>
          <t>Total Water Bill</t>
        </is>
      </c>
      <c r="B24" s="30" t="n">
        <v>11000</v>
      </c>
      <c r="C24" s="119" t="inlineStr">
        <is>
          <t xml:space="preserve">WATER Tankers(11)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114" t="n"/>
      <c r="M24" s="114" t="n"/>
      <c r="N24" s="114" t="n"/>
    </row>
  </sheetData>
  <mergeCells count="1">
    <mergeCell ref="L10:M10"/>
  </mergeCell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ColWidth="14.42578125" defaultRowHeight="15" customHeight="1"/>
  <cols>
    <col width="15.85546875" customWidth="1" style="366" min="1" max="1"/>
    <col width="22.85546875" customWidth="1" style="366" min="2" max="2"/>
    <col width="35.7109375" customWidth="1" style="366" min="3" max="3"/>
    <col width="11" customWidth="1" style="366" min="4" max="4"/>
    <col width="10" customWidth="1" style="366" min="5" max="5"/>
    <col width="21.5703125" customWidth="1" style="366" min="6" max="6"/>
    <col width="17.85546875" customWidth="1" style="366" min="7" max="7"/>
    <col width="16.7109375" customWidth="1" style="366" min="8" max="8"/>
    <col width="16.5703125" customWidth="1" style="366" min="9" max="9"/>
    <col width="14.85546875" customWidth="1" style="366" min="10" max="10"/>
    <col width="35.5703125" customWidth="1" style="366" min="11" max="11"/>
    <col width="7.42578125" customWidth="1" style="366" min="12" max="12"/>
    <col width="8.42578125" customWidth="1" style="366" min="13" max="13"/>
  </cols>
  <sheetData>
    <row r="1" ht="14.25" customHeight="1" s="366">
      <c r="A1" s="49" t="inlineStr">
        <is>
          <t>Common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49" t="inlineStr">
        <is>
          <t>Total Units</t>
        </is>
      </c>
      <c r="E1" s="113" t="inlineStr">
        <is>
          <t>Water Bill</t>
        </is>
      </c>
      <c r="F1" s="29" t="inlineStr">
        <is>
          <t>CommonMaintanence</t>
        </is>
      </c>
      <c r="G1" s="29" t="inlineStr">
        <is>
          <t>Total Maintenance</t>
        </is>
      </c>
      <c r="H1" s="29" t="inlineStr">
        <is>
          <t>Garbage Amount</t>
        </is>
      </c>
      <c r="I1" s="29" t="inlineStr">
        <is>
          <t xml:space="preserve">Topay </t>
        </is>
      </c>
      <c r="J1" s="49" t="inlineStr">
        <is>
          <t>Payment Status</t>
        </is>
      </c>
      <c r="K1" s="124" t="inlineStr">
        <is>
          <t xml:space="preserve">Balance from Mar Month </t>
        </is>
      </c>
      <c r="L1" s="128" t="n">
        <v>12897</v>
      </c>
      <c r="M1" s="114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SUM(E2:F2)</f>
        <v/>
      </c>
      <c r="H2" s="29" t="n">
        <v>0</v>
      </c>
      <c r="I2" s="29">
        <f>G2+H2</f>
        <v/>
      </c>
      <c r="J2" s="120" t="inlineStr">
        <is>
          <t>R</t>
        </is>
      </c>
      <c r="K2" s="121" t="inlineStr">
        <is>
          <t>Pending Amounts (Subbarao)</t>
        </is>
      </c>
      <c r="L2" s="114" t="n"/>
      <c r="M2" s="114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>
        <f>SUM(E3:F3)</f>
        <v/>
      </c>
      <c r="H3" s="29" t="n">
        <v>0</v>
      </c>
      <c r="I3" s="29">
        <f>G3+H3</f>
        <v/>
      </c>
      <c r="J3" s="120" t="inlineStr">
        <is>
          <t>NR</t>
        </is>
      </c>
      <c r="K3" s="114" t="n">
        <v>301</v>
      </c>
      <c r="L3" s="114" t="n">
        <v>1000</v>
      </c>
      <c r="M3" s="114" t="n"/>
    </row>
    <row r="4" ht="14.25" customHeight="1" s="366">
      <c r="A4" s="32" t="inlineStr">
        <is>
          <t>G1</t>
        </is>
      </c>
      <c r="B4" s="30" t="n">
        <v>40.83</v>
      </c>
      <c r="C4" s="30" t="n">
        <v>44.65</v>
      </c>
      <c r="D4" s="29">
        <f>(C4-B4)*1000</f>
        <v/>
      </c>
      <c r="E4" s="64">
        <f>ROUND(D4*D23,0)</f>
        <v/>
      </c>
      <c r="F4" s="29" t="n">
        <v>1000</v>
      </c>
      <c r="G4" s="29">
        <f>SUM(E4:F4)</f>
        <v/>
      </c>
      <c r="H4" s="29" t="n">
        <v>50</v>
      </c>
      <c r="I4" s="29">
        <f>G4+H4</f>
        <v/>
      </c>
      <c r="J4" s="120" t="inlineStr">
        <is>
          <t>R</t>
        </is>
      </c>
      <c r="K4" s="114" t="n"/>
      <c r="L4" s="114" t="n"/>
      <c r="M4" s="114" t="n"/>
    </row>
    <row r="5" ht="14.25" customHeight="1" s="366">
      <c r="A5" s="32" t="inlineStr">
        <is>
          <t>G2</t>
        </is>
      </c>
      <c r="B5" s="30" t="n">
        <v>128.23</v>
      </c>
      <c r="C5" s="30" t="n">
        <v>131.44</v>
      </c>
      <c r="D5" s="29">
        <f>(C5-B5)*1000</f>
        <v/>
      </c>
      <c r="E5" s="64">
        <f>ROUND(D5*D23,0)</f>
        <v/>
      </c>
      <c r="F5" s="29" t="n">
        <v>1000</v>
      </c>
      <c r="G5" s="29">
        <f>SUM(E5:F5)</f>
        <v/>
      </c>
      <c r="H5" s="29" t="n">
        <v>50</v>
      </c>
      <c r="I5" s="29">
        <f>G5+H5</f>
        <v/>
      </c>
      <c r="J5" s="120" t="inlineStr">
        <is>
          <t>R</t>
        </is>
      </c>
      <c r="K5" s="114" t="n"/>
      <c r="L5" s="114" t="n"/>
      <c r="M5" s="114" t="n"/>
    </row>
    <row r="6" ht="14.25" customHeight="1" s="366">
      <c r="A6" s="32" t="inlineStr">
        <is>
          <t>G3</t>
        </is>
      </c>
      <c r="B6" s="30" t="n">
        <v>249.13</v>
      </c>
      <c r="C6" s="30" t="n">
        <v>261.21</v>
      </c>
      <c r="D6" s="29">
        <f>(C6-B6)*1000</f>
        <v/>
      </c>
      <c r="E6" s="64">
        <f>ROUND(D6*D23,0)</f>
        <v/>
      </c>
      <c r="F6" s="29" t="n">
        <v>1000</v>
      </c>
      <c r="G6" s="29">
        <f>SUM(E6:F6)</f>
        <v/>
      </c>
      <c r="H6" s="29" t="n">
        <v>50</v>
      </c>
      <c r="I6" s="29">
        <f>G6+H6</f>
        <v/>
      </c>
      <c r="J6" s="120" t="inlineStr">
        <is>
          <t>R</t>
        </is>
      </c>
      <c r="K6" s="114" t="n"/>
      <c r="L6" s="114" t="n"/>
      <c r="M6" s="114" t="n"/>
    </row>
    <row r="7" ht="14.25" customHeight="1" s="366">
      <c r="A7" s="32" t="inlineStr">
        <is>
          <t>G4</t>
        </is>
      </c>
      <c r="B7" s="30" t="n">
        <v>206.28</v>
      </c>
      <c r="C7" s="30" t="n">
        <v>213.24</v>
      </c>
      <c r="D7" s="29">
        <f>(C7-B7)*1000</f>
        <v/>
      </c>
      <c r="E7" s="64">
        <f>ROUND(D7*D23,0)</f>
        <v/>
      </c>
      <c r="F7" s="29" t="n">
        <v>1000</v>
      </c>
      <c r="G7" s="29">
        <f>SUM(E7:F7)</f>
        <v/>
      </c>
      <c r="H7" s="29" t="n">
        <v>50</v>
      </c>
      <c r="I7" s="29">
        <f>G7+H7</f>
        <v/>
      </c>
      <c r="J7" s="120" t="inlineStr">
        <is>
          <t>R</t>
        </is>
      </c>
      <c r="K7" s="114" t="n"/>
      <c r="L7" s="114" t="n"/>
      <c r="M7" s="114" t="n"/>
    </row>
    <row r="8" ht="14.25" customHeight="1" s="366">
      <c r="A8" s="73" t="n">
        <v>101</v>
      </c>
      <c r="B8" s="30" t="n">
        <v>0.55</v>
      </c>
      <c r="C8" s="30" t="n">
        <v>0.55</v>
      </c>
      <c r="D8" s="29">
        <f>(C8-B8)*1000</f>
        <v/>
      </c>
      <c r="E8" s="64">
        <f>ROUND(D8*D23,0)</f>
        <v/>
      </c>
      <c r="F8" s="64" t="n">
        <v>1000</v>
      </c>
      <c r="G8" s="29">
        <f>SUM(E8:F8)</f>
        <v/>
      </c>
      <c r="H8" s="29" t="n">
        <v>0</v>
      </c>
      <c r="I8" s="29">
        <f>G8+H8</f>
        <v/>
      </c>
      <c r="J8" s="51" t="inlineStr">
        <is>
          <t>R</t>
        </is>
      </c>
      <c r="K8" s="114" t="n"/>
      <c r="L8" s="114" t="n"/>
      <c r="M8" s="114" t="n"/>
    </row>
    <row r="9" ht="14.25" customHeight="1" s="366">
      <c r="A9" s="32" t="n">
        <v>102</v>
      </c>
      <c r="B9" s="30" t="n">
        <v>387.55</v>
      </c>
      <c r="C9" s="30" t="n">
        <v>403.55</v>
      </c>
      <c r="D9" s="29">
        <f>(C9-B9)*1000</f>
        <v/>
      </c>
      <c r="E9" s="64">
        <f>ROUND(D9*D23,0)</f>
        <v/>
      </c>
      <c r="F9" s="29" t="n">
        <v>1000</v>
      </c>
      <c r="G9" s="29">
        <f>SUM(E9:F9)</f>
        <v/>
      </c>
      <c r="H9" s="29" t="n">
        <v>50</v>
      </c>
      <c r="I9" s="29">
        <f>G9+H9</f>
        <v/>
      </c>
      <c r="J9" s="120" t="inlineStr">
        <is>
          <t>R</t>
        </is>
      </c>
      <c r="K9" s="114" t="n"/>
      <c r="L9" s="114" t="n"/>
      <c r="M9" s="114" t="n"/>
    </row>
    <row r="10" ht="14.25" customHeight="1" s="366">
      <c r="A10" s="32" t="n">
        <v>103</v>
      </c>
      <c r="B10" s="30" t="n">
        <v>42.33</v>
      </c>
      <c r="C10" s="30" t="n">
        <v>50.71</v>
      </c>
      <c r="D10" s="29">
        <f>(C10-B10)*1000</f>
        <v/>
      </c>
      <c r="E10" s="64">
        <f>ROUND(D10*D23,0)</f>
        <v/>
      </c>
      <c r="F10" s="29" t="n">
        <v>1000</v>
      </c>
      <c r="G10" s="29">
        <f>SUM(E10:F10)</f>
        <v/>
      </c>
      <c r="H10" s="29" t="n">
        <v>50</v>
      </c>
      <c r="I10" s="29">
        <f>G10+H10</f>
        <v/>
      </c>
      <c r="J10" s="120" t="inlineStr">
        <is>
          <t>R</t>
        </is>
      </c>
      <c r="K10" s="60" t="inlineStr">
        <is>
          <t>Expenditures</t>
        </is>
      </c>
      <c r="L10" s="368" t="n"/>
      <c r="M10" s="60" t="n"/>
    </row>
    <row r="11" ht="14.25" customHeight="1" s="366">
      <c r="A11" s="32" t="n">
        <v>104</v>
      </c>
      <c r="B11" s="30" t="n">
        <v>257.74</v>
      </c>
      <c r="C11" s="30" t="n">
        <v>268.57</v>
      </c>
      <c r="D11" s="29">
        <f>(C11-B11)*1000</f>
        <v/>
      </c>
      <c r="E11" s="64">
        <f>ROUND(D11*D23,0)</f>
        <v/>
      </c>
      <c r="F11" s="29" t="n">
        <v>1000</v>
      </c>
      <c r="G11" s="29">
        <f>SUM(E11:F11)</f>
        <v/>
      </c>
      <c r="H11" s="29" t="n">
        <v>50</v>
      </c>
      <c r="I11" s="29">
        <f>G11+H11</f>
        <v/>
      </c>
      <c r="J11" s="120" t="inlineStr">
        <is>
          <t>R</t>
        </is>
      </c>
      <c r="K11" s="121" t="inlineStr">
        <is>
          <t>watchman salary</t>
        </is>
      </c>
      <c r="L11" s="114" t="n">
        <v>6700</v>
      </c>
      <c r="M11" s="114" t="n"/>
    </row>
    <row r="12" ht="14.25" customHeight="1" s="366">
      <c r="A12" s="32" t="n">
        <v>201</v>
      </c>
      <c r="B12" s="30" t="n">
        <v>1.81</v>
      </c>
      <c r="C12" s="30" t="n">
        <v>8.880000000000001</v>
      </c>
      <c r="D12" s="29">
        <f>(C12-B12)*1000</f>
        <v/>
      </c>
      <c r="E12" s="64">
        <f>ROUND(D12*D23,0)</f>
        <v/>
      </c>
      <c r="F12" s="64" t="n">
        <v>1000</v>
      </c>
      <c r="G12" s="29">
        <f>SUM(E12:F12)</f>
        <v/>
      </c>
      <c r="H12" s="29" t="n">
        <v>50</v>
      </c>
      <c r="I12" s="29">
        <f>G12+H12</f>
        <v/>
      </c>
      <c r="J12" s="51" t="inlineStr">
        <is>
          <t>R</t>
        </is>
      </c>
      <c r="K12" s="114" t="inlineStr">
        <is>
          <t xml:space="preserve">water tankers </t>
        </is>
      </c>
      <c r="L12" s="114" t="n">
        <v>15000</v>
      </c>
      <c r="M12" s="114" t="n"/>
    </row>
    <row r="13" ht="14.25" customHeight="1" s="366">
      <c r="A13" s="32" t="n">
        <v>202</v>
      </c>
      <c r="B13" s="30" t="n">
        <v>206.73</v>
      </c>
      <c r="C13" s="30" t="n">
        <v>208.36</v>
      </c>
      <c r="D13" s="29">
        <f>(C13-B13)*1000</f>
        <v/>
      </c>
      <c r="E13" s="64">
        <f>ROUND(D13*D23,0)</f>
        <v/>
      </c>
      <c r="F13" s="29" t="n">
        <v>1000</v>
      </c>
      <c r="G13" s="29">
        <f>SUM(E13:F13)</f>
        <v/>
      </c>
      <c r="H13" s="29" t="n">
        <v>50</v>
      </c>
      <c r="I13" s="29">
        <f>G13+H13</f>
        <v/>
      </c>
      <c r="J13" s="120" t="inlineStr">
        <is>
          <t>R</t>
        </is>
      </c>
      <c r="K13" s="114" t="inlineStr">
        <is>
          <t xml:space="preserve">common electricity </t>
        </is>
      </c>
      <c r="L13" s="114" t="n">
        <v>2459</v>
      </c>
      <c r="M13" s="114" t="n"/>
    </row>
    <row r="14" ht="14.25" customHeight="1" s="366">
      <c r="A14" s="32" t="n">
        <v>203</v>
      </c>
      <c r="B14" s="30" t="n">
        <v>234.61</v>
      </c>
      <c r="C14" s="30" t="n">
        <v>243.65</v>
      </c>
      <c r="D14" s="29">
        <f>(C14-B14)*1000</f>
        <v/>
      </c>
      <c r="E14" s="64">
        <f>ROUND(D14*D23,0)</f>
        <v/>
      </c>
      <c r="F14" s="29" t="n">
        <v>1000</v>
      </c>
      <c r="G14" s="29">
        <f>SUM(E14:F14)</f>
        <v/>
      </c>
      <c r="H14" s="29" t="n">
        <v>50</v>
      </c>
      <c r="I14" s="29">
        <f>G14+H14</f>
        <v/>
      </c>
      <c r="J14" s="120" t="inlineStr">
        <is>
          <t>R</t>
        </is>
      </c>
      <c r="K14" s="114" t="inlineStr">
        <is>
          <t>plumber</t>
        </is>
      </c>
      <c r="L14" s="114" t="n">
        <v>2400</v>
      </c>
      <c r="M14" s="114" t="n"/>
    </row>
    <row r="15" ht="14.25" customHeight="1" s="366">
      <c r="A15" s="32" t="n">
        <v>204</v>
      </c>
      <c r="B15" s="30" t="n">
        <v>154.97</v>
      </c>
      <c r="C15" s="30" t="n">
        <v>161.03</v>
      </c>
      <c r="D15" s="29">
        <f>(C15-B15)*1000</f>
        <v/>
      </c>
      <c r="E15" s="64">
        <f>ROUND(D15*D23,0)</f>
        <v/>
      </c>
      <c r="F15" s="29" t="n">
        <v>1000</v>
      </c>
      <c r="G15" s="29">
        <f>SUM(E15:F15)</f>
        <v/>
      </c>
      <c r="H15" s="29" t="n">
        <v>50</v>
      </c>
      <c r="I15" s="29">
        <f>G15+H15</f>
        <v/>
      </c>
      <c r="J15" s="120" t="inlineStr">
        <is>
          <t>R</t>
        </is>
      </c>
      <c r="K15" s="114" t="inlineStr">
        <is>
          <t xml:space="preserve">common water bill </t>
        </is>
      </c>
      <c r="L15" s="114" t="n">
        <v>2044</v>
      </c>
      <c r="M15" s="114" t="n"/>
    </row>
    <row r="16" ht="14.25" customHeight="1" s="366">
      <c r="A16" s="73" t="n">
        <v>301</v>
      </c>
      <c r="B16" s="30" t="n">
        <v>0.9</v>
      </c>
      <c r="C16" s="30" t="n">
        <v>1.2</v>
      </c>
      <c r="D16" s="29">
        <f>(C16-B16)*1000</f>
        <v/>
      </c>
      <c r="E16" s="64">
        <f>ROUND(D16*D23,0)</f>
        <v/>
      </c>
      <c r="F16" s="64" t="n">
        <v>1000</v>
      </c>
      <c r="G16" s="29">
        <f>SUM(E16:F16)</f>
        <v/>
      </c>
      <c r="H16" s="29" t="n">
        <v>0</v>
      </c>
      <c r="I16" s="29">
        <f>G16+H16</f>
        <v/>
      </c>
      <c r="J16" s="51" t="inlineStr">
        <is>
          <t>NR</t>
        </is>
      </c>
      <c r="K16" s="114" t="inlineStr">
        <is>
          <t xml:space="preserve">chetta </t>
        </is>
      </c>
      <c r="L16" s="114" t="n">
        <v>400</v>
      </c>
      <c r="M16" s="114" t="n"/>
    </row>
    <row r="17" ht="14.25" customHeight="1" s="366">
      <c r="A17" s="32" t="n">
        <v>302</v>
      </c>
      <c r="B17" s="30" t="n">
        <v>32.44</v>
      </c>
      <c r="C17" s="30" t="n">
        <v>32.44</v>
      </c>
      <c r="D17" s="29">
        <f>(C17-B17)*1000</f>
        <v/>
      </c>
      <c r="E17" s="64">
        <f>ROUND(D17*D23,0)</f>
        <v/>
      </c>
      <c r="F17" s="29" t="n">
        <v>1000</v>
      </c>
      <c r="G17" s="29">
        <f>SUM(E17:F17)</f>
        <v/>
      </c>
      <c r="H17" s="29" t="n">
        <v>50</v>
      </c>
      <c r="I17" s="29">
        <f>G17+H17</f>
        <v/>
      </c>
      <c r="J17" s="120" t="inlineStr">
        <is>
          <t>R</t>
        </is>
      </c>
      <c r="K17" s="114" t="inlineStr">
        <is>
          <t>diseal</t>
        </is>
      </c>
      <c r="L17" s="114" t="n">
        <v>200</v>
      </c>
      <c r="M17" s="114" t="n"/>
    </row>
    <row r="18" ht="14.25" customHeight="1" s="366">
      <c r="A18" s="32" t="n">
        <v>303</v>
      </c>
      <c r="B18" s="30" t="n">
        <v>557.17</v>
      </c>
      <c r="C18" s="30" t="n">
        <v>574.63</v>
      </c>
      <c r="D18" s="29">
        <f>(C18-B18)*1000</f>
        <v/>
      </c>
      <c r="E18" s="64">
        <f>ROUND(D18*D23,0)</f>
        <v/>
      </c>
      <c r="F18" s="29" t="n">
        <v>1000</v>
      </c>
      <c r="G18" s="29">
        <f>SUM(E18:F18)</f>
        <v/>
      </c>
      <c r="H18" s="29" t="n">
        <v>50</v>
      </c>
      <c r="I18" s="29">
        <f>G18+H18</f>
        <v/>
      </c>
      <c r="J18" s="120" t="inlineStr">
        <is>
          <t>R</t>
        </is>
      </c>
      <c r="K18" s="114" t="inlineStr">
        <is>
          <t>muggu</t>
        </is>
      </c>
      <c r="L18" s="114" t="n">
        <v>100</v>
      </c>
      <c r="M18" s="114" t="n"/>
    </row>
    <row r="19" ht="14.25" customHeight="1" s="366">
      <c r="A19" s="32" t="n">
        <v>304</v>
      </c>
      <c r="B19" s="30" t="n">
        <v>111.12</v>
      </c>
      <c r="C19" s="30" t="n">
        <v>117.71</v>
      </c>
      <c r="D19" s="29">
        <f>(C19-B19)*1000</f>
        <v/>
      </c>
      <c r="E19" s="64">
        <f>ROUND(D19*D23,0)</f>
        <v/>
      </c>
      <c r="F19" s="29" t="n">
        <v>1000</v>
      </c>
      <c r="G19" s="29">
        <f>SUM(E19:F19)</f>
        <v/>
      </c>
      <c r="H19" s="29" t="n">
        <v>50</v>
      </c>
      <c r="I19" s="29">
        <f>G19+H19</f>
        <v/>
      </c>
      <c r="J19" s="120" t="inlineStr">
        <is>
          <t>R</t>
        </is>
      </c>
      <c r="K19" s="114" t="inlineStr">
        <is>
          <t>bulbs (5)</t>
        </is>
      </c>
      <c r="L19" s="114" t="n">
        <v>500</v>
      </c>
      <c r="M19" s="114" t="n"/>
    </row>
    <row r="20" ht="14.25" customHeight="1" s="366">
      <c r="A20" s="29" t="inlineStr">
        <is>
          <t>Common</t>
        </is>
      </c>
      <c r="B20" s="30" t="n">
        <v>85.075</v>
      </c>
      <c r="C20" s="30" t="n">
        <v>100.236</v>
      </c>
      <c r="D20" s="29">
        <f>(C20-B20)*1000</f>
        <v/>
      </c>
      <c r="E20" s="64" t="n">
        <v>0</v>
      </c>
      <c r="F20" s="123" t="n">
        <v>0</v>
      </c>
      <c r="G20" s="29">
        <f>SUM(E20:F20)</f>
        <v/>
      </c>
      <c r="H20" s="29" t="n">
        <v>0</v>
      </c>
      <c r="I20" s="29">
        <f>G20+H20</f>
        <v/>
      </c>
      <c r="J20" s="51" t="n"/>
      <c r="K20" s="114" t="inlineStr">
        <is>
          <t xml:space="preserve">manjeer water cap cleaning </t>
        </is>
      </c>
      <c r="L20" s="114" t="n">
        <v>200</v>
      </c>
      <c r="M20" s="114" t="n"/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49">
        <f>SUM(H2:H20)</f>
        <v/>
      </c>
      <c r="I21" s="49" t="n"/>
      <c r="J21" s="29" t="n"/>
      <c r="K21" s="114" t="inlineStr">
        <is>
          <t>Received  4000 against Maintenance for Feb, March fromSubbaRao garu</t>
        </is>
      </c>
      <c r="L21" s="114" t="n"/>
      <c r="M21" s="114" t="n">
        <v>4000</v>
      </c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 t="n"/>
      <c r="F22" s="29" t="n"/>
      <c r="G22" s="29" t="n"/>
      <c r="H22" s="29" t="n"/>
      <c r="I22" s="29" t="n"/>
      <c r="J22" s="29" t="n"/>
      <c r="K22" s="114" t="n"/>
      <c r="L22" s="114" t="n"/>
      <c r="M22" s="114" t="n"/>
    </row>
    <row r="23" ht="14.25" customHeight="1" s="366">
      <c r="A23" s="29" t="n"/>
      <c r="B23" s="29" t="inlineStr">
        <is>
          <t>Per Lt cost</t>
        </is>
      </c>
      <c r="C23" s="2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 t="n">
        <v>16031</v>
      </c>
      <c r="I23" s="29" t="n"/>
      <c r="J23" s="29" t="n"/>
      <c r="K23" s="114" t="n"/>
      <c r="L23" s="114" t="n"/>
      <c r="M23" s="114" t="n"/>
    </row>
    <row r="24" ht="14.25" customHeight="1" s="366">
      <c r="A24" s="29" t="inlineStr">
        <is>
          <t>Total Water Bill</t>
        </is>
      </c>
      <c r="B24" s="30" t="n">
        <v>15000</v>
      </c>
      <c r="C24" s="119" t="inlineStr">
        <is>
          <t xml:space="preserve">WATER Tankers(15) </t>
        </is>
      </c>
      <c r="D24" s="29" t="n"/>
      <c r="E24" s="29" t="n"/>
      <c r="F24" s="29" t="n"/>
      <c r="G24" s="29" t="n"/>
      <c r="H24" s="29" t="n"/>
      <c r="I24" s="29" t="n"/>
      <c r="J24" s="29" t="n"/>
      <c r="K24" s="114" t="n"/>
      <c r="L24" s="114" t="n"/>
      <c r="M24" s="114" t="n"/>
    </row>
    <row r="25" ht="14.25" customHeight="1" s="366"/>
    <row r="26" ht="14.25" customHeight="1" s="366"/>
    <row r="27" ht="14.25" customHeight="1" s="366"/>
    <row r="28" ht="14.25" customHeight="1" s="366"/>
    <row r="29" ht="14.25" customHeight="1" s="366"/>
    <row r="30" ht="14.25" customHeight="1" s="366"/>
    <row r="31" ht="14.25" customHeight="1" s="366">
      <c r="C31" s="1" t="n">
        <v>4</v>
      </c>
    </row>
  </sheetData>
  <mergeCells count="1">
    <mergeCell ref="K10:L10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ColWidth="14.42578125" defaultRowHeight="15" customHeight="1"/>
  <cols>
    <col width="15.85546875" customWidth="1" style="366" min="1" max="1"/>
    <col width="22.85546875" customWidth="1" style="366" min="2" max="2"/>
    <col width="23.7109375" customWidth="1" style="366" min="3" max="3"/>
    <col width="11" customWidth="1" style="366" min="4" max="4"/>
    <col width="10" customWidth="1" style="366" min="5" max="5"/>
    <col width="19.5703125" customWidth="1" style="366" min="6" max="6"/>
    <col width="19.140625" customWidth="1" style="366" min="7" max="7"/>
    <col width="16.7109375" customWidth="1" style="366" min="8" max="8"/>
    <col width="12.7109375" customWidth="1" style="366" min="9" max="9"/>
    <col width="15.7109375" customWidth="1" style="366" min="10" max="10"/>
    <col width="14.28515625" customWidth="1" style="366" min="11" max="11"/>
    <col width="28.28515625" customWidth="1" style="366" min="12" max="12"/>
    <col width="7.42578125" customWidth="1" style="366" min="13" max="13"/>
    <col width="9.28515625" customWidth="1" style="366" min="14" max="14"/>
  </cols>
  <sheetData>
    <row r="1" ht="14.25" customHeight="1" s="366">
      <c r="A1" s="138" t="inlineStr">
        <is>
          <t>Common</t>
        </is>
      </c>
      <c r="B1" s="138" t="inlineStr">
        <is>
          <t>Previous Meter Reading</t>
        </is>
      </c>
      <c r="C1" s="138" t="inlineStr">
        <is>
          <t>Current Meter Reading</t>
        </is>
      </c>
      <c r="D1" s="138" t="inlineStr">
        <is>
          <t>Total Units</t>
        </is>
      </c>
      <c r="E1" s="139" t="inlineStr">
        <is>
          <t>Water Bill</t>
        </is>
      </c>
      <c r="F1" s="140" t="inlineStr">
        <is>
          <t>CommonMaintanence</t>
        </is>
      </c>
      <c r="G1" s="140" t="inlineStr">
        <is>
          <t>Total Maintenance</t>
        </is>
      </c>
      <c r="H1" s="140" t="inlineStr">
        <is>
          <t>Garbage Amount</t>
        </is>
      </c>
      <c r="I1" s="140" t="inlineStr">
        <is>
          <t>To Pay</t>
        </is>
      </c>
      <c r="J1" s="140" t="inlineStr">
        <is>
          <t>Received Amount</t>
        </is>
      </c>
      <c r="K1" s="138" t="inlineStr">
        <is>
          <t>Payment Status</t>
        </is>
      </c>
      <c r="L1" s="141" t="inlineStr">
        <is>
          <t xml:space="preserve">Balance from April  Month </t>
        </is>
      </c>
      <c r="M1" s="142" t="n">
        <v>16031</v>
      </c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 t="n">
        <v>300</v>
      </c>
      <c r="H2" s="29" t="n">
        <v>0</v>
      </c>
      <c r="I2" s="29">
        <f>G2+H2</f>
        <v/>
      </c>
      <c r="J2" s="29" t="n">
        <v>300</v>
      </c>
      <c r="K2" s="120" t="inlineStr">
        <is>
          <t>Received</t>
        </is>
      </c>
      <c r="L2" s="143" t="inlineStr">
        <is>
          <t>Pending Amounts (Subbarao)</t>
        </is>
      </c>
      <c r="M2" s="144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>
        <f>G3+H3</f>
        <v/>
      </c>
      <c r="J3" s="29" t="n">
        <v>300</v>
      </c>
      <c r="K3" s="120" t="inlineStr">
        <is>
          <t>Received</t>
        </is>
      </c>
      <c r="L3" s="143" t="inlineStr">
        <is>
          <t>302 Flat (May)</t>
        </is>
      </c>
      <c r="M3" s="143" t="n">
        <v>500</v>
      </c>
    </row>
    <row r="4" ht="14.25" customHeight="1" s="366">
      <c r="A4" s="32" t="inlineStr">
        <is>
          <t>G1</t>
        </is>
      </c>
      <c r="B4" s="30" t="n">
        <v>44.65</v>
      </c>
      <c r="C4" s="30" t="n">
        <v>49.96</v>
      </c>
      <c r="D4" s="29">
        <f>(C4-B4)*1000</f>
        <v/>
      </c>
      <c r="E4" s="64">
        <f>ROUND(D4*D23,0)</f>
        <v/>
      </c>
      <c r="F4" s="29" t="n">
        <v>1000</v>
      </c>
      <c r="G4" s="29" t="n">
        <v>1468</v>
      </c>
      <c r="H4" s="29" t="n">
        <v>50</v>
      </c>
      <c r="I4" s="29">
        <f>G4+H4</f>
        <v/>
      </c>
      <c r="J4" s="29" t="n">
        <v>1518</v>
      </c>
      <c r="K4" s="120" t="inlineStr">
        <is>
          <t>Received</t>
        </is>
      </c>
      <c r="L4" s="143" t="inlineStr">
        <is>
          <t>301 flat (April)</t>
        </is>
      </c>
      <c r="M4" s="143" t="n">
        <v>1000</v>
      </c>
    </row>
    <row r="5" ht="14.25" customHeight="1" s="366">
      <c r="A5" s="32" t="inlineStr">
        <is>
          <t>G2</t>
        </is>
      </c>
      <c r="B5" s="30" t="n">
        <v>131.44</v>
      </c>
      <c r="C5" s="30" t="n">
        <v>135.73</v>
      </c>
      <c r="D5" s="29">
        <f>(C5-B5)*1000</f>
        <v/>
      </c>
      <c r="E5" s="64">
        <f>ROUND(D5*D23,0)</f>
        <v/>
      </c>
      <c r="F5" s="29" t="n">
        <v>1000</v>
      </c>
      <c r="G5" s="29" t="n">
        <v>1378</v>
      </c>
      <c r="H5" s="29" t="n">
        <v>50</v>
      </c>
      <c r="I5" s="29">
        <f>G5+H5</f>
        <v/>
      </c>
      <c r="J5" s="29" t="n">
        <v>1428</v>
      </c>
      <c r="K5" s="120" t="inlineStr">
        <is>
          <t>Received</t>
        </is>
      </c>
      <c r="L5" s="114" t="n"/>
      <c r="M5" s="114" t="n"/>
    </row>
    <row r="6" ht="14.25" customHeight="1" s="366">
      <c r="A6" s="32" t="inlineStr">
        <is>
          <t>G3</t>
        </is>
      </c>
      <c r="B6" s="30" t="n">
        <v>261.21</v>
      </c>
      <c r="C6" s="30" t="n">
        <v>270.73</v>
      </c>
      <c r="D6" s="29">
        <f>(C6-B6)*1000</f>
        <v/>
      </c>
      <c r="E6" s="64">
        <f>ROUND(D6*D23,0)</f>
        <v/>
      </c>
      <c r="F6" s="29" t="n">
        <v>1000</v>
      </c>
      <c r="G6" s="29" t="n">
        <v>1839</v>
      </c>
      <c r="H6" s="29" t="n">
        <v>50</v>
      </c>
      <c r="I6" s="29">
        <f>G6+H6</f>
        <v/>
      </c>
      <c r="J6" s="29" t="n">
        <v>1889</v>
      </c>
      <c r="K6" s="120" t="inlineStr">
        <is>
          <t>Received</t>
        </is>
      </c>
      <c r="L6" s="114" t="n"/>
      <c r="M6" s="114" t="n"/>
    </row>
    <row r="7" ht="14.25" customHeight="1" s="366">
      <c r="A7" s="32" t="inlineStr">
        <is>
          <t>G4</t>
        </is>
      </c>
      <c r="B7" s="30" t="n">
        <v>213.24</v>
      </c>
      <c r="C7" s="30" t="n">
        <v>219.28</v>
      </c>
      <c r="D7" s="29">
        <f>(C7-B7)*1000</f>
        <v/>
      </c>
      <c r="E7" s="64">
        <f>ROUND(D7*D23,0)</f>
        <v/>
      </c>
      <c r="F7" s="29" t="n">
        <v>1000</v>
      </c>
      <c r="G7" s="29" t="n">
        <v>1533</v>
      </c>
      <c r="H7" s="29" t="n">
        <v>50</v>
      </c>
      <c r="I7" s="29">
        <f>G7+H7</f>
        <v/>
      </c>
      <c r="J7" s="29" t="n">
        <v>1583</v>
      </c>
      <c r="K7" s="120" t="inlineStr">
        <is>
          <t>Received</t>
        </is>
      </c>
      <c r="L7" s="114" t="n"/>
      <c r="M7" s="114" t="n"/>
    </row>
    <row r="8" ht="14.25" customHeight="1" s="366">
      <c r="A8" s="64" t="n">
        <v>101</v>
      </c>
      <c r="B8" s="30" t="n">
        <v>0.55</v>
      </c>
      <c r="C8" s="30" t="n">
        <v>0.59</v>
      </c>
      <c r="D8" s="29">
        <f>(C8-B8)*1000</f>
        <v/>
      </c>
      <c r="E8" s="64">
        <f>ROUND(D8*D23,0)</f>
        <v/>
      </c>
      <c r="F8" s="64" t="n">
        <v>1000</v>
      </c>
      <c r="G8" s="29" t="n">
        <v>1004</v>
      </c>
      <c r="H8" s="29" t="n">
        <v>0</v>
      </c>
      <c r="I8" s="29">
        <f>G8+H8</f>
        <v/>
      </c>
      <c r="J8" s="29" t="n">
        <v>1004</v>
      </c>
      <c r="K8" s="120" t="inlineStr">
        <is>
          <t>Received</t>
        </is>
      </c>
      <c r="L8" s="114" t="n"/>
      <c r="M8" s="114" t="n"/>
    </row>
    <row r="9" ht="14.25" customHeight="1" s="366">
      <c r="A9" s="32" t="n">
        <v>102</v>
      </c>
      <c r="B9" s="30" t="n">
        <v>403.55</v>
      </c>
      <c r="C9" s="30" t="n">
        <v>414.59</v>
      </c>
      <c r="D9" s="29">
        <f>(C9-B9)*1000</f>
        <v/>
      </c>
      <c r="E9" s="64">
        <f>ROUND(D9*D23,0)</f>
        <v/>
      </c>
      <c r="F9" s="29" t="n">
        <v>1000</v>
      </c>
      <c r="G9" s="29" t="n">
        <v>1973</v>
      </c>
      <c r="H9" s="29" t="n">
        <v>50</v>
      </c>
      <c r="I9" s="29">
        <f>G9+H9</f>
        <v/>
      </c>
      <c r="J9" s="29" t="n">
        <v>2023</v>
      </c>
      <c r="K9" s="120" t="inlineStr">
        <is>
          <t>Received</t>
        </is>
      </c>
      <c r="L9" s="114" t="n"/>
      <c r="M9" s="114" t="n"/>
    </row>
    <row r="10" ht="14.25" customHeight="1" s="366">
      <c r="A10" s="32" t="n">
        <v>103</v>
      </c>
      <c r="B10" s="30" t="n">
        <v>50.71</v>
      </c>
      <c r="C10" s="30" t="n">
        <v>63.12</v>
      </c>
      <c r="D10" s="29">
        <f>(C10-B10)*1000</f>
        <v/>
      </c>
      <c r="E10" s="64">
        <f>ROUND(D10*D23,0)</f>
        <v/>
      </c>
      <c r="F10" s="29" t="n">
        <v>1000</v>
      </c>
      <c r="G10" s="29" t="n">
        <v>2094</v>
      </c>
      <c r="H10" s="29" t="n">
        <v>50</v>
      </c>
      <c r="I10" s="29">
        <f>G10+H10</f>
        <v/>
      </c>
      <c r="J10" s="29" t="n">
        <v>2144</v>
      </c>
      <c r="K10" s="120" t="inlineStr">
        <is>
          <t>Received</t>
        </is>
      </c>
      <c r="L10" s="372" t="inlineStr">
        <is>
          <t>Expenditures</t>
        </is>
      </c>
      <c r="M10" s="368" t="n"/>
    </row>
    <row r="11" ht="14.25" customHeight="1" s="366">
      <c r="A11" s="32" t="n">
        <v>104</v>
      </c>
      <c r="B11" s="30" t="n">
        <v>268.57</v>
      </c>
      <c r="C11" s="30" t="n">
        <v>274.65</v>
      </c>
      <c r="D11" s="29">
        <f>(C11-B11)*1000</f>
        <v/>
      </c>
      <c r="E11" s="64">
        <f>ROUND(D11*D23,0)</f>
        <v/>
      </c>
      <c r="F11" s="29" t="n">
        <v>1000</v>
      </c>
      <c r="G11" s="29" t="n">
        <v>1536</v>
      </c>
      <c r="H11" s="29" t="n">
        <v>50</v>
      </c>
      <c r="I11" s="29">
        <f>G11+H11</f>
        <v/>
      </c>
      <c r="J11" s="29" t="n">
        <v>1586</v>
      </c>
      <c r="K11" s="120" t="inlineStr">
        <is>
          <t>Received</t>
        </is>
      </c>
      <c r="L11" s="114" t="inlineStr">
        <is>
          <t>watch man salary</t>
        </is>
      </c>
      <c r="M11" s="114" t="n">
        <v>6700</v>
      </c>
    </row>
    <row r="12" ht="14.25" customHeight="1" s="366">
      <c r="A12" s="32" t="n">
        <v>201</v>
      </c>
      <c r="B12" s="30" t="n">
        <v>8.880000000000001</v>
      </c>
      <c r="C12" s="30" t="n">
        <v>21.34</v>
      </c>
      <c r="D12" s="29">
        <f>(C12-B12)*1000</f>
        <v/>
      </c>
      <c r="E12" s="64">
        <f>ROUND(D12*D23,0)</f>
        <v/>
      </c>
      <c r="F12" s="29" t="n">
        <v>1000</v>
      </c>
      <c r="G12" s="29" t="n">
        <v>2099</v>
      </c>
      <c r="H12" s="29" t="n">
        <v>50</v>
      </c>
      <c r="I12" s="29">
        <f>G12+H12</f>
        <v/>
      </c>
      <c r="J12" s="29" t="n">
        <v>2149</v>
      </c>
      <c r="K12" s="120" t="inlineStr">
        <is>
          <t>Received</t>
        </is>
      </c>
      <c r="L12" s="114" t="inlineStr">
        <is>
          <t>water tankers</t>
        </is>
      </c>
      <c r="M12" s="114" t="n">
        <v>12000</v>
      </c>
    </row>
    <row r="13" ht="14.25" customHeight="1" s="366">
      <c r="A13" s="32" t="n">
        <v>202</v>
      </c>
      <c r="B13" s="30" t="n">
        <v>208.36</v>
      </c>
      <c r="C13" s="30" t="n">
        <v>211.05</v>
      </c>
      <c r="D13" s="29">
        <f>(C13-B13)*1000</f>
        <v/>
      </c>
      <c r="E13" s="64">
        <f>ROUND(D13*D23,0)</f>
        <v/>
      </c>
      <c r="F13" s="29" t="n">
        <v>1000</v>
      </c>
      <c r="G13" s="29" t="n">
        <v>1237</v>
      </c>
      <c r="H13" s="29" t="n">
        <v>50</v>
      </c>
      <c r="I13" s="29">
        <f>G13+H13</f>
        <v/>
      </c>
      <c r="J13" s="29" t="n">
        <v>1287</v>
      </c>
      <c r="K13" s="120" t="inlineStr">
        <is>
          <t>Received</t>
        </is>
      </c>
      <c r="L13" s="114" t="inlineStr">
        <is>
          <t>moter repair</t>
        </is>
      </c>
      <c r="M13" s="114" t="n">
        <v>500</v>
      </c>
    </row>
    <row r="14" ht="14.25" customHeight="1" s="366">
      <c r="A14" s="32" t="n">
        <v>203</v>
      </c>
      <c r="B14" s="30" t="n">
        <v>243.65</v>
      </c>
      <c r="C14" s="30" t="n">
        <v>250.28</v>
      </c>
      <c r="D14" s="29">
        <f>(C14-B14)*1000</f>
        <v/>
      </c>
      <c r="E14" s="64">
        <f>ROUND(D14*D23,0)</f>
        <v/>
      </c>
      <c r="F14" s="29" t="n">
        <v>1000</v>
      </c>
      <c r="G14" s="29" t="n">
        <v>1585</v>
      </c>
      <c r="H14" s="29" t="n">
        <v>50</v>
      </c>
      <c r="I14" s="29">
        <f>G14+H14</f>
        <v/>
      </c>
      <c r="J14" s="29" t="n">
        <v>1635</v>
      </c>
      <c r="K14" s="120" t="inlineStr">
        <is>
          <t>Received</t>
        </is>
      </c>
      <c r="L14" s="114" t="inlineStr">
        <is>
          <t>plumber old balance</t>
        </is>
      </c>
      <c r="M14" s="114" t="n">
        <v>200</v>
      </c>
    </row>
    <row r="15" ht="14.25" customHeight="1" s="366">
      <c r="A15" s="32" t="n">
        <v>204</v>
      </c>
      <c r="B15" s="30" t="n">
        <v>161.03</v>
      </c>
      <c r="C15" s="30" t="n">
        <v>170.04</v>
      </c>
      <c r="D15" s="29">
        <f>(C15-B15)*1000</f>
        <v/>
      </c>
      <c r="E15" s="64">
        <f>ROUND(D15*D23,0)</f>
        <v/>
      </c>
      <c r="F15" s="29" t="n">
        <v>1000</v>
      </c>
      <c r="G15" s="29" t="n">
        <v>1794</v>
      </c>
      <c r="H15" s="29" t="n">
        <v>50</v>
      </c>
      <c r="I15" s="29">
        <f>G15+H15</f>
        <v/>
      </c>
      <c r="J15" s="29" t="n">
        <v>1844</v>
      </c>
      <c r="K15" s="120" t="inlineStr">
        <is>
          <t>Received</t>
        </is>
      </c>
      <c r="L15" s="114" t="inlineStr">
        <is>
          <t>power bill</t>
        </is>
      </c>
      <c r="M15" s="114" t="n">
        <v>1460</v>
      </c>
    </row>
    <row r="16" ht="14.25" customHeight="1" s="366">
      <c r="A16" s="32" t="n">
        <v>301</v>
      </c>
      <c r="B16" s="30" t="n">
        <v>1.2</v>
      </c>
      <c r="C16" s="30" t="n">
        <v>1.36</v>
      </c>
      <c r="D16" s="29">
        <f>(C16-B16)*1000</f>
        <v/>
      </c>
      <c r="E16" s="64">
        <f>ROUND(D16*D23,0)</f>
        <v/>
      </c>
      <c r="F16" s="29" t="n">
        <v>1000</v>
      </c>
      <c r="G16" s="29" t="n">
        <v>1014</v>
      </c>
      <c r="H16" s="29" t="n">
        <v>0</v>
      </c>
      <c r="I16" s="29">
        <f>G16+H16</f>
        <v/>
      </c>
      <c r="J16" s="29" t="n">
        <v>1014</v>
      </c>
      <c r="K16" s="120" t="inlineStr">
        <is>
          <t>Received</t>
        </is>
      </c>
      <c r="L16" s="114" t="inlineStr">
        <is>
          <t>Dust amount</t>
        </is>
      </c>
      <c r="M16" s="114" t="n">
        <v>300</v>
      </c>
    </row>
    <row r="17" ht="14.25" customHeight="1" s="366">
      <c r="A17" s="32" t="n">
        <v>302</v>
      </c>
      <c r="B17" s="30" t="n">
        <v>32.44</v>
      </c>
      <c r="C17" s="30" t="n">
        <v>41.18</v>
      </c>
      <c r="D17" s="29">
        <f>(C17-B17)*1000</f>
        <v/>
      </c>
      <c r="E17" s="64">
        <f>ROUND(D17*D23,0)</f>
        <v/>
      </c>
      <c r="F17" s="29" t="n">
        <v>1000</v>
      </c>
      <c r="G17" s="29" t="n">
        <v>1771</v>
      </c>
      <c r="H17" s="29" t="n">
        <v>50</v>
      </c>
      <c r="I17" s="113">
        <f>G17+H17</f>
        <v/>
      </c>
      <c r="J17" s="113" t="n">
        <v>1321</v>
      </c>
      <c r="K17" s="145" t="inlineStr">
        <is>
          <t>Pending (500)</t>
        </is>
      </c>
      <c r="L17" s="114" t="inlineStr">
        <is>
          <t>Dust Covers</t>
        </is>
      </c>
      <c r="M17" s="114" t="n">
        <v>162</v>
      </c>
    </row>
    <row r="18" ht="14.25" customHeight="1" s="366">
      <c r="A18" s="32" t="n">
        <v>303</v>
      </c>
      <c r="B18" s="30" t="n">
        <v>574.63</v>
      </c>
      <c r="C18" s="30" t="n">
        <v>593.59</v>
      </c>
      <c r="D18" s="29">
        <f>(C18-B18)*1000</f>
        <v/>
      </c>
      <c r="E18" s="64">
        <f>ROUND(D18*D23,0)</f>
        <v/>
      </c>
      <c r="F18" s="29" t="n">
        <v>1000</v>
      </c>
      <c r="G18" s="29" t="n">
        <v>2672</v>
      </c>
      <c r="H18" s="29" t="n">
        <v>50</v>
      </c>
      <c r="I18" s="29">
        <f>G18+H18</f>
        <v/>
      </c>
      <c r="J18" s="29" t="n">
        <v>2722</v>
      </c>
      <c r="K18" s="120" t="inlineStr">
        <is>
          <t>Received</t>
        </is>
      </c>
      <c r="L18" s="121" t="inlineStr">
        <is>
          <t>Total:</t>
        </is>
      </c>
      <c r="M18" s="121" t="n">
        <v>21362</v>
      </c>
    </row>
    <row r="19" ht="14.25" customHeight="1" s="366">
      <c r="A19" s="32" t="n">
        <v>304</v>
      </c>
      <c r="B19" s="30" t="n">
        <v>117.71</v>
      </c>
      <c r="C19" s="30" t="n">
        <v>124.01</v>
      </c>
      <c r="D19" s="29">
        <f>(C19-B19)*1000</f>
        <v/>
      </c>
      <c r="E19" s="64">
        <f>ROUND(D19*D23,0)</f>
        <v/>
      </c>
      <c r="F19" s="29" t="n">
        <v>1000</v>
      </c>
      <c r="G19" s="29" t="n">
        <v>1556</v>
      </c>
      <c r="H19" s="29" t="n">
        <v>50</v>
      </c>
      <c r="I19" s="29">
        <f>G19+H19</f>
        <v/>
      </c>
      <c r="J19" s="29" t="n">
        <v>1606</v>
      </c>
      <c r="K19" s="120" t="inlineStr">
        <is>
          <t>Received</t>
        </is>
      </c>
      <c r="L19" s="114" t="n"/>
      <c r="M19" s="114" t="n"/>
    </row>
    <row r="20" ht="14.25" customHeight="1" s="366">
      <c r="A20" s="29" t="inlineStr">
        <is>
          <t>Common</t>
        </is>
      </c>
      <c r="B20" s="30" t="n">
        <v>100.236</v>
      </c>
      <c r="C20" s="30" t="n">
        <v>116.644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>
        <f>G20+H20</f>
        <v/>
      </c>
      <c r="J20" s="29">
        <f>H20+I20</f>
        <v/>
      </c>
      <c r="K20" s="51" t="n"/>
      <c r="L20" s="114" t="n"/>
      <c r="M20" s="114" t="n"/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49">
        <f>SUM(H2:H20)</f>
        <v/>
      </c>
      <c r="I21" s="49">
        <f>SUM(I2:I20)</f>
        <v/>
      </c>
      <c r="J21" s="49">
        <f>SUM(J2:J19)</f>
        <v/>
      </c>
      <c r="K21" s="29" t="n"/>
      <c r="L21" s="121" t="inlineStr">
        <is>
          <t xml:space="preserve"> Saving Amount for May 23</t>
        </is>
      </c>
      <c r="M21" s="121">
        <f>J21-M18</f>
        <v/>
      </c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 t="n"/>
      <c r="F22" s="29" t="n"/>
      <c r="G22" s="29" t="n"/>
      <c r="H22" s="29" t="n"/>
      <c r="I22" s="29" t="n"/>
      <c r="J22" s="29" t="n"/>
      <c r="K22" s="29" t="n"/>
      <c r="L22" s="114" t="n"/>
      <c r="M22" s="114" t="n"/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72" t="inlineStr">
        <is>
          <t>Total  Balance(May)</t>
        </is>
      </c>
      <c r="H23" s="72">
        <f>SUM(M1,M21)</f>
        <v/>
      </c>
      <c r="I23" s="29" t="n"/>
      <c r="J23" s="29" t="n"/>
      <c r="K23" s="29" t="n"/>
      <c r="L23" s="114" t="n"/>
      <c r="M23" s="114" t="n"/>
    </row>
    <row r="24" ht="14.25" customHeight="1" s="366">
      <c r="A24" s="29" t="inlineStr">
        <is>
          <t>Total Water Bill</t>
        </is>
      </c>
      <c r="B24" s="30" t="n">
        <v>12000</v>
      </c>
      <c r="C24" s="119" t="inlineStr">
        <is>
          <t xml:space="preserve">WATER Tankers(12)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114" t="n"/>
      <c r="M24" s="114" t="n"/>
    </row>
    <row r="25" ht="14.25" customHeight="1" s="366"/>
    <row r="26" ht="14.25" customHeight="1" s="366"/>
    <row r="27" ht="14.25" customHeight="1" s="366"/>
    <row r="28" ht="14.25" customHeight="1" s="366"/>
    <row r="29" ht="14.25" customHeight="1" s="366"/>
    <row r="30" ht="14.25" customHeight="1" s="366"/>
    <row r="31" ht="14.25" customHeight="1" s="366">
      <c r="C31" s="1" t="n">
        <v>4</v>
      </c>
    </row>
  </sheetData>
  <mergeCells count="1">
    <mergeCell ref="L10:M10"/>
  </mergeCells>
  <pageMargins left="0.7" right="0.7" top="0.75" bottom="0.75" header="0" footer="0"/>
  <pageSetup orientation="portrait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366" min="1" max="1"/>
    <col width="24" customWidth="1" style="366" min="2" max="2"/>
    <col width="20.28515625" customWidth="1" style="366" min="3" max="3"/>
    <col width="18.7109375" customWidth="1" style="366" min="4" max="4"/>
    <col width="18.42578125" customWidth="1" style="366" min="5" max="5"/>
    <col width="20.42578125" customWidth="1" style="366" min="6" max="6"/>
    <col width="16.140625" customWidth="1" style="366" min="7" max="7"/>
    <col width="15.28515625" customWidth="1" style="366" min="8" max="8"/>
    <col width="8.28515625" customWidth="1" style="366" min="9" max="9"/>
    <col width="14.85546875" customWidth="1" style="366" min="10" max="10"/>
    <col width="16.7109375" customWidth="1" style="366" min="11" max="11"/>
    <col width="26" customWidth="1" style="366" min="12" max="12"/>
    <col width="7.28515625" customWidth="1" style="366" min="13" max="13"/>
    <col width="8.7109375" customWidth="1" style="366" min="14" max="14"/>
  </cols>
  <sheetData>
    <row r="1" ht="14.25" customHeight="1" s="366">
      <c r="A1" s="49" t="inlineStr">
        <is>
          <t>Common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18" t="inlineStr">
        <is>
          <t>CommonMaintanence</t>
        </is>
      </c>
      <c r="G1" s="118" t="inlineStr">
        <is>
          <t>Total Maintenance</t>
        </is>
      </c>
      <c r="H1" s="118" t="inlineStr">
        <is>
          <t>Garbage Amount</t>
        </is>
      </c>
      <c r="I1" s="118" t="inlineStr">
        <is>
          <t xml:space="preserve">Topay </t>
        </is>
      </c>
      <c r="J1" s="118" t="inlineStr">
        <is>
          <t>Receive Amount</t>
        </is>
      </c>
      <c r="K1" s="146" t="inlineStr">
        <is>
          <t>Payment Status</t>
        </is>
      </c>
      <c r="L1" s="124" t="inlineStr">
        <is>
          <t xml:space="preserve">Balance from May Month </t>
        </is>
      </c>
      <c r="M1" s="128" t="n">
        <v>22022</v>
      </c>
      <c r="N1" s="114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>
        <f>G2+H2</f>
        <v/>
      </c>
      <c r="J2" s="29" t="n">
        <v>300</v>
      </c>
      <c r="K2" s="120" t="inlineStr">
        <is>
          <t>Received</t>
        </is>
      </c>
      <c r="L2" s="148" t="inlineStr">
        <is>
          <t>Pending Amounts (Subbarao)</t>
        </is>
      </c>
      <c r="M2" s="149" t="n"/>
      <c r="N2" s="114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>
        <f>G3+H3</f>
        <v/>
      </c>
      <c r="J3" s="29" t="n">
        <v>300</v>
      </c>
      <c r="K3" s="120" t="inlineStr">
        <is>
          <t>Received</t>
        </is>
      </c>
      <c r="L3" s="148" t="inlineStr">
        <is>
          <t>302 Flat (May)</t>
        </is>
      </c>
      <c r="M3" s="148" t="n">
        <v>500</v>
      </c>
      <c r="N3" s="148" t="inlineStr">
        <is>
          <t>Received</t>
        </is>
      </c>
    </row>
    <row r="4" ht="14.25" customHeight="1" s="366">
      <c r="A4" s="32" t="inlineStr">
        <is>
          <t>G1</t>
        </is>
      </c>
      <c r="B4" s="30" t="n">
        <v>49.96</v>
      </c>
      <c r="C4" s="30" t="n">
        <v>56.78</v>
      </c>
      <c r="D4" s="29">
        <f>(C4-B4)*1000</f>
        <v/>
      </c>
      <c r="E4" s="64">
        <f>ROUND(D4*D23,0)</f>
        <v/>
      </c>
      <c r="F4" s="29" t="n">
        <v>1000</v>
      </c>
      <c r="G4" s="29">
        <f>SUM(E4,F4)</f>
        <v/>
      </c>
      <c r="H4" s="29" t="n">
        <v>50</v>
      </c>
      <c r="I4" s="29">
        <f>G4+H4</f>
        <v/>
      </c>
      <c r="J4" s="29" t="n">
        <v>1507</v>
      </c>
      <c r="K4" s="120" t="inlineStr">
        <is>
          <t>Received</t>
        </is>
      </c>
      <c r="L4" s="148" t="inlineStr">
        <is>
          <t>301 flat (April)</t>
        </is>
      </c>
      <c r="M4" s="148" t="n">
        <v>1000</v>
      </c>
      <c r="N4" s="114" t="n"/>
    </row>
    <row r="5" ht="14.25" customHeight="1" s="366">
      <c r="A5" s="32" t="inlineStr">
        <is>
          <t>G2</t>
        </is>
      </c>
      <c r="B5" s="30" t="n">
        <v>135.73</v>
      </c>
      <c r="C5" s="30" t="n">
        <v>137.85</v>
      </c>
      <c r="D5" s="29">
        <f>(C5-B5)*1000</f>
        <v/>
      </c>
      <c r="E5" s="64">
        <f>ROUND(D5*D23,0)</f>
        <v/>
      </c>
      <c r="F5" s="29" t="n">
        <v>1000</v>
      </c>
      <c r="G5" s="29">
        <f>SUM(E5,F5)</f>
        <v/>
      </c>
      <c r="H5" s="29" t="n">
        <v>50</v>
      </c>
      <c r="I5" s="29">
        <f>G5+H5</f>
        <v/>
      </c>
      <c r="J5" s="29" t="n">
        <v>1192</v>
      </c>
      <c r="K5" s="120" t="inlineStr">
        <is>
          <t>Received</t>
        </is>
      </c>
      <c r="L5" s="114" t="n"/>
      <c r="M5" s="114" t="n"/>
      <c r="N5" s="114" t="n"/>
    </row>
    <row r="6" ht="14.25" customHeight="1" s="366">
      <c r="A6" s="32" t="inlineStr">
        <is>
          <t>G3</t>
        </is>
      </c>
      <c r="B6" s="30" t="n">
        <v>270.73</v>
      </c>
      <c r="C6" s="30" t="n">
        <v>270.74</v>
      </c>
      <c r="D6" s="29">
        <f>(C6-B6)*1000</f>
        <v/>
      </c>
      <c r="E6" s="64">
        <f>ROUND(D6*D23,0)</f>
        <v/>
      </c>
      <c r="F6" s="29" t="n">
        <v>1000</v>
      </c>
      <c r="G6" s="29">
        <f>SUM(E6,F6)</f>
        <v/>
      </c>
      <c r="H6" s="29" t="n">
        <v>50</v>
      </c>
      <c r="I6" s="29">
        <f>G6+H6</f>
        <v/>
      </c>
      <c r="J6" s="29" t="n">
        <v>1051</v>
      </c>
      <c r="K6" s="120" t="inlineStr">
        <is>
          <t>Received</t>
        </is>
      </c>
      <c r="L6" s="114" t="n"/>
      <c r="M6" s="114" t="n"/>
      <c r="N6" s="114" t="n"/>
    </row>
    <row r="7" ht="14.25" customHeight="1" s="366">
      <c r="A7" s="32" t="inlineStr">
        <is>
          <t>G4</t>
        </is>
      </c>
      <c r="B7" s="30" t="n">
        <v>219.28</v>
      </c>
      <c r="C7" s="30" t="n">
        <v>225.19</v>
      </c>
      <c r="D7" s="29">
        <f>(C7-B7)*1000</f>
        <v/>
      </c>
      <c r="E7" s="64">
        <f>ROUND(D7*D23,0)</f>
        <v/>
      </c>
      <c r="F7" s="29" t="n">
        <v>1000</v>
      </c>
      <c r="G7" s="29">
        <f>SUM(E7,F7)</f>
        <v/>
      </c>
      <c r="H7" s="29" t="n">
        <v>50</v>
      </c>
      <c r="I7" s="29">
        <f>G7+H7</f>
        <v/>
      </c>
      <c r="J7" s="29" t="n">
        <v>1446</v>
      </c>
      <c r="K7" s="120" t="inlineStr">
        <is>
          <t>Received</t>
        </is>
      </c>
      <c r="L7" s="114" t="n"/>
      <c r="M7" s="114" t="n"/>
      <c r="N7" s="114" t="n"/>
    </row>
    <row r="8" ht="14.25" customHeight="1" s="366">
      <c r="A8" s="73" t="n">
        <v>101</v>
      </c>
      <c r="B8" s="30" t="n">
        <v>0.59</v>
      </c>
      <c r="C8" s="30" t="n">
        <v>0.59</v>
      </c>
      <c r="D8" s="29">
        <f>(C8-B8)*1000</f>
        <v/>
      </c>
      <c r="E8" s="64">
        <f>ROUND(D8*D23,0)</f>
        <v/>
      </c>
      <c r="F8" s="64" t="n">
        <v>1000</v>
      </c>
      <c r="G8" s="29">
        <f>SUM(E8,F8)</f>
        <v/>
      </c>
      <c r="H8" s="29" t="n">
        <v>0</v>
      </c>
      <c r="I8" s="29">
        <f>G8+H8</f>
        <v/>
      </c>
      <c r="J8" s="29" t="n">
        <v>1000</v>
      </c>
      <c r="K8" s="120" t="inlineStr">
        <is>
          <t>Received</t>
        </is>
      </c>
      <c r="L8" s="114" t="n"/>
      <c r="M8" s="114" t="n"/>
      <c r="N8" s="114" t="n"/>
    </row>
    <row r="9" ht="14.25" customHeight="1" s="366">
      <c r="A9" s="32" t="n">
        <v>102</v>
      </c>
      <c r="B9" s="30" t="n">
        <v>414.59</v>
      </c>
      <c r="C9" s="30" t="n">
        <v>423.74</v>
      </c>
      <c r="D9" s="29">
        <f>(C9-B9)*1000</f>
        <v/>
      </c>
      <c r="E9" s="64">
        <f>ROUND(D9*D23,0)</f>
        <v/>
      </c>
      <c r="F9" s="29" t="n">
        <v>1000</v>
      </c>
      <c r="G9" s="29">
        <f>SUM(E9,F9)</f>
        <v/>
      </c>
      <c r="H9" s="29" t="n">
        <v>50</v>
      </c>
      <c r="I9" s="29">
        <f>G9+H9</f>
        <v/>
      </c>
      <c r="J9" s="29" t="n">
        <v>1663</v>
      </c>
      <c r="K9" s="120" t="inlineStr">
        <is>
          <t>Received</t>
        </is>
      </c>
      <c r="L9" s="114" t="n"/>
      <c r="M9" s="114" t="n"/>
      <c r="N9" s="114" t="n"/>
    </row>
    <row r="10" ht="14.25" customHeight="1" s="366">
      <c r="A10" s="32" t="n">
        <v>103</v>
      </c>
      <c r="B10" s="30" t="n">
        <v>63.12</v>
      </c>
      <c r="C10" s="30" t="n">
        <v>77.44</v>
      </c>
      <c r="D10" s="29">
        <f>(C10-B10)*1000</f>
        <v/>
      </c>
      <c r="E10" s="64">
        <f>ROUND(D10*D23,0)</f>
        <v/>
      </c>
      <c r="F10" s="29" t="n">
        <v>1000</v>
      </c>
      <c r="G10" s="29">
        <f>SUM(E10,F10)</f>
        <v/>
      </c>
      <c r="H10" s="29" t="n">
        <v>50</v>
      </c>
      <c r="I10" s="29">
        <f>G10+H10</f>
        <v/>
      </c>
      <c r="J10" s="29" t="n">
        <v>2009</v>
      </c>
      <c r="K10" s="120" t="inlineStr">
        <is>
          <t>Received</t>
        </is>
      </c>
      <c r="L10" s="153" t="inlineStr">
        <is>
          <t>Expenditures</t>
        </is>
      </c>
      <c r="M10" s="368" t="n"/>
      <c r="N10" s="60" t="n"/>
    </row>
    <row r="11" ht="14.25" customHeight="1" s="366">
      <c r="A11" s="32" t="n">
        <v>104</v>
      </c>
      <c r="B11" s="30" t="n">
        <v>274.65</v>
      </c>
      <c r="C11" s="30" t="n">
        <v>281.32</v>
      </c>
      <c r="D11" s="29">
        <f>(C11-B11)*1000</f>
        <v/>
      </c>
      <c r="E11" s="64">
        <f>ROUND(D11*D23,0)</f>
        <v/>
      </c>
      <c r="F11" s="29" t="n">
        <v>1000</v>
      </c>
      <c r="G11" s="29">
        <f>SUM(E11,F11)</f>
        <v/>
      </c>
      <c r="H11" s="29" t="n">
        <v>50</v>
      </c>
      <c r="I11" s="29">
        <f>G11+H11</f>
        <v/>
      </c>
      <c r="J11" s="29" t="n">
        <v>1497</v>
      </c>
      <c r="K11" s="120" t="inlineStr">
        <is>
          <t>Received</t>
        </is>
      </c>
      <c r="L11" s="114" t="inlineStr">
        <is>
          <t>WATCHMAN SALARY</t>
        </is>
      </c>
      <c r="M11" s="114" t="n">
        <v>6700</v>
      </c>
      <c r="N11" s="114" t="n"/>
    </row>
    <row r="12" ht="14.25" customHeight="1" s="366">
      <c r="A12" s="32" t="n">
        <v>201</v>
      </c>
      <c r="B12" s="30" t="n">
        <v>21.34</v>
      </c>
      <c r="C12" s="30" t="n">
        <v>33.75</v>
      </c>
      <c r="D12" s="29">
        <f>(C12-B12)*1000</f>
        <v/>
      </c>
      <c r="E12" s="64">
        <f>ROUND(D12*D23,0)</f>
        <v/>
      </c>
      <c r="F12" s="29" t="n">
        <v>1000</v>
      </c>
      <c r="G12" s="29">
        <f>SUM(E12,F12)</f>
        <v/>
      </c>
      <c r="H12" s="29" t="n">
        <v>50</v>
      </c>
      <c r="I12" s="29">
        <f>G12+H12</f>
        <v/>
      </c>
      <c r="J12" s="29" t="n">
        <v>1881</v>
      </c>
      <c r="K12" s="120" t="inlineStr">
        <is>
          <t>Received</t>
        </is>
      </c>
      <c r="L12" s="114" t="inlineStr">
        <is>
          <t>Tankers Amunt (May Month)</t>
        </is>
      </c>
      <c r="M12" s="114" t="n">
        <v>9000</v>
      </c>
      <c r="N12" s="114" t="n"/>
    </row>
    <row r="13" ht="14.25" customHeight="1" s="366">
      <c r="A13" s="32" t="n">
        <v>202</v>
      </c>
      <c r="B13" s="30" t="n">
        <v>211.05</v>
      </c>
      <c r="C13" s="30" t="n">
        <v>214.66</v>
      </c>
      <c r="D13" s="29">
        <f>(C13-B13)*1000</f>
        <v/>
      </c>
      <c r="E13" s="64">
        <f>ROUND(D13*D23,0)</f>
        <v/>
      </c>
      <c r="F13" s="29" t="n">
        <v>1000</v>
      </c>
      <c r="G13" s="29">
        <f>SUM(E13,F13)</f>
        <v/>
      </c>
      <c r="H13" s="29" t="n">
        <v>50</v>
      </c>
      <c r="I13" s="29">
        <f>G13+H13</f>
        <v/>
      </c>
      <c r="J13" s="29" t="n">
        <v>1292</v>
      </c>
      <c r="K13" s="120" t="inlineStr">
        <is>
          <t>Received</t>
        </is>
      </c>
      <c r="L13" s="114" t="inlineStr">
        <is>
          <t>Groom</t>
        </is>
      </c>
      <c r="M13" s="114" t="n">
        <v>200</v>
      </c>
      <c r="N13" s="114" t="n"/>
    </row>
    <row r="14" ht="14.25" customHeight="1" s="366">
      <c r="A14" s="32" t="n">
        <v>203</v>
      </c>
      <c r="B14" s="30" t="n">
        <v>250.28</v>
      </c>
      <c r="C14" s="30" t="n">
        <v>253.72</v>
      </c>
      <c r="D14" s="29">
        <f>(C14-B14)*1000</f>
        <v/>
      </c>
      <c r="E14" s="64">
        <f>ROUND(D14*D23,0)</f>
        <v/>
      </c>
      <c r="F14" s="29" t="n">
        <v>1000</v>
      </c>
      <c r="G14" s="29">
        <f>SUM(E14,F14)</f>
        <v/>
      </c>
      <c r="H14" s="29" t="n">
        <v>50</v>
      </c>
      <c r="I14" s="29">
        <f>G14+H14</f>
        <v/>
      </c>
      <c r="J14" s="29" t="n">
        <v>1280</v>
      </c>
      <c r="K14" s="120" t="inlineStr">
        <is>
          <t>Received</t>
        </is>
      </c>
      <c r="L14" s="114" t="inlineStr">
        <is>
          <t>Muggu</t>
        </is>
      </c>
      <c r="M14" s="114" t="n">
        <v>100</v>
      </c>
      <c r="N14" s="114" t="n"/>
    </row>
    <row r="15" ht="14.25" customHeight="1" s="366">
      <c r="A15" s="32" t="n">
        <v>204</v>
      </c>
      <c r="B15" s="30" t="n">
        <v>170.04</v>
      </c>
      <c r="C15" s="30" t="n">
        <v>180.75</v>
      </c>
      <c r="D15" s="29">
        <f>(C15-B15)*1000</f>
        <v/>
      </c>
      <c r="E15" s="64">
        <f>ROUND(D15*D23,0)</f>
        <v/>
      </c>
      <c r="F15" s="29" t="n">
        <v>1000</v>
      </c>
      <c r="G15" s="29">
        <f>SUM(E15,F15)</f>
        <v/>
      </c>
      <c r="H15" s="29" t="n">
        <v>50</v>
      </c>
      <c r="I15" s="29">
        <f>G15+H15</f>
        <v/>
      </c>
      <c r="J15" s="29" t="n">
        <v>1767</v>
      </c>
      <c r="K15" s="120" t="inlineStr">
        <is>
          <t>Received</t>
        </is>
      </c>
      <c r="L15" s="114" t="inlineStr">
        <is>
          <t>Current Bill</t>
        </is>
      </c>
      <c r="M15" s="114" t="n">
        <v>2269</v>
      </c>
      <c r="N15" s="114" t="n"/>
    </row>
    <row r="16" ht="14.25" customHeight="1" s="366">
      <c r="A16" s="32" t="n">
        <v>301</v>
      </c>
      <c r="B16" s="30" t="n">
        <v>1.36</v>
      </c>
      <c r="C16" s="30" t="n">
        <v>5.57</v>
      </c>
      <c r="D16" s="29">
        <f>(C16-B16)*1000</f>
        <v/>
      </c>
      <c r="E16" s="64">
        <f>ROUND(D16*D23,0)</f>
        <v/>
      </c>
      <c r="F16" s="29" t="n">
        <v>1000</v>
      </c>
      <c r="G16" s="29">
        <f>SUM(E16,F16)</f>
        <v/>
      </c>
      <c r="H16" s="29" t="n">
        <v>50</v>
      </c>
      <c r="I16" s="29">
        <f>G16+H16</f>
        <v/>
      </c>
      <c r="J16" s="29" t="n">
        <v>1332</v>
      </c>
      <c r="K16" s="51" t="inlineStr">
        <is>
          <t>Received</t>
        </is>
      </c>
      <c r="L16" s="114" t="inlineStr">
        <is>
          <t>Chetta amount</t>
        </is>
      </c>
      <c r="M16" s="114" t="n">
        <v>500</v>
      </c>
      <c r="N16" s="114" t="n"/>
    </row>
    <row r="17" ht="14.25" customHeight="1" s="366">
      <c r="A17" s="32" t="n">
        <v>302</v>
      </c>
      <c r="B17" s="30" t="n">
        <v>41.18</v>
      </c>
      <c r="C17" s="30" t="n">
        <v>56.1</v>
      </c>
      <c r="D17" s="29">
        <f>(C17-B17)*1000</f>
        <v/>
      </c>
      <c r="E17" s="64">
        <f>ROUND(D17*D23,0)</f>
        <v/>
      </c>
      <c r="F17" s="29" t="n">
        <v>1000</v>
      </c>
      <c r="G17" s="29">
        <f>SUM(E17,F17)</f>
        <v/>
      </c>
      <c r="H17" s="29" t="n">
        <v>50</v>
      </c>
      <c r="I17" s="29">
        <f>G17+H17</f>
        <v/>
      </c>
      <c r="J17" s="29" t="n">
        <v>2549</v>
      </c>
      <c r="K17" s="120" t="inlineStr">
        <is>
          <t xml:space="preserve">Received(with500) </t>
        </is>
      </c>
      <c r="L17" s="114" t="inlineStr">
        <is>
          <t>Taps&amp;Pipes repair</t>
        </is>
      </c>
      <c r="M17" s="114" t="n">
        <v>13000</v>
      </c>
      <c r="N17" s="114" t="n"/>
    </row>
    <row r="18" ht="14.25" customHeight="1" s="366">
      <c r="A18" s="32" t="n">
        <v>303</v>
      </c>
      <c r="B18" s="30" t="n">
        <v>593.59</v>
      </c>
      <c r="C18" s="30" t="n">
        <v>610.59</v>
      </c>
      <c r="D18" s="29">
        <f>(C18-B18)*1000</f>
        <v/>
      </c>
      <c r="E18" s="64">
        <f>ROUND(D18*D23,0)</f>
        <v/>
      </c>
      <c r="F18" s="29" t="n">
        <v>1000</v>
      </c>
      <c r="G18" s="29">
        <f>SUM(E18,F18)</f>
        <v/>
      </c>
      <c r="H18" s="29" t="n">
        <v>50</v>
      </c>
      <c r="I18" s="29">
        <f>G18+H18</f>
        <v/>
      </c>
      <c r="J18" s="29" t="n">
        <v>2189</v>
      </c>
      <c r="K18" s="120" t="inlineStr">
        <is>
          <t>Received</t>
        </is>
      </c>
      <c r="L18" s="114" t="inlineStr">
        <is>
          <t>Lift repair</t>
        </is>
      </c>
      <c r="M18" s="114" t="n">
        <v>13000</v>
      </c>
      <c r="N18" s="114" t="n"/>
    </row>
    <row r="19" ht="14.25" customHeight="1" s="366">
      <c r="A19" s="32" t="n">
        <v>304</v>
      </c>
      <c r="B19" s="30" t="n">
        <v>124.01</v>
      </c>
      <c r="C19" s="30" t="n">
        <v>132.75</v>
      </c>
      <c r="D19" s="29">
        <f>(C19-B19)*1000</f>
        <v/>
      </c>
      <c r="E19" s="64">
        <f>ROUND(D19*D23,0)</f>
        <v/>
      </c>
      <c r="F19" s="29" t="n">
        <v>1000</v>
      </c>
      <c r="G19" s="29">
        <f>SUM(E19,F19)</f>
        <v/>
      </c>
      <c r="H19" s="29" t="n">
        <v>50</v>
      </c>
      <c r="I19" s="29">
        <f>G19+H19</f>
        <v/>
      </c>
      <c r="J19" s="29" t="n">
        <v>1635</v>
      </c>
      <c r="K19" s="120" t="inlineStr">
        <is>
          <t>Received</t>
        </is>
      </c>
      <c r="L19" s="114" t="inlineStr">
        <is>
          <t>manjeera water tanker</t>
        </is>
      </c>
      <c r="M19" s="114" t="n">
        <v>540</v>
      </c>
      <c r="N19" s="114" t="n"/>
    </row>
    <row r="20" ht="14.25" customHeight="1" s="366">
      <c r="A20" s="29" t="inlineStr">
        <is>
          <t>Common</t>
        </is>
      </c>
      <c r="B20" s="30" t="n">
        <v>116.644</v>
      </c>
      <c r="C20" s="30" t="n">
        <v>130.97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>
        <f>G20+H20</f>
        <v/>
      </c>
      <c r="J20" s="29" t="n"/>
      <c r="K20" s="51" t="n"/>
      <c r="L20" s="114" t="inlineStr">
        <is>
          <t>urban clap person</t>
        </is>
      </c>
      <c r="M20" s="114" t="n">
        <v>165</v>
      </c>
      <c r="N20" s="114" t="n"/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49">
        <f>SUM(H2:H20)</f>
        <v/>
      </c>
      <c r="I21" s="49" t="n"/>
      <c r="J21" s="49">
        <f>SUM(J2:J19)</f>
        <v/>
      </c>
      <c r="K21" s="29" t="n"/>
      <c r="L21" s="114" t="inlineStr">
        <is>
          <t>lizol,bleaching</t>
        </is>
      </c>
      <c r="M21" s="114" t="n">
        <v>260</v>
      </c>
      <c r="N21" s="114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 t="n"/>
      <c r="F22" s="29" t="n"/>
      <c r="G22" s="29" t="n"/>
      <c r="H22" s="29" t="n"/>
      <c r="I22" s="29" t="n"/>
      <c r="J22" s="29" t="n"/>
      <c r="K22" s="29" t="n"/>
      <c r="L22" s="121" t="inlineStr">
        <is>
          <t>Total</t>
        </is>
      </c>
      <c r="M22" s="121">
        <f>SUM(M11:M21)</f>
        <v/>
      </c>
      <c r="N22" s="121" t="n"/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119" t="inlineStr">
        <is>
          <t>Total Balance(June)</t>
        </is>
      </c>
      <c r="H23" s="29">
        <f>SUM(M1,J21)-M22</f>
        <v/>
      </c>
      <c r="I23" s="29" t="n"/>
      <c r="J23" s="29" t="n"/>
      <c r="K23" s="29" t="n"/>
      <c r="L23" s="114" t="n"/>
      <c r="M23" s="114" t="n"/>
      <c r="N23" s="114" t="n"/>
    </row>
    <row r="24" ht="14.25" customHeight="1" s="366">
      <c r="A24" s="119" t="inlineStr">
        <is>
          <t>Total Water Bill</t>
        </is>
      </c>
      <c r="B24" s="30" t="n">
        <v>9000</v>
      </c>
      <c r="C24" s="119" t="inlineStr">
        <is>
          <t xml:space="preserve">WATER Tankers(9)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114" t="n"/>
      <c r="M24" s="114" t="n"/>
      <c r="N24" s="114" t="n"/>
    </row>
  </sheetData>
  <mergeCells count="1">
    <mergeCell ref="L10:M10"/>
  </mergeCells>
  <pageMargins left="0.7" right="0.7" top="0.75" bottom="0.75" header="0" footer="0"/>
  <pageSetup orientation="portrait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ColWidth="14.42578125" defaultRowHeight="15" customHeight="1"/>
  <cols>
    <col width="10.7109375" customWidth="1" style="366" min="1" max="1"/>
    <col width="22" customWidth="1" style="366" min="2" max="2"/>
    <col width="20.42578125" customWidth="1" style="366" min="3" max="3"/>
    <col width="13.42578125" customWidth="1" style="366" min="4" max="4"/>
    <col width="8.85546875" customWidth="1" style="366" min="5" max="5"/>
    <col width="18.5703125" customWidth="1" style="366" min="6" max="6"/>
    <col width="16.5703125" customWidth="1" style="366" min="7" max="7"/>
    <col width="15" customWidth="1" style="366" min="8" max="8"/>
    <col width="8.7109375" customWidth="1" style="366" min="9" max="9"/>
    <col width="16.7109375" customWidth="1" style="366" min="10" max="10"/>
    <col width="14.28515625" customWidth="1" style="366" min="11" max="11"/>
    <col width="23.7109375" customWidth="1" style="366" min="12" max="12"/>
    <col width="10.28515625" customWidth="1" style="366" min="13" max="13"/>
    <col width="11.85546875" customWidth="1" style="366" min="14" max="14"/>
  </cols>
  <sheetData>
    <row r="1" ht="14.25" customHeight="1" s="366">
      <c r="A1" s="49" t="inlineStr">
        <is>
          <t>Common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 xml:space="preserve">Topay </t>
        </is>
      </c>
      <c r="J1" s="146" t="inlineStr">
        <is>
          <t>Receive Amount</t>
        </is>
      </c>
      <c r="K1" s="146" t="inlineStr">
        <is>
          <t>Payment Status</t>
        </is>
      </c>
      <c r="L1" s="150" t="inlineStr">
        <is>
          <t xml:space="preserve">Balance from June  Month </t>
        </is>
      </c>
      <c r="M1" s="151" t="n">
        <v>2178</v>
      </c>
      <c r="N1" s="152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>
        <f>G2+H2</f>
        <v/>
      </c>
      <c r="J2" s="29" t="n">
        <v>300</v>
      </c>
      <c r="K2" s="120" t="inlineStr">
        <is>
          <t>Received</t>
        </is>
      </c>
      <c r="L2" s="148" t="inlineStr">
        <is>
          <t>Pending Amounts (Subbarao)</t>
        </is>
      </c>
      <c r="M2" s="149" t="n"/>
      <c r="N2" s="114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>
        <f>G3+H3</f>
        <v/>
      </c>
      <c r="J3" s="29" t="n">
        <v>300</v>
      </c>
      <c r="K3" s="120" t="inlineStr">
        <is>
          <t>Received</t>
        </is>
      </c>
      <c r="L3" s="148" t="inlineStr">
        <is>
          <t>301 flat (April)</t>
        </is>
      </c>
      <c r="M3" s="148" t="n">
        <v>1000</v>
      </c>
      <c r="N3" s="121" t="inlineStr">
        <is>
          <t>RECEIVED</t>
        </is>
      </c>
    </row>
    <row r="4" ht="14.25" customHeight="1" s="366">
      <c r="A4" s="32" t="inlineStr">
        <is>
          <t>G1</t>
        </is>
      </c>
      <c r="B4" s="30" t="n">
        <v>56.78</v>
      </c>
      <c r="C4" s="30" t="n">
        <v>62.14</v>
      </c>
      <c r="D4" s="29">
        <f>(C4-B4)*1000</f>
        <v/>
      </c>
      <c r="E4" s="64">
        <f>ROUND(D4*D23,0)</f>
        <v/>
      </c>
      <c r="F4" s="29" t="n">
        <v>1000</v>
      </c>
      <c r="G4" s="29">
        <f>SUM(E4,F4)</f>
        <v/>
      </c>
      <c r="H4" s="29" t="n">
        <v>50</v>
      </c>
      <c r="I4" s="29">
        <f>G4+H4</f>
        <v/>
      </c>
      <c r="J4" s="29" t="n">
        <v>1550</v>
      </c>
      <c r="K4" s="120" t="inlineStr">
        <is>
          <t>Received</t>
        </is>
      </c>
      <c r="N4" s="114" t="n"/>
    </row>
    <row r="5" ht="14.25" customHeight="1" s="366">
      <c r="A5" s="32" t="inlineStr">
        <is>
          <t>G2</t>
        </is>
      </c>
      <c r="B5" s="30" t="n">
        <v>137.85</v>
      </c>
      <c r="C5" s="30" t="n">
        <v>141.29</v>
      </c>
      <c r="D5" s="29">
        <f>(C5-B5)*1000</f>
        <v/>
      </c>
      <c r="E5" s="64">
        <f>ROUND(D5*D23,0)</f>
        <v/>
      </c>
      <c r="F5" s="29" t="n">
        <v>1000</v>
      </c>
      <c r="G5" s="29">
        <f>SUM(E5,F5)</f>
        <v/>
      </c>
      <c r="H5" s="29" t="n">
        <v>50</v>
      </c>
      <c r="I5" s="29">
        <f>G5+H5</f>
        <v/>
      </c>
      <c r="J5" s="29" t="n">
        <v>1371</v>
      </c>
      <c r="K5" s="120" t="inlineStr">
        <is>
          <t>Received</t>
        </is>
      </c>
      <c r="L5" s="114" t="n"/>
      <c r="M5" s="114" t="n"/>
      <c r="N5" s="114" t="n"/>
    </row>
    <row r="6" ht="14.25" customHeight="1" s="366">
      <c r="A6" s="32" t="inlineStr">
        <is>
          <t>G3</t>
        </is>
      </c>
      <c r="B6" s="30" t="n">
        <v>270.74</v>
      </c>
      <c r="C6" s="30" t="n">
        <v>277.6</v>
      </c>
      <c r="D6" s="29">
        <f>(C6-B6)*1000</f>
        <v/>
      </c>
      <c r="E6" s="64">
        <f>ROUND(D6*D23,0)</f>
        <v/>
      </c>
      <c r="F6" s="29" t="n">
        <v>1000</v>
      </c>
      <c r="G6" s="29">
        <f>SUM(E6,F6)</f>
        <v/>
      </c>
      <c r="H6" s="29" t="n">
        <v>50</v>
      </c>
      <c r="I6" s="29">
        <f>G6+H6</f>
        <v/>
      </c>
      <c r="J6" s="29" t="n">
        <v>1690</v>
      </c>
      <c r="K6" s="120" t="inlineStr">
        <is>
          <t>Received</t>
        </is>
      </c>
      <c r="L6" s="114" t="n"/>
      <c r="M6" s="114" t="n"/>
      <c r="N6" s="114" t="n"/>
    </row>
    <row r="7" ht="14.25" customHeight="1" s="366">
      <c r="A7" s="32" t="inlineStr">
        <is>
          <t>G4</t>
        </is>
      </c>
      <c r="B7" s="30" t="n">
        <v>225.19</v>
      </c>
      <c r="C7" s="30" t="n">
        <v>230.84</v>
      </c>
      <c r="D7" s="29">
        <f>(C7-B7)*1000</f>
        <v/>
      </c>
      <c r="E7" s="64">
        <f>ROUND(D7*D23,0)</f>
        <v/>
      </c>
      <c r="F7" s="29" t="n">
        <v>1000</v>
      </c>
      <c r="G7" s="29">
        <f>SUM(E7,F7)</f>
        <v/>
      </c>
      <c r="H7" s="29" t="n">
        <v>50</v>
      </c>
      <c r="I7" s="29">
        <f>G7+H7</f>
        <v/>
      </c>
      <c r="J7" s="29" t="n">
        <v>1577</v>
      </c>
      <c r="K7" s="120" t="inlineStr">
        <is>
          <t>Received</t>
        </is>
      </c>
      <c r="L7" s="114" t="n"/>
      <c r="M7" s="114" t="n"/>
      <c r="N7" s="114" t="n"/>
    </row>
    <row r="8" ht="14.25" customHeight="1" s="366">
      <c r="A8" s="73" t="n">
        <v>101</v>
      </c>
      <c r="B8" s="30" t="n">
        <v>0.59</v>
      </c>
      <c r="C8" s="30" t="n">
        <v>0.59</v>
      </c>
      <c r="D8" s="29">
        <f>(C8-B8)*1000</f>
        <v/>
      </c>
      <c r="E8" s="64">
        <f>ROUND(D8*D23,0)</f>
        <v/>
      </c>
      <c r="F8" s="64" t="n">
        <v>1000</v>
      </c>
      <c r="G8" s="29">
        <f>SUM(E8,F8)</f>
        <v/>
      </c>
      <c r="H8" s="29" t="n">
        <v>0</v>
      </c>
      <c r="I8" s="29">
        <f>G8+H8</f>
        <v/>
      </c>
      <c r="J8" s="29" t="n">
        <v>1000</v>
      </c>
      <c r="K8" s="120" t="inlineStr">
        <is>
          <t>Received</t>
        </is>
      </c>
      <c r="L8" s="153" t="inlineStr">
        <is>
          <t>Expenditures</t>
        </is>
      </c>
      <c r="M8" s="153" t="n"/>
      <c r="N8" s="114" t="n"/>
    </row>
    <row r="9" ht="14.25" customHeight="1" s="366">
      <c r="A9" s="32" t="n">
        <v>102</v>
      </c>
      <c r="B9" s="30" t="n">
        <v>423.74</v>
      </c>
      <c r="C9" s="30" t="n">
        <v>437.5</v>
      </c>
      <c r="D9" s="29">
        <f>(C9-B9)*1000</f>
        <v/>
      </c>
      <c r="E9" s="64">
        <f>ROUND(D9*D23,0)</f>
        <v/>
      </c>
      <c r="F9" s="29" t="n">
        <v>1000</v>
      </c>
      <c r="G9" s="29">
        <f>SUM(E9,F9)</f>
        <v/>
      </c>
      <c r="H9" s="29" t="n">
        <v>50</v>
      </c>
      <c r="I9" s="29">
        <f>G9+H9</f>
        <v/>
      </c>
      <c r="J9" s="29" t="n">
        <v>2333</v>
      </c>
      <c r="K9" s="120" t="inlineStr">
        <is>
          <t>Received</t>
        </is>
      </c>
      <c r="L9" s="114" t="inlineStr">
        <is>
          <t>Watchman Salary</t>
        </is>
      </c>
      <c r="M9" s="114" t="n">
        <v>6700</v>
      </c>
      <c r="N9" s="114" t="n"/>
    </row>
    <row r="10" ht="14.25" customHeight="1" s="366">
      <c r="A10" s="32" t="n">
        <v>103</v>
      </c>
      <c r="B10" s="30" t="n">
        <v>77.44</v>
      </c>
      <c r="C10" s="30" t="n">
        <v>89.19</v>
      </c>
      <c r="D10" s="29">
        <f>(C10-B10)*1000</f>
        <v/>
      </c>
      <c r="E10" s="64">
        <f>ROUND(D10*D23,0)</f>
        <v/>
      </c>
      <c r="F10" s="29" t="n">
        <v>1000</v>
      </c>
      <c r="G10" s="29">
        <f>SUM(E10,F10)</f>
        <v/>
      </c>
      <c r="H10" s="29" t="n">
        <v>50</v>
      </c>
      <c r="I10" s="29">
        <f>G10+H10</f>
        <v/>
      </c>
      <c r="J10" s="29" t="n">
        <v>2146</v>
      </c>
      <c r="K10" s="120" t="inlineStr">
        <is>
          <t>Received</t>
        </is>
      </c>
      <c r="L10" s="114" t="inlineStr">
        <is>
          <t>Water tankers Amount</t>
        </is>
      </c>
      <c r="M10" s="114" t="n">
        <v>14000</v>
      </c>
      <c r="N10" s="60" t="n"/>
    </row>
    <row r="11" ht="14.25" customHeight="1" s="366">
      <c r="A11" s="32" t="n">
        <v>104</v>
      </c>
      <c r="B11" s="30" t="n">
        <v>281.32</v>
      </c>
      <c r="C11" s="30" t="n">
        <v>296.13</v>
      </c>
      <c r="D11" s="29">
        <f>(C11-B11)*1000</f>
        <v/>
      </c>
      <c r="E11" s="64">
        <f>ROUND(D11*D23,0)</f>
        <v/>
      </c>
      <c r="F11" s="29" t="n">
        <v>1000</v>
      </c>
      <c r="G11" s="29">
        <f>SUM(E11,F11)</f>
        <v/>
      </c>
      <c r="H11" s="29" t="n">
        <v>50</v>
      </c>
      <c r="I11" s="29">
        <f>G11+H11</f>
        <v/>
      </c>
      <c r="J11" s="29" t="n">
        <v>2431</v>
      </c>
      <c r="K11" s="120" t="inlineStr">
        <is>
          <t>Received</t>
        </is>
      </c>
      <c r="L11" s="114" t="inlineStr">
        <is>
          <t>Dust clean chatalu</t>
        </is>
      </c>
      <c r="M11" s="114" t="n">
        <v>80</v>
      </c>
      <c r="N11" s="114" t="n"/>
    </row>
    <row r="12" ht="14.25" customHeight="1" s="366">
      <c r="A12" s="32" t="n">
        <v>201</v>
      </c>
      <c r="B12" s="30" t="n">
        <v>33.75</v>
      </c>
      <c r="C12" s="30" t="n">
        <v>40.18</v>
      </c>
      <c r="D12" s="29">
        <f>(C12-B12)*1000</f>
        <v/>
      </c>
      <c r="E12" s="64">
        <f>ROUND(D12*D23,0)</f>
        <v/>
      </c>
      <c r="F12" s="29" t="n">
        <v>1000</v>
      </c>
      <c r="G12" s="29">
        <f>SUM(E12,F12)</f>
        <v/>
      </c>
      <c r="H12" s="29" t="n">
        <v>50</v>
      </c>
      <c r="I12" s="29">
        <f>G12+H12</f>
        <v/>
      </c>
      <c r="J12" s="29" t="n">
        <v>1650</v>
      </c>
      <c r="K12" s="120" t="inlineStr">
        <is>
          <t>Received</t>
        </is>
      </c>
      <c r="L12" s="114" t="inlineStr">
        <is>
          <t>Bulb</t>
        </is>
      </c>
      <c r="M12" s="114" t="n">
        <v>100</v>
      </c>
      <c r="N12" s="114" t="n"/>
    </row>
    <row r="13" ht="14.25" customHeight="1" s="366">
      <c r="A13" s="32" t="n">
        <v>202</v>
      </c>
      <c r="B13" s="30" t="n">
        <v>214.66</v>
      </c>
      <c r="C13" s="30" t="n">
        <v>218.05</v>
      </c>
      <c r="D13" s="29">
        <f>(C13-B13)*1000</f>
        <v/>
      </c>
      <c r="E13" s="64">
        <f>ROUND(D13*D23,0)</f>
        <v/>
      </c>
      <c r="F13" s="29" t="n">
        <v>1000</v>
      </c>
      <c r="G13" s="29">
        <f>SUM(E13,F13)</f>
        <v/>
      </c>
      <c r="H13" s="29" t="n">
        <v>50</v>
      </c>
      <c r="I13" s="29">
        <f>G13+H13</f>
        <v/>
      </c>
      <c r="J13" s="29" t="n">
        <v>1366</v>
      </c>
      <c r="K13" s="120" t="inlineStr">
        <is>
          <t>Received</t>
        </is>
      </c>
      <c r="L13" s="114" t="inlineStr">
        <is>
          <t>Manjerra water bill(3 Mon)</t>
        </is>
      </c>
      <c r="M13" s="114" t="n">
        <v>6132</v>
      </c>
      <c r="N13" s="114" t="n"/>
    </row>
    <row r="14" ht="14.25" customHeight="1" s="366">
      <c r="A14" s="32" t="n">
        <v>203</v>
      </c>
      <c r="B14" s="30" t="n">
        <v>253.72</v>
      </c>
      <c r="C14" s="30" t="n">
        <v>260.08</v>
      </c>
      <c r="D14" s="29">
        <f>(C14-B14)*1000</f>
        <v/>
      </c>
      <c r="E14" s="64">
        <f>ROUND(D14*D23,0)</f>
        <v/>
      </c>
      <c r="F14" s="29" t="n">
        <v>1000</v>
      </c>
      <c r="G14" s="29">
        <f>SUM(E14,F14)</f>
        <v/>
      </c>
      <c r="H14" s="29" t="n">
        <v>50</v>
      </c>
      <c r="I14" s="29">
        <f>G14+H14</f>
        <v/>
      </c>
      <c r="J14" s="29" t="n">
        <v>1643</v>
      </c>
      <c r="K14" s="120" t="inlineStr">
        <is>
          <t>Received</t>
        </is>
      </c>
      <c r="L14" s="114" t="inlineStr">
        <is>
          <t>Current bill Amount</t>
        </is>
      </c>
      <c r="M14" s="114" t="n">
        <v>2847</v>
      </c>
      <c r="N14" s="114" t="n"/>
    </row>
    <row r="15" ht="14.25" customHeight="1" s="366">
      <c r="A15" s="32" t="n">
        <v>204</v>
      </c>
      <c r="B15" s="30" t="n">
        <v>180.75</v>
      </c>
      <c r="C15" s="30" t="n">
        <v>187.11</v>
      </c>
      <c r="D15" s="29">
        <f>(C15-B15)*1000</f>
        <v/>
      </c>
      <c r="E15" s="64">
        <f>ROUND(D15*D23,0)</f>
        <v/>
      </c>
      <c r="F15" s="29" t="n">
        <v>1000</v>
      </c>
      <c r="G15" s="29">
        <f>SUM(E15,F15)</f>
        <v/>
      </c>
      <c r="H15" s="29" t="n">
        <v>50</v>
      </c>
      <c r="I15" s="29">
        <f>G15+H15</f>
        <v/>
      </c>
      <c r="J15" s="29" t="n">
        <v>1643</v>
      </c>
      <c r="K15" s="120" t="inlineStr">
        <is>
          <t>Received</t>
        </is>
      </c>
      <c r="L15" s="114" t="inlineStr">
        <is>
          <t>Tank Cleaning(2) amount</t>
        </is>
      </c>
      <c r="M15" s="114" t="n">
        <v>800</v>
      </c>
      <c r="N15" s="114" t="n"/>
    </row>
    <row r="16" ht="14.25" customHeight="1" s="366">
      <c r="A16" s="32" t="n">
        <v>301</v>
      </c>
      <c r="B16" s="30" t="n">
        <v>5.57</v>
      </c>
      <c r="C16" s="30" t="n">
        <v>8.73</v>
      </c>
      <c r="D16" s="29">
        <f>(C16-B16)*1000</f>
        <v/>
      </c>
      <c r="E16" s="64">
        <f>ROUND(D16*D23,0)</f>
        <v/>
      </c>
      <c r="F16" s="29" t="n">
        <v>1000</v>
      </c>
      <c r="G16" s="29">
        <f>SUM(E16,F16)</f>
        <v/>
      </c>
      <c r="H16" s="29" t="n">
        <v>50</v>
      </c>
      <c r="I16" s="29">
        <f>G16+H16</f>
        <v/>
      </c>
      <c r="J16" s="29" t="n">
        <v>1345</v>
      </c>
      <c r="K16" s="51" t="inlineStr">
        <is>
          <t>Received</t>
        </is>
      </c>
      <c r="L16" s="114" t="inlineStr">
        <is>
          <t>Lift bulb repair</t>
        </is>
      </c>
      <c r="M16" s="114" t="n">
        <v>700</v>
      </c>
      <c r="N16" s="114" t="n"/>
    </row>
    <row r="17" ht="14.25" customHeight="1" s="366">
      <c r="A17" s="32" t="n">
        <v>302</v>
      </c>
      <c r="B17" s="30" t="n">
        <v>56.1</v>
      </c>
      <c r="C17" s="30" t="n">
        <v>65.68000000000001</v>
      </c>
      <c r="D17" s="29">
        <f>(C17-B17)*1000</f>
        <v/>
      </c>
      <c r="E17" s="64">
        <f>ROUND(D17*D23,0)</f>
        <v/>
      </c>
      <c r="F17" s="29" t="n">
        <v>1000</v>
      </c>
      <c r="G17" s="29">
        <f>SUM(E17,F17)</f>
        <v/>
      </c>
      <c r="H17" s="29" t="n">
        <v>50</v>
      </c>
      <c r="I17" s="29">
        <f>G17+H17</f>
        <v/>
      </c>
      <c r="J17" s="29" t="n">
        <v>1944</v>
      </c>
      <c r="K17" s="120" t="inlineStr">
        <is>
          <t>Received</t>
        </is>
      </c>
      <c r="L17" s="114" t="inlineStr">
        <is>
          <t>Garbage Amount</t>
        </is>
      </c>
      <c r="M17" s="114" t="n">
        <v>500</v>
      </c>
      <c r="N17" s="114" t="n"/>
    </row>
    <row r="18" ht="14.25" customHeight="1" s="366">
      <c r="A18" s="32" t="n">
        <v>303</v>
      </c>
      <c r="B18" s="30" t="n">
        <v>610.59</v>
      </c>
      <c r="C18" s="30" t="n">
        <v>634.95</v>
      </c>
      <c r="D18" s="29">
        <f>(C18-B18)*1000</f>
        <v/>
      </c>
      <c r="E18" s="64">
        <f>ROUND(D18*D23,0)</f>
        <v/>
      </c>
      <c r="F18" s="29" t="n">
        <v>1000</v>
      </c>
      <c r="G18" s="29">
        <f>SUM(E18,F18)</f>
        <v/>
      </c>
      <c r="H18" s="29" t="n">
        <v>50</v>
      </c>
      <c r="I18" s="29">
        <f>G18+H18</f>
        <v/>
      </c>
      <c r="J18" s="29" t="n">
        <v>3322</v>
      </c>
      <c r="K18" s="120" t="inlineStr">
        <is>
          <t>Received</t>
        </is>
      </c>
      <c r="L18" s="114" t="inlineStr">
        <is>
          <t>Diesel</t>
        </is>
      </c>
      <c r="M18" s="114" t="n">
        <v>500</v>
      </c>
      <c r="N18" s="114" t="n"/>
    </row>
    <row r="19" ht="14.25" customHeight="1" s="366">
      <c r="A19" s="32" t="n">
        <v>304</v>
      </c>
      <c r="B19" s="30" t="n">
        <v>132.75</v>
      </c>
      <c r="C19" s="30" t="n">
        <v>146.94</v>
      </c>
      <c r="D19" s="29">
        <f>(C19-B19)*1000</f>
        <v/>
      </c>
      <c r="E19" s="64">
        <f>ROUND(D19*D23,0)</f>
        <v/>
      </c>
      <c r="F19" s="29" t="n">
        <v>1000</v>
      </c>
      <c r="G19" s="29">
        <f>SUM(E19,F19)</f>
        <v/>
      </c>
      <c r="H19" s="29" t="n">
        <v>50</v>
      </c>
      <c r="I19" s="29">
        <f>G19+H19</f>
        <v/>
      </c>
      <c r="J19" s="29" t="n">
        <v>2374</v>
      </c>
      <c r="K19" s="120" t="inlineStr">
        <is>
          <t>Received</t>
        </is>
      </c>
      <c r="L19" s="114" t="inlineStr">
        <is>
          <t>Muggu</t>
        </is>
      </c>
      <c r="M19" s="114" t="n">
        <v>100</v>
      </c>
      <c r="N19" s="114" t="n"/>
    </row>
    <row r="20" ht="14.25" customHeight="1" s="366">
      <c r="A20" s="29" t="inlineStr">
        <is>
          <t>Common</t>
        </is>
      </c>
      <c r="B20" s="30" t="n">
        <v>130.97</v>
      </c>
      <c r="C20" s="30" t="n">
        <v>145.61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>
        <f>G20+H20</f>
        <v/>
      </c>
      <c r="J20" s="29" t="n"/>
      <c r="K20" s="51" t="n"/>
      <c r="L20" s="114" t="n"/>
      <c r="M20" s="114" t="n"/>
      <c r="N20" s="114" t="n"/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49">
        <f>SUM(H2:H20)</f>
        <v/>
      </c>
      <c r="I21" s="49">
        <f>SUM(I2:I20)</f>
        <v/>
      </c>
      <c r="J21" s="49">
        <f>SUM(J2:J19)</f>
        <v/>
      </c>
      <c r="K21" s="29" t="n"/>
      <c r="L21" s="114" t="n"/>
      <c r="M21" s="114" t="n"/>
      <c r="N21" s="114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>
        <f>SUM(E4:E19)</f>
        <v/>
      </c>
      <c r="F22" s="29" t="n"/>
      <c r="G22" s="29" t="n"/>
      <c r="H22" s="29" t="n"/>
      <c r="I22" s="29" t="n"/>
      <c r="J22" s="29" t="n"/>
      <c r="K22" s="29" t="n"/>
      <c r="L22" s="121" t="inlineStr">
        <is>
          <t>Total</t>
        </is>
      </c>
      <c r="M22" s="121">
        <f>SUM(M9:M21)</f>
        <v/>
      </c>
      <c r="N22" s="121" t="n"/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>
        <f>SUM(J21,M1,M3)-M22</f>
        <v/>
      </c>
      <c r="I23" s="29" t="n"/>
      <c r="J23" s="29" t="n"/>
      <c r="K23" s="29" t="n"/>
      <c r="L23" s="152" t="n"/>
      <c r="M23" s="152" t="n"/>
      <c r="N23" s="152" t="n"/>
    </row>
    <row r="24" ht="14.25" customHeight="1" s="366">
      <c r="A24" s="119" t="inlineStr">
        <is>
          <t>Total Water Bill</t>
        </is>
      </c>
      <c r="B24" s="30" t="n">
        <v>14000</v>
      </c>
      <c r="C24" s="119" t="inlineStr">
        <is>
          <t xml:space="preserve">WATER Tankers(14)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114" t="n"/>
      <c r="M24" s="114" t="n"/>
      <c r="N24" s="114" t="n"/>
    </row>
  </sheetData>
  <pageMargins left="0.7" right="0.7" top="0.75" bottom="0.75" header="0" footer="0"/>
  <pageSetup orientation="portrait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ColWidth="14.42578125" defaultRowHeight="15" customHeight="1"/>
  <cols>
    <col width="12.7109375" customWidth="1" style="366" min="1" max="1"/>
    <col width="22.5703125" customWidth="1" style="366" min="2" max="2"/>
    <col width="21.42578125" customWidth="1" style="366" min="3" max="3"/>
    <col width="10.140625" customWidth="1" style="366" min="4" max="4"/>
    <col width="8.7109375" customWidth="1" style="366" min="5" max="5"/>
    <col width="19.7109375" customWidth="1" style="366" min="6" max="6"/>
    <col width="16.28515625" customWidth="1" style="366" min="7" max="7"/>
    <col width="15.140625" customWidth="1" style="366" min="8" max="8"/>
    <col width="7.42578125" customWidth="1" style="366" min="9" max="9"/>
    <col width="14.7109375" customWidth="1" style="366" min="10" max="10"/>
    <col width="14.140625" customWidth="1" style="366" min="11" max="11"/>
    <col width="21.85546875" customWidth="1" style="366" min="12" max="12"/>
    <col width="8" customWidth="1" style="366" min="13" max="13"/>
    <col width="12.7109375" customWidth="1" style="366" min="14" max="14"/>
  </cols>
  <sheetData>
    <row r="1" ht="14.25" customHeight="1" s="366">
      <c r="A1" s="49" t="inlineStr">
        <is>
          <t>Common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 xml:space="preserve">Topay </t>
        </is>
      </c>
      <c r="J1" s="146" t="inlineStr">
        <is>
          <t>Receive Amount</t>
        </is>
      </c>
      <c r="K1" s="146" t="inlineStr">
        <is>
          <t>Payment Status</t>
        </is>
      </c>
      <c r="L1" s="154" t="inlineStr">
        <is>
          <t xml:space="preserve">Balance from July  Month </t>
        </is>
      </c>
      <c r="M1" s="151" t="n">
        <v>704</v>
      </c>
      <c r="N1" s="152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>
        <f>G2+H2</f>
        <v/>
      </c>
      <c r="J2" s="29" t="n">
        <v>300</v>
      </c>
      <c r="K2" s="120" t="inlineStr">
        <is>
          <t>Received</t>
        </is>
      </c>
      <c r="L2" s="148" t="inlineStr">
        <is>
          <t>SUBBARAO GARU</t>
        </is>
      </c>
      <c r="M2" s="149" t="n">
        <v>10000</v>
      </c>
      <c r="N2" s="121" t="inlineStr">
        <is>
          <t>Carpus fund</t>
        </is>
      </c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>
        <f>G3+H3</f>
        <v/>
      </c>
      <c r="J3" s="29" t="n">
        <v>300</v>
      </c>
      <c r="K3" s="120" t="inlineStr">
        <is>
          <t>Received</t>
        </is>
      </c>
      <c r="L3" s="148" t="n"/>
      <c r="M3" s="148" t="n"/>
      <c r="N3" s="121" t="n"/>
    </row>
    <row r="4" ht="14.25" customHeight="1" s="366">
      <c r="A4" s="32" t="inlineStr">
        <is>
          <t>G1</t>
        </is>
      </c>
      <c r="B4" s="30" t="n">
        <v>62.14</v>
      </c>
      <c r="C4" s="30" t="n">
        <v>65.23999999999999</v>
      </c>
      <c r="D4" s="29">
        <f>(C4-B4)*1000</f>
        <v/>
      </c>
      <c r="E4" s="64">
        <f>ROUND(D4*D23,0)</f>
        <v/>
      </c>
      <c r="F4" s="29" t="n">
        <v>1000</v>
      </c>
      <c r="G4" s="29">
        <f>SUM(E4,F4)</f>
        <v/>
      </c>
      <c r="H4" s="29" t="n">
        <v>50</v>
      </c>
      <c r="I4" s="29">
        <f>G4+H4</f>
        <v/>
      </c>
      <c r="J4" s="29" t="n">
        <v>1305</v>
      </c>
      <c r="K4" s="120" t="inlineStr">
        <is>
          <t>Received</t>
        </is>
      </c>
      <c r="N4" s="114" t="n"/>
    </row>
    <row r="5" ht="14.25" customHeight="1" s="366">
      <c r="A5" s="32" t="inlineStr">
        <is>
          <t>G2</t>
        </is>
      </c>
      <c r="B5" s="30" t="n">
        <v>141.29</v>
      </c>
      <c r="C5" s="30" t="n">
        <v>146.92</v>
      </c>
      <c r="D5" s="29">
        <f>(C5-B5)*1000</f>
        <v/>
      </c>
      <c r="E5" s="64">
        <f>ROUND(D5*D23,0)</f>
        <v/>
      </c>
      <c r="F5" s="29" t="n">
        <v>1000</v>
      </c>
      <c r="G5" s="29">
        <f>SUM(E5,F5)</f>
        <v/>
      </c>
      <c r="H5" s="29" t="n">
        <v>50</v>
      </c>
      <c r="I5" s="29">
        <f>G5+H5</f>
        <v/>
      </c>
      <c r="J5" s="29" t="n">
        <v>1513</v>
      </c>
      <c r="K5" s="120" t="inlineStr">
        <is>
          <t>Received</t>
        </is>
      </c>
      <c r="L5" s="114" t="n"/>
      <c r="M5" s="114" t="n"/>
      <c r="N5" s="114" t="n"/>
    </row>
    <row r="6" ht="14.25" customHeight="1" s="366">
      <c r="A6" s="32" t="inlineStr">
        <is>
          <t>G3</t>
        </is>
      </c>
      <c r="B6" s="30" t="n">
        <v>277.6</v>
      </c>
      <c r="C6" s="30" t="n">
        <v>288.22</v>
      </c>
      <c r="D6" s="29">
        <f>(C6-B6)*1000</f>
        <v/>
      </c>
      <c r="E6" s="64">
        <f>ROUND(D6*D23,0)</f>
        <v/>
      </c>
      <c r="F6" s="29" t="n">
        <v>1000</v>
      </c>
      <c r="G6" s="29">
        <f>SUM(E6,F6)</f>
        <v/>
      </c>
      <c r="H6" s="29" t="n">
        <v>50</v>
      </c>
      <c r="I6" s="29">
        <f>G6+H6</f>
        <v/>
      </c>
      <c r="J6" s="29" t="n">
        <v>1923</v>
      </c>
      <c r="K6" s="120" t="inlineStr">
        <is>
          <t>Received</t>
        </is>
      </c>
      <c r="L6" s="114" t="n"/>
      <c r="M6" s="114" t="n"/>
      <c r="N6" s="114" t="n"/>
    </row>
    <row r="7" ht="14.25" customHeight="1" s="366">
      <c r="A7" s="32" t="inlineStr">
        <is>
          <t>G4</t>
        </is>
      </c>
      <c r="B7" s="30" t="n">
        <v>230.84</v>
      </c>
      <c r="C7" s="30" t="n">
        <v>240.41</v>
      </c>
      <c r="D7" s="29">
        <f>(C7-B7)*1000</f>
        <v/>
      </c>
      <c r="E7" s="64">
        <f>ROUND(D7*D23,0)</f>
        <v/>
      </c>
      <c r="F7" s="29" t="n">
        <v>1000</v>
      </c>
      <c r="G7" s="29">
        <f>SUM(E7,F7)</f>
        <v/>
      </c>
      <c r="H7" s="29" t="n">
        <v>50</v>
      </c>
      <c r="I7" s="29">
        <f>G7+H7</f>
        <v/>
      </c>
      <c r="J7" s="29" t="n">
        <v>1836</v>
      </c>
      <c r="K7" s="120" t="inlineStr">
        <is>
          <t>Received</t>
        </is>
      </c>
      <c r="L7" s="114" t="n"/>
      <c r="M7" s="114" t="n"/>
      <c r="N7" s="114" t="n"/>
    </row>
    <row r="8" ht="14.25" customHeight="1" s="366">
      <c r="A8" s="73" t="n">
        <v>101</v>
      </c>
      <c r="B8" s="30" t="n">
        <v>0.59</v>
      </c>
      <c r="C8" s="30" t="n">
        <v>0.59</v>
      </c>
      <c r="D8" s="29">
        <f>(C8-B8)*1000</f>
        <v/>
      </c>
      <c r="E8" s="64">
        <f>ROUND(D8*D23,0)</f>
        <v/>
      </c>
      <c r="F8" s="29" t="n">
        <v>1000</v>
      </c>
      <c r="G8" s="29">
        <f>SUM(E8,F8)</f>
        <v/>
      </c>
      <c r="H8" s="29" t="n">
        <v>0</v>
      </c>
      <c r="I8" s="29">
        <f>G8+H8</f>
        <v/>
      </c>
      <c r="J8" s="29" t="n">
        <v>1000</v>
      </c>
      <c r="K8" s="120" t="inlineStr">
        <is>
          <t>Received</t>
        </is>
      </c>
      <c r="L8" s="153" t="inlineStr">
        <is>
          <t>Expenditures</t>
        </is>
      </c>
      <c r="M8" s="153" t="n"/>
      <c r="N8" s="114" t="n"/>
    </row>
    <row r="9" ht="14.25" customHeight="1" s="366">
      <c r="A9" s="32" t="n">
        <v>102</v>
      </c>
      <c r="B9" s="30" t="n">
        <v>437.5</v>
      </c>
      <c r="C9" s="30" t="n">
        <v>453.92</v>
      </c>
      <c r="D9" s="29">
        <f>(C9-B9)*1000</f>
        <v/>
      </c>
      <c r="E9" s="64">
        <f>ROUND(D9*D23,0)</f>
        <v/>
      </c>
      <c r="F9" s="29" t="n">
        <v>1000</v>
      </c>
      <c r="G9" s="29">
        <f>SUM(E9,F9)</f>
        <v/>
      </c>
      <c r="H9" s="29" t="n">
        <v>50</v>
      </c>
      <c r="I9" s="29">
        <f>G9+H9</f>
        <v/>
      </c>
      <c r="J9" s="29" t="n">
        <v>2399</v>
      </c>
      <c r="K9" s="120" t="inlineStr">
        <is>
          <t>Received</t>
        </is>
      </c>
      <c r="L9" s="114" t="inlineStr">
        <is>
          <t>Watchman Salary</t>
        </is>
      </c>
      <c r="M9" s="114" t="n">
        <v>6700</v>
      </c>
      <c r="N9" s="114" t="n"/>
    </row>
    <row r="10" ht="14.25" customHeight="1" s="366">
      <c r="A10" s="32" t="n">
        <v>103</v>
      </c>
      <c r="B10" s="30" t="n">
        <v>89.19</v>
      </c>
      <c r="C10" s="30" t="n">
        <v>107.36</v>
      </c>
      <c r="D10" s="29">
        <f>(C10-B10)*1000</f>
        <v/>
      </c>
      <c r="E10" s="64">
        <f>ROUND(D10*D23,0)</f>
        <v/>
      </c>
      <c r="F10" s="29" t="n">
        <v>1000</v>
      </c>
      <c r="G10" s="29">
        <f>SUM(E10,F10)</f>
        <v/>
      </c>
      <c r="H10" s="29" t="n">
        <v>50</v>
      </c>
      <c r="I10" s="29">
        <f>G10+H10</f>
        <v/>
      </c>
      <c r="J10" s="29" t="n">
        <v>2543</v>
      </c>
      <c r="K10" s="120" t="inlineStr">
        <is>
          <t>Received</t>
        </is>
      </c>
      <c r="L10" s="114" t="inlineStr">
        <is>
          <t>Water tankers Amount</t>
        </is>
      </c>
      <c r="M10" s="114" t="n">
        <v>15000</v>
      </c>
      <c r="N10" s="60" t="n"/>
    </row>
    <row r="11" ht="14.25" customHeight="1" s="366">
      <c r="A11" s="32" t="n">
        <v>104</v>
      </c>
      <c r="B11" s="30" t="n">
        <v>296.13</v>
      </c>
      <c r="C11" s="30" t="n">
        <v>313.84</v>
      </c>
      <c r="D11" s="29">
        <f>(C11-B11)*1000</f>
        <v/>
      </c>
      <c r="E11" s="64">
        <f>ROUND(D11*D23,0)</f>
        <v/>
      </c>
      <c r="F11" s="29" t="n">
        <v>1000</v>
      </c>
      <c r="G11" s="29">
        <f>SUM(E11,F11)</f>
        <v/>
      </c>
      <c r="H11" s="29" t="n">
        <v>50</v>
      </c>
      <c r="I11" s="29">
        <f>G11+H11</f>
        <v/>
      </c>
      <c r="J11" s="29" t="n">
        <v>2505</v>
      </c>
      <c r="K11" s="120" t="inlineStr">
        <is>
          <t>Received</t>
        </is>
      </c>
      <c r="L11" s="114" t="inlineStr">
        <is>
          <t>Garbage Amount</t>
        </is>
      </c>
      <c r="M11" s="114" t="n">
        <v>500</v>
      </c>
      <c r="N11" s="114" t="n"/>
    </row>
    <row r="12" ht="14.25" customHeight="1" s="366">
      <c r="A12" s="32" t="n">
        <v>201</v>
      </c>
      <c r="B12" s="30" t="n">
        <v>40.18</v>
      </c>
      <c r="C12" s="30" t="n">
        <v>51.27</v>
      </c>
      <c r="D12" s="29">
        <f>(C12-B12)*1000</f>
        <v/>
      </c>
      <c r="E12" s="64">
        <f>ROUND(D12*D23,0)</f>
        <v/>
      </c>
      <c r="F12" s="29" t="n">
        <v>1000</v>
      </c>
      <c r="G12" s="29">
        <f>SUM(E12,F12)</f>
        <v/>
      </c>
      <c r="H12" s="29" t="n">
        <v>50</v>
      </c>
      <c r="I12" s="29">
        <f>G12+H12</f>
        <v/>
      </c>
      <c r="J12" s="29" t="n">
        <v>1961</v>
      </c>
      <c r="K12" s="120" t="inlineStr">
        <is>
          <t>Received</t>
        </is>
      </c>
      <c r="L12" s="114" t="inlineStr">
        <is>
          <t>Manjerra water bill</t>
        </is>
      </c>
      <c r="M12" s="114" t="n">
        <v>2044</v>
      </c>
      <c r="N12" s="114" t="n"/>
    </row>
    <row r="13" ht="14.25" customHeight="1" s="366">
      <c r="A13" s="32" t="n">
        <v>202</v>
      </c>
      <c r="B13" s="30" t="n">
        <v>218.05</v>
      </c>
      <c r="C13" s="30" t="n">
        <v>222.98</v>
      </c>
      <c r="D13" s="29">
        <f>(C13-B13)*1000</f>
        <v/>
      </c>
      <c r="E13" s="64">
        <f>ROUND(D13*D23,0)</f>
        <v/>
      </c>
      <c r="F13" s="29" t="n">
        <v>1000</v>
      </c>
      <c r="G13" s="29">
        <f>SUM(E13,F13)</f>
        <v/>
      </c>
      <c r="H13" s="29" t="n">
        <v>50</v>
      </c>
      <c r="I13" s="29">
        <f>G13+H13</f>
        <v/>
      </c>
      <c r="J13" s="29" t="n">
        <v>1455</v>
      </c>
      <c r="K13" s="120" t="inlineStr">
        <is>
          <t>Received</t>
        </is>
      </c>
      <c r="L13" s="114" t="inlineStr">
        <is>
          <t>Current bill Amount</t>
        </is>
      </c>
      <c r="M13" s="114" t="n">
        <v>2697</v>
      </c>
      <c r="N13" s="114" t="n"/>
    </row>
    <row r="14" ht="14.25" customHeight="1" s="366">
      <c r="A14" s="32" t="n">
        <v>203</v>
      </c>
      <c r="B14" s="30" t="n">
        <v>260.08</v>
      </c>
      <c r="C14" s="30" t="n">
        <v>270</v>
      </c>
      <c r="D14" s="29">
        <f>(C14-B14)*1000</f>
        <v/>
      </c>
      <c r="E14" s="64">
        <f>ROUND(D14*D23,0)</f>
        <v/>
      </c>
      <c r="F14" s="29" t="n">
        <v>1000</v>
      </c>
      <c r="G14" s="29">
        <f>SUM(E14,F14)</f>
        <v/>
      </c>
      <c r="H14" s="29" t="n">
        <v>50</v>
      </c>
      <c r="I14" s="29">
        <f>G14+H14</f>
        <v/>
      </c>
      <c r="J14" s="29" t="n">
        <v>1865</v>
      </c>
      <c r="K14" s="120" t="inlineStr">
        <is>
          <t>Received</t>
        </is>
      </c>
      <c r="L14" s="122" t="inlineStr">
        <is>
          <t>Diesel Amount</t>
        </is>
      </c>
      <c r="M14" s="114" t="n">
        <v>500</v>
      </c>
      <c r="N14" s="114" t="n"/>
    </row>
    <row r="15" ht="14.25" customHeight="1" s="366">
      <c r="A15" s="32" t="n">
        <v>204</v>
      </c>
      <c r="B15" s="30" t="n">
        <v>187.11</v>
      </c>
      <c r="C15" s="30" t="n">
        <v>196.08</v>
      </c>
      <c r="D15" s="29">
        <f>(C15-B15)*1000</f>
        <v/>
      </c>
      <c r="E15" s="64">
        <f>ROUND(D15*D23,0)</f>
        <v/>
      </c>
      <c r="F15" s="29" t="n">
        <v>1000</v>
      </c>
      <c r="G15" s="29">
        <f>SUM(E15,F15)</f>
        <v/>
      </c>
      <c r="H15" s="29" t="n">
        <v>50</v>
      </c>
      <c r="I15" s="29">
        <f>G15+H15</f>
        <v/>
      </c>
      <c r="J15" s="29" t="n">
        <v>1787</v>
      </c>
      <c r="K15" s="120" t="inlineStr">
        <is>
          <t>Received</t>
        </is>
      </c>
      <c r="L15" s="114" t="inlineStr">
        <is>
          <t>Mapu Amount</t>
        </is>
      </c>
      <c r="M15" s="114" t="n">
        <v>150</v>
      </c>
      <c r="N15" s="114" t="n"/>
    </row>
    <row r="16" ht="14.25" customHeight="1" s="366">
      <c r="A16" s="32" t="n">
        <v>301</v>
      </c>
      <c r="B16" s="30" t="n">
        <v>8.73</v>
      </c>
      <c r="C16" s="30" t="n">
        <v>12.7</v>
      </c>
      <c r="D16" s="29">
        <f>(C16-B16)*1000</f>
        <v/>
      </c>
      <c r="E16" s="64">
        <f>ROUND(D16*D23,0)</f>
        <v/>
      </c>
      <c r="F16" s="29" t="n">
        <v>1000</v>
      </c>
      <c r="G16" s="29">
        <f>SUM(E16,F16)</f>
        <v/>
      </c>
      <c r="H16" s="29" t="n">
        <v>50</v>
      </c>
      <c r="I16" s="29">
        <f>G16+H16</f>
        <v/>
      </c>
      <c r="J16" s="29" t="n">
        <v>1376</v>
      </c>
      <c r="K16" s="51" t="inlineStr">
        <is>
          <t>Received</t>
        </is>
      </c>
      <c r="L16" s="114" t="n"/>
      <c r="M16" s="114" t="n"/>
      <c r="N16" s="114" t="n"/>
    </row>
    <row r="17" ht="14.25" customHeight="1" s="366">
      <c r="A17" s="32" t="n">
        <v>302</v>
      </c>
      <c r="B17" s="30" t="n">
        <v>65.68000000000001</v>
      </c>
      <c r="C17" s="30" t="n">
        <v>74.40000000000001</v>
      </c>
      <c r="D17" s="29">
        <f>(C17-B17)*1000</f>
        <v/>
      </c>
      <c r="E17" s="64">
        <f>ROUND(D17*D23,0)</f>
        <v/>
      </c>
      <c r="F17" s="29" t="n">
        <v>1000</v>
      </c>
      <c r="G17" s="29">
        <f>SUM(E17,F17)</f>
        <v/>
      </c>
      <c r="H17" s="29" t="n">
        <v>50</v>
      </c>
      <c r="I17" s="29">
        <f>G17+H17</f>
        <v/>
      </c>
      <c r="J17" s="29" t="n">
        <v>1766</v>
      </c>
      <c r="K17" s="120" t="inlineStr">
        <is>
          <t>Received</t>
        </is>
      </c>
      <c r="M17" s="114" t="n"/>
      <c r="N17" s="114" t="n"/>
    </row>
    <row r="18" ht="14.25" customHeight="1" s="366">
      <c r="A18" s="32" t="n">
        <v>303</v>
      </c>
      <c r="B18" s="30" t="n">
        <v>634.95</v>
      </c>
      <c r="C18" s="30" t="n">
        <v>658.6900000000001</v>
      </c>
      <c r="D18" s="29">
        <f>(C18-B18)*1000</f>
        <v/>
      </c>
      <c r="E18" s="64">
        <f>ROUND(D18*D23,0)</f>
        <v/>
      </c>
      <c r="F18" s="29" t="n">
        <v>1000</v>
      </c>
      <c r="G18" s="29">
        <f>SUM(E18,F18)</f>
        <v/>
      </c>
      <c r="H18" s="29" t="n">
        <v>50</v>
      </c>
      <c r="I18" s="29">
        <f>G18+H18</f>
        <v/>
      </c>
      <c r="J18" s="29" t="n">
        <v>3001</v>
      </c>
      <c r="K18" s="120" t="inlineStr">
        <is>
          <t>Received</t>
        </is>
      </c>
      <c r="L18" s="114" t="n"/>
      <c r="M18" s="114" t="n"/>
      <c r="N18" s="114" t="n"/>
    </row>
    <row r="19" ht="14.25" customHeight="1" s="366">
      <c r="A19" s="32" t="n">
        <v>304</v>
      </c>
      <c r="B19" s="30" t="n">
        <v>146.94</v>
      </c>
      <c r="C19" s="30" t="n">
        <v>161.04</v>
      </c>
      <c r="D19" s="29">
        <f>(C19-B19)*1000</f>
        <v/>
      </c>
      <c r="E19" s="64">
        <f>ROUND(D19*D23,0)</f>
        <v/>
      </c>
      <c r="F19" s="29" t="n">
        <v>1000</v>
      </c>
      <c r="G19" s="29">
        <f>SUM(E19,F19)</f>
        <v/>
      </c>
      <c r="H19" s="29" t="n">
        <v>50</v>
      </c>
      <c r="I19" s="29">
        <f>G19+H19</f>
        <v/>
      </c>
      <c r="J19" s="29" t="n">
        <v>2209</v>
      </c>
      <c r="K19" s="120" t="inlineStr">
        <is>
          <t>Received</t>
        </is>
      </c>
      <c r="L19" s="114" t="n"/>
      <c r="M19" s="114" t="n"/>
      <c r="N19" s="114" t="n"/>
    </row>
    <row r="20" ht="14.25" customHeight="1" s="366">
      <c r="A20" s="29" t="inlineStr">
        <is>
          <t>Common</t>
        </is>
      </c>
      <c r="B20" s="30" t="n">
        <v>145.61</v>
      </c>
      <c r="C20" s="30" t="n">
        <v>161.51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>
        <f>G20+H20</f>
        <v/>
      </c>
      <c r="J20" s="29" t="n"/>
      <c r="K20" s="51" t="n"/>
      <c r="L20" s="114" t="n"/>
      <c r="M20" s="114" t="n"/>
      <c r="N20" s="114" t="n"/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49">
        <f>SUM(H2:H20)</f>
        <v/>
      </c>
      <c r="I21" s="49">
        <f>SUM(I2:I20)</f>
        <v/>
      </c>
      <c r="J21" s="49">
        <f>SUM(J2:J19)</f>
        <v/>
      </c>
      <c r="K21" s="29" t="n"/>
      <c r="L21" s="114" t="n"/>
      <c r="M21" s="114" t="n"/>
      <c r="N21" s="114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>
        <f>SUM(E4:E19)</f>
        <v/>
      </c>
      <c r="F22" s="29" t="n"/>
      <c r="G22" s="29" t="n"/>
      <c r="H22" s="29" t="n"/>
      <c r="I22" s="29" t="n"/>
      <c r="J22" s="29" t="n"/>
      <c r="K22" s="29" t="n"/>
      <c r="L22" s="121" t="inlineStr">
        <is>
          <t>Total</t>
        </is>
      </c>
      <c r="M22" s="121">
        <f>SUM(M9:M21)</f>
        <v/>
      </c>
      <c r="N22" s="121" t="n"/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>
        <f>SUM(J21,M1)-M22</f>
        <v/>
      </c>
      <c r="I23" s="29" t="n"/>
      <c r="J23" s="29" t="n"/>
      <c r="K23" s="29" t="n"/>
      <c r="L23" s="152" t="n"/>
      <c r="M23" s="152" t="n"/>
      <c r="N23" s="152" t="n"/>
    </row>
    <row r="24" ht="14.25" customHeight="1" s="366">
      <c r="A24" s="119" t="inlineStr">
        <is>
          <t>Total Water Bill</t>
        </is>
      </c>
      <c r="B24" s="30" t="n">
        <v>15000</v>
      </c>
      <c r="C24" s="119" t="inlineStr">
        <is>
          <t xml:space="preserve">WATER Tankers(15)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114" t="n"/>
      <c r="M24" s="114" t="n"/>
      <c r="N24" s="114" t="n"/>
    </row>
    <row r="25" ht="14.25" customHeight="1" s="366"/>
    <row r="26" ht="14.25" customHeight="1" s="366"/>
    <row r="27" ht="14.25" customHeight="1" s="366">
      <c r="F27" s="1">
        <f>SUM(J21,M1,M3)-M22</f>
        <v/>
      </c>
    </row>
  </sheetData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ColWidth="14.42578125" defaultRowHeight="15" customHeight="1"/>
  <cols>
    <col width="12.7109375" customWidth="1" style="366" min="1" max="1"/>
    <col width="20.85546875" customWidth="1" style="366" min="2" max="2"/>
    <col width="20.28515625" customWidth="1" style="366" min="3" max="3"/>
    <col width="12.7109375" customWidth="1" style="366" min="4" max="4"/>
    <col width="9.28515625" customWidth="1" style="366" min="5" max="5"/>
    <col width="20.140625" customWidth="1" style="366" min="6" max="6"/>
    <col width="16.7109375" customWidth="1" style="366" min="7" max="7"/>
    <col width="15.140625" customWidth="1" style="366" min="8" max="8"/>
    <col width="7.5703125" customWidth="1" style="366" min="9" max="9"/>
    <col width="15.140625" customWidth="1" style="366" min="10" max="10"/>
    <col width="14.42578125" customWidth="1" style="366" min="11" max="11"/>
    <col width="24.5703125" customWidth="1" style="366" min="12" max="12"/>
    <col width="8.140625" customWidth="1" style="366" min="13" max="13"/>
    <col width="10.85546875" customWidth="1" style="366" min="14" max="14"/>
  </cols>
  <sheetData>
    <row r="1" ht="14.25" customHeight="1" s="366">
      <c r="A1" s="49" t="inlineStr">
        <is>
          <t>Common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 xml:space="preserve">Topay </t>
        </is>
      </c>
      <c r="J1" s="146" t="inlineStr">
        <is>
          <t>Receive Amount</t>
        </is>
      </c>
      <c r="K1" s="146" t="inlineStr">
        <is>
          <t>Payment Status</t>
        </is>
      </c>
      <c r="L1" s="154" t="inlineStr">
        <is>
          <t>Balance amount (Auguest)</t>
        </is>
      </c>
      <c r="M1" s="151" t="n">
        <v>4157</v>
      </c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>
        <f>G2+H2</f>
        <v/>
      </c>
      <c r="J2" s="29" t="n">
        <v>300</v>
      </c>
      <c r="K2" s="155" t="inlineStr">
        <is>
          <t>Received</t>
        </is>
      </c>
      <c r="L2" s="148" t="inlineStr">
        <is>
          <t>SUBBARAO GARU</t>
        </is>
      </c>
      <c r="M2" s="149" t="n">
        <v>10000</v>
      </c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>
        <f>G3+H3</f>
        <v/>
      </c>
      <c r="J3" s="29" t="n">
        <v>300</v>
      </c>
      <c r="K3" s="155" t="inlineStr">
        <is>
          <t>Received</t>
        </is>
      </c>
      <c r="L3" s="148" t="n"/>
      <c r="M3" s="148" t="n"/>
    </row>
    <row r="4" ht="14.25" customHeight="1" s="366">
      <c r="A4" s="32" t="inlineStr">
        <is>
          <t>G1</t>
        </is>
      </c>
      <c r="B4" s="30" t="n">
        <v>65.23999999999999</v>
      </c>
      <c r="C4" s="30" t="n">
        <v>67.59999999999999</v>
      </c>
      <c r="D4" s="29">
        <f>(C4-B4)*1000</f>
        <v/>
      </c>
      <c r="E4" s="64">
        <f>ROUND(D4*D23,0)</f>
        <v/>
      </c>
      <c r="F4" s="29" t="n">
        <v>1000</v>
      </c>
      <c r="G4" s="29">
        <f>SUM(E4,F4)</f>
        <v/>
      </c>
      <c r="H4" s="29" t="n">
        <v>50</v>
      </c>
      <c r="I4" s="29">
        <f>G4+H4</f>
        <v/>
      </c>
      <c r="J4" s="156" t="n">
        <v>1202</v>
      </c>
      <c r="K4" s="155" t="inlineStr">
        <is>
          <t>Received</t>
        </is>
      </c>
    </row>
    <row r="5" ht="14.25" customHeight="1" s="366">
      <c r="A5" s="32" t="inlineStr">
        <is>
          <t>G2</t>
        </is>
      </c>
      <c r="B5" s="30" t="n">
        <v>146.92</v>
      </c>
      <c r="C5" s="30" t="n">
        <v>154.98</v>
      </c>
      <c r="D5" s="29">
        <f>(C5-B5)*1000</f>
        <v/>
      </c>
      <c r="E5" s="64">
        <f>ROUND(D5*D23,0)</f>
        <v/>
      </c>
      <c r="F5" s="29" t="n">
        <v>1000</v>
      </c>
      <c r="G5" s="29">
        <f>SUM(E5,F5)</f>
        <v/>
      </c>
      <c r="H5" s="29" t="n">
        <v>50</v>
      </c>
      <c r="I5" s="29">
        <f>G5+H5</f>
        <v/>
      </c>
      <c r="J5" s="156" t="n">
        <v>1570</v>
      </c>
      <c r="K5" s="155" t="inlineStr">
        <is>
          <t>Received</t>
        </is>
      </c>
      <c r="L5" s="114" t="n"/>
      <c r="M5" s="114" t="n"/>
    </row>
    <row r="6" ht="14.25" customHeight="1" s="366">
      <c r="A6" s="32" t="inlineStr">
        <is>
          <t>G3</t>
        </is>
      </c>
      <c r="B6" s="30" t="n">
        <v>288.22</v>
      </c>
      <c r="C6" s="30" t="n">
        <v>313.67</v>
      </c>
      <c r="D6" s="29">
        <f>(C6-B6)*1000</f>
        <v/>
      </c>
      <c r="E6" s="64">
        <f>ROUND(D6*D23,0)</f>
        <v/>
      </c>
      <c r="F6" s="29" t="n">
        <v>1000</v>
      </c>
      <c r="G6" s="29">
        <f>SUM(E6,F6)</f>
        <v/>
      </c>
      <c r="H6" s="29" t="n">
        <v>50</v>
      </c>
      <c r="I6" s="29">
        <f>G6+H6</f>
        <v/>
      </c>
      <c r="J6" s="156" t="n">
        <v>2693</v>
      </c>
      <c r="K6" s="155" t="inlineStr">
        <is>
          <t>Received</t>
        </is>
      </c>
      <c r="L6" s="114" t="n"/>
      <c r="M6" s="114" t="n"/>
    </row>
    <row r="7" ht="14.25" customHeight="1" s="366">
      <c r="A7" s="32" t="inlineStr">
        <is>
          <t>G4</t>
        </is>
      </c>
      <c r="B7" s="30" t="n">
        <v>240.41</v>
      </c>
      <c r="C7" s="30" t="n">
        <v>247.99</v>
      </c>
      <c r="D7" s="29">
        <f>(C7-B7)*1000</f>
        <v/>
      </c>
      <c r="E7" s="64">
        <f>ROUND(D7*D23,0)</f>
        <v/>
      </c>
      <c r="F7" s="29" t="n">
        <v>1000</v>
      </c>
      <c r="G7" s="29">
        <f>SUM(E7,F7)</f>
        <v/>
      </c>
      <c r="H7" s="29" t="n">
        <v>50</v>
      </c>
      <c r="I7" s="29">
        <f>G7+H7</f>
        <v/>
      </c>
      <c r="J7" s="156" t="n">
        <v>1539</v>
      </c>
      <c r="K7" s="155" t="inlineStr">
        <is>
          <t>Received</t>
        </is>
      </c>
      <c r="L7" s="114" t="n"/>
      <c r="M7" s="114" t="n"/>
    </row>
    <row r="8" ht="14.25" customHeight="1" s="366">
      <c r="A8" s="73" t="n">
        <v>101</v>
      </c>
      <c r="B8" s="30" t="n">
        <v>0.59</v>
      </c>
      <c r="C8" s="30" t="n">
        <v>1.13</v>
      </c>
      <c r="D8" s="29">
        <f>(C8-B8)*1000</f>
        <v/>
      </c>
      <c r="E8" s="64">
        <f>ROUND(D8*D23,0)</f>
        <v/>
      </c>
      <c r="F8" s="29" t="n">
        <v>1000</v>
      </c>
      <c r="G8" s="29">
        <f>SUM(E8,F8)</f>
        <v/>
      </c>
      <c r="H8" s="29" t="n">
        <v>0</v>
      </c>
      <c r="I8" s="29">
        <f>G8+H8</f>
        <v/>
      </c>
      <c r="J8" s="156" t="n">
        <v>1035</v>
      </c>
      <c r="K8" s="155" t="inlineStr">
        <is>
          <t>Received</t>
        </is>
      </c>
      <c r="L8" s="153" t="inlineStr">
        <is>
          <t>Expenditures</t>
        </is>
      </c>
      <c r="M8" s="153" t="n"/>
    </row>
    <row r="9" ht="14.25" customHeight="1" s="366">
      <c r="A9" s="32" t="n">
        <v>102</v>
      </c>
      <c r="B9" s="30" t="n">
        <v>453.92</v>
      </c>
      <c r="C9" s="30" t="n">
        <v>467.47</v>
      </c>
      <c r="D9" s="29">
        <f>(C9-B9)*1000</f>
        <v/>
      </c>
      <c r="E9" s="64">
        <f>ROUND(D9*D23,0)</f>
        <v/>
      </c>
      <c r="F9" s="29" t="n">
        <v>1000</v>
      </c>
      <c r="G9" s="29">
        <f>SUM(E9,F9)</f>
        <v/>
      </c>
      <c r="H9" s="29" t="n">
        <v>50</v>
      </c>
      <c r="I9" s="29">
        <f>G9+H9</f>
        <v/>
      </c>
      <c r="J9" s="156" t="n">
        <v>1925</v>
      </c>
      <c r="K9" s="155" t="inlineStr">
        <is>
          <t>Received</t>
        </is>
      </c>
      <c r="L9" s="114" t="inlineStr">
        <is>
          <t>Watchman Salary</t>
        </is>
      </c>
      <c r="M9" s="114" t="n">
        <v>6700</v>
      </c>
    </row>
    <row r="10" ht="14.25" customHeight="1" s="366">
      <c r="A10" s="32" t="n">
        <v>103</v>
      </c>
      <c r="B10" s="30" t="n">
        <v>107.36</v>
      </c>
      <c r="C10" s="30" t="n">
        <v>122.76</v>
      </c>
      <c r="D10" s="29">
        <f>(C10-B10)*1000</f>
        <v/>
      </c>
      <c r="E10" s="64">
        <f>ROUND(D10*D23,0)</f>
        <v/>
      </c>
      <c r="F10" s="29" t="n">
        <v>1000</v>
      </c>
      <c r="G10" s="29">
        <f>SUM(E10,F10)</f>
        <v/>
      </c>
      <c r="H10" s="29" t="n">
        <v>50</v>
      </c>
      <c r="I10" s="29">
        <f>G10+H10</f>
        <v/>
      </c>
      <c r="J10" s="156" t="n">
        <v>2044</v>
      </c>
      <c r="K10" s="155" t="inlineStr">
        <is>
          <t>Received</t>
        </is>
      </c>
      <c r="L10" s="114" t="inlineStr">
        <is>
          <t>Water tankers Amount</t>
        </is>
      </c>
      <c r="M10" s="114" t="n">
        <v>11000</v>
      </c>
    </row>
    <row r="11" ht="14.25" customHeight="1" s="366">
      <c r="A11" s="32" t="n">
        <v>104</v>
      </c>
      <c r="B11" s="30" t="n">
        <v>313.84</v>
      </c>
      <c r="C11" s="30" t="n">
        <v>337.49</v>
      </c>
      <c r="D11" s="29">
        <f>(C11-B11)*1000</f>
        <v/>
      </c>
      <c r="E11" s="64">
        <f>ROUND(D11*D23,0)</f>
        <v/>
      </c>
      <c r="F11" s="29" t="n">
        <v>1000</v>
      </c>
      <c r="G11" s="29">
        <f>SUM(E11,F11)</f>
        <v/>
      </c>
      <c r="H11" s="29" t="n">
        <v>50</v>
      </c>
      <c r="I11" s="29">
        <f>G11+H11</f>
        <v/>
      </c>
      <c r="J11" s="156" t="n">
        <v>2577</v>
      </c>
      <c r="K11" s="155" t="inlineStr">
        <is>
          <t>Received</t>
        </is>
      </c>
      <c r="L11" s="114" t="inlineStr">
        <is>
          <t>Garbage Amount</t>
        </is>
      </c>
      <c r="M11" s="114" t="n">
        <v>500</v>
      </c>
    </row>
    <row r="12" ht="14.25" customHeight="1" s="366">
      <c r="A12" s="32" t="n">
        <v>201</v>
      </c>
      <c r="B12" s="30" t="n">
        <v>51.27</v>
      </c>
      <c r="C12" s="30" t="n">
        <v>59.05</v>
      </c>
      <c r="D12" s="29">
        <f>(C12-B12)*1000</f>
        <v/>
      </c>
      <c r="E12" s="64">
        <f>ROUND(D12*D23,0)</f>
        <v/>
      </c>
      <c r="F12" s="29" t="n">
        <v>1000</v>
      </c>
      <c r="G12" s="29">
        <f>SUM(E12,F12)</f>
        <v/>
      </c>
      <c r="H12" s="29" t="n">
        <v>50</v>
      </c>
      <c r="I12" s="29">
        <f>G12+H12</f>
        <v/>
      </c>
      <c r="J12" s="156" t="n">
        <v>1552</v>
      </c>
      <c r="K12" s="155" t="inlineStr">
        <is>
          <t>Received</t>
        </is>
      </c>
      <c r="L12" s="114" t="inlineStr">
        <is>
          <t>Manjerra water bill</t>
        </is>
      </c>
      <c r="M12" s="114" t="n">
        <v>2044</v>
      </c>
    </row>
    <row r="13" ht="14.25" customHeight="1" s="366">
      <c r="A13" s="32" t="n">
        <v>202</v>
      </c>
      <c r="B13" s="30" t="n">
        <v>222.98</v>
      </c>
      <c r="C13" s="30" t="n">
        <v>229.7</v>
      </c>
      <c r="D13" s="29">
        <f>(C13-B13)*1000</f>
        <v/>
      </c>
      <c r="E13" s="64">
        <f>ROUND(D13*D23,0)</f>
        <v/>
      </c>
      <c r="F13" s="29" t="n">
        <v>1000</v>
      </c>
      <c r="G13" s="29">
        <f>SUM(E13,F13)</f>
        <v/>
      </c>
      <c r="H13" s="29" t="n">
        <v>50</v>
      </c>
      <c r="I13" s="29">
        <f>G13+H13</f>
        <v/>
      </c>
      <c r="J13" s="156" t="n">
        <v>1484</v>
      </c>
      <c r="K13" s="155" t="inlineStr">
        <is>
          <t>Received</t>
        </is>
      </c>
      <c r="L13" s="114" t="inlineStr">
        <is>
          <t>Current bill Amount</t>
        </is>
      </c>
      <c r="M13" s="114" t="n">
        <v>3978</v>
      </c>
    </row>
    <row r="14" ht="14.25" customHeight="1" s="366">
      <c r="A14" s="32" t="n">
        <v>203</v>
      </c>
      <c r="B14" s="30" t="n">
        <v>270</v>
      </c>
      <c r="C14" s="30" t="n">
        <v>278.86</v>
      </c>
      <c r="D14" s="29">
        <f>(C14-B14)*1000</f>
        <v/>
      </c>
      <c r="E14" s="64">
        <f>ROUND(D14*D23,0)</f>
        <v/>
      </c>
      <c r="F14" s="29" t="n">
        <v>1000</v>
      </c>
      <c r="G14" s="29">
        <f>SUM(E14,F14)</f>
        <v/>
      </c>
      <c r="H14" s="29" t="n">
        <v>50</v>
      </c>
      <c r="I14" s="29">
        <f>G14+H14</f>
        <v/>
      </c>
      <c r="J14" s="156" t="n">
        <v>1622</v>
      </c>
      <c r="K14" s="155" t="inlineStr">
        <is>
          <t>Received</t>
        </is>
      </c>
      <c r="L14" s="122" t="inlineStr">
        <is>
          <t>Muggu</t>
        </is>
      </c>
      <c r="M14" s="114" t="n">
        <v>200</v>
      </c>
    </row>
    <row r="15" ht="14.25" customHeight="1" s="366">
      <c r="A15" s="32" t="n">
        <v>204</v>
      </c>
      <c r="B15" s="30" t="n">
        <v>196.08</v>
      </c>
      <c r="C15" s="30" t="n">
        <v>204.02</v>
      </c>
      <c r="D15" s="29">
        <f>(C15-B15)*1000</f>
        <v/>
      </c>
      <c r="E15" s="64">
        <f>ROUND(D15*D23,0)</f>
        <v/>
      </c>
      <c r="F15" s="29" t="n">
        <v>1000</v>
      </c>
      <c r="G15" s="29">
        <f>SUM(E15,F15)</f>
        <v/>
      </c>
      <c r="H15" s="29" t="n">
        <v>50</v>
      </c>
      <c r="I15" s="29">
        <f>G15+H15</f>
        <v/>
      </c>
      <c r="J15" s="156" t="n">
        <v>1563</v>
      </c>
      <c r="K15" s="155" t="inlineStr">
        <is>
          <t>Received</t>
        </is>
      </c>
      <c r="L15" s="114" t="inlineStr">
        <is>
          <t>Lift maintenance</t>
        </is>
      </c>
      <c r="M15" s="114" t="n">
        <v>6000</v>
      </c>
    </row>
    <row r="16" ht="14.25" customHeight="1" s="366">
      <c r="A16" s="32" t="n">
        <v>301</v>
      </c>
      <c r="B16" s="30" t="n">
        <v>12.7</v>
      </c>
      <c r="C16" s="30" t="n">
        <v>18.26</v>
      </c>
      <c r="D16" s="29">
        <f>(C16-B16)*1000</f>
        <v/>
      </c>
      <c r="E16" s="64">
        <f>ROUND(D16*D23,0)</f>
        <v/>
      </c>
      <c r="F16" s="29" t="n">
        <v>1000</v>
      </c>
      <c r="G16" s="29">
        <f>SUM(E16,F16)</f>
        <v/>
      </c>
      <c r="H16" s="29" t="n">
        <v>50</v>
      </c>
      <c r="I16" s="29">
        <f>G16+H16</f>
        <v/>
      </c>
      <c r="J16" s="156" t="n">
        <v>1409</v>
      </c>
      <c r="K16" s="155" t="inlineStr">
        <is>
          <t>Received</t>
        </is>
      </c>
      <c r="L16" s="114" t="inlineStr">
        <is>
          <t>2 bulbs</t>
        </is>
      </c>
      <c r="M16" s="114" t="n">
        <v>230</v>
      </c>
    </row>
    <row r="17" ht="14.25" customHeight="1" s="366">
      <c r="A17" s="32" t="n">
        <v>302</v>
      </c>
      <c r="B17" s="30" t="n">
        <v>74.40000000000001</v>
      </c>
      <c r="C17" s="30" t="n">
        <v>86.62</v>
      </c>
      <c r="D17" s="29">
        <f>(C17-B17)*1000</f>
        <v/>
      </c>
      <c r="E17" s="64">
        <f>ROUND(D17*D23,0)</f>
        <v/>
      </c>
      <c r="F17" s="29" t="n">
        <v>1000</v>
      </c>
      <c r="G17" s="29">
        <f>SUM(E17,F17)</f>
        <v/>
      </c>
      <c r="H17" s="29" t="n">
        <v>50</v>
      </c>
      <c r="I17" s="29">
        <f>G17+H17</f>
        <v/>
      </c>
      <c r="J17" s="156" t="n">
        <v>1839</v>
      </c>
      <c r="K17" s="155" t="inlineStr">
        <is>
          <t>Received</t>
        </is>
      </c>
      <c r="L17" s="1" t="inlineStr">
        <is>
          <t>Chipurlu-2 +2</t>
        </is>
      </c>
      <c r="M17" s="114" t="n">
        <v>210</v>
      </c>
    </row>
    <row r="18" ht="14.25" customHeight="1" s="366">
      <c r="A18" s="32" t="n">
        <v>303</v>
      </c>
      <c r="B18" s="30" t="n">
        <v>658.6900000000001</v>
      </c>
      <c r="C18" s="30" t="n">
        <v>682.54</v>
      </c>
      <c r="D18" s="29">
        <f>(C18-B18)*1000</f>
        <v/>
      </c>
      <c r="E18" s="64">
        <f>ROUND(D18*D23,0)</f>
        <v/>
      </c>
      <c r="F18" s="29" t="n">
        <v>1000</v>
      </c>
      <c r="G18" s="29">
        <f>SUM(E18,F18)</f>
        <v/>
      </c>
      <c r="H18" s="29" t="n">
        <v>50</v>
      </c>
      <c r="I18" s="29">
        <f>G18+H18</f>
        <v/>
      </c>
      <c r="J18" s="156" t="n">
        <v>2590</v>
      </c>
      <c r="K18" s="155" t="inlineStr">
        <is>
          <t>Received</t>
        </is>
      </c>
      <c r="L18" s="114" t="inlineStr">
        <is>
          <t>Lift Sound Box</t>
        </is>
      </c>
      <c r="M18" s="114" t="n">
        <v>850</v>
      </c>
    </row>
    <row r="19" ht="14.25" customHeight="1" s="366">
      <c r="A19" s="32" t="n">
        <v>304</v>
      </c>
      <c r="B19" s="30" t="n">
        <v>161.04</v>
      </c>
      <c r="C19" s="30" t="n">
        <v>176.54</v>
      </c>
      <c r="D19" s="29">
        <f>(C19-B19)*1000</f>
        <v/>
      </c>
      <c r="E19" s="64">
        <f>ROUND(D19*D23,0)</f>
        <v/>
      </c>
      <c r="F19" s="29" t="n">
        <v>1000</v>
      </c>
      <c r="G19" s="29">
        <f>SUM(E19,F19)</f>
        <v/>
      </c>
      <c r="H19" s="29" t="n">
        <v>50</v>
      </c>
      <c r="I19" s="29">
        <f>G19+H19</f>
        <v/>
      </c>
      <c r="J19" s="29" t="n">
        <v>2051</v>
      </c>
      <c r="K19" s="155" t="inlineStr">
        <is>
          <t>Received</t>
        </is>
      </c>
      <c r="L19" s="157" t="inlineStr">
        <is>
          <t>Lizol</t>
        </is>
      </c>
      <c r="M19" s="114" t="n">
        <v>220</v>
      </c>
    </row>
    <row r="20" ht="14.25" customHeight="1" s="366">
      <c r="A20" s="29" t="inlineStr">
        <is>
          <t>Common</t>
        </is>
      </c>
      <c r="B20" s="30" t="n">
        <v>161.51</v>
      </c>
      <c r="C20" s="30" t="n">
        <v>177.85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>
        <f>G20+H20</f>
        <v/>
      </c>
      <c r="J20" s="29" t="n"/>
      <c r="K20" s="51" t="n"/>
      <c r="L20" s="114" t="inlineStr">
        <is>
          <t>Motor Capacitor</t>
        </is>
      </c>
      <c r="M20" s="114" t="n">
        <v>650</v>
      </c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49">
        <f>SUM(H2:H20)</f>
        <v/>
      </c>
      <c r="I21" s="49">
        <f>SUM(I2:I20)</f>
        <v/>
      </c>
      <c r="J21" s="49">
        <f>SUM(J2:J19)</f>
        <v/>
      </c>
      <c r="K21" s="29" t="n"/>
      <c r="L21" s="114" t="n"/>
      <c r="M21" s="114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>
        <f>SUM(E4:E19)</f>
        <v/>
      </c>
      <c r="F22" s="29" t="n"/>
      <c r="G22" s="29" t="n"/>
      <c r="H22" s="29" t="n"/>
      <c r="I22" s="29" t="n"/>
      <c r="J22" s="29" t="n"/>
      <c r="K22" s="29" t="n"/>
      <c r="L22" s="121" t="inlineStr">
        <is>
          <t>Total</t>
        </is>
      </c>
      <c r="M22" s="121">
        <f>SUM(M9:M21)</f>
        <v/>
      </c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>
        <f>(J21+M1)-M22</f>
        <v/>
      </c>
      <c r="I23" s="29" t="n"/>
      <c r="J23" s="29" t="n"/>
      <c r="K23" s="29" t="n"/>
      <c r="L23" s="152" t="n"/>
      <c r="M23" s="152" t="n"/>
    </row>
    <row r="24" ht="14.25" customHeight="1" s="366">
      <c r="A24" s="119" t="inlineStr">
        <is>
          <t>Total Water Bill</t>
        </is>
      </c>
      <c r="B24" s="30" t="n">
        <v>13000</v>
      </c>
      <c r="C24" s="119" t="inlineStr">
        <is>
          <t xml:space="preserve">WATER Tankers(13)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114" t="n"/>
      <c r="M24" s="114" t="n"/>
    </row>
  </sheetData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ColWidth="14.42578125" defaultRowHeight="15" customHeight="1"/>
  <cols>
    <col width="12.7109375" customWidth="1" style="366" min="1" max="1"/>
    <col width="20.85546875" customWidth="1" style="366" min="2" max="2"/>
    <col width="20.28515625" customWidth="1" style="366" min="3" max="3"/>
    <col width="12.7109375" customWidth="1" style="366" min="4" max="4"/>
    <col width="9.28515625" customWidth="1" style="366" min="5" max="5"/>
    <col width="20.140625" customWidth="1" style="366" min="6" max="6"/>
    <col width="16.7109375" customWidth="1" style="366" min="7" max="7"/>
    <col width="15.140625" customWidth="1" style="366" min="8" max="8"/>
    <col width="7.5703125" customWidth="1" style="366" min="9" max="9"/>
    <col width="15.140625" customWidth="1" style="366" min="10" max="10"/>
    <col width="14.42578125" customWidth="1" style="366" min="11" max="11"/>
    <col width="24.5703125" customWidth="1" style="366" min="12" max="12"/>
    <col width="8.140625" customWidth="1" style="366" min="13" max="13"/>
    <col width="10.85546875" customWidth="1" style="366" min="14" max="14"/>
  </cols>
  <sheetData>
    <row r="1" ht="14.25" customHeight="1" s="366">
      <c r="A1" s="49" t="inlineStr">
        <is>
          <t>Common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 xml:space="preserve">Topay </t>
        </is>
      </c>
      <c r="J1" s="146" t="inlineStr">
        <is>
          <t>Receive Amount</t>
        </is>
      </c>
      <c r="K1" s="146" t="inlineStr">
        <is>
          <t>Payment Status</t>
        </is>
      </c>
      <c r="L1" s="154" t="inlineStr">
        <is>
          <t>Balance amount (Auguest)</t>
        </is>
      </c>
      <c r="M1" s="151" t="n">
        <v>870</v>
      </c>
      <c r="N1" s="152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>
        <f>G2+H2</f>
        <v/>
      </c>
      <c r="J2" s="29" t="n">
        <v>300</v>
      </c>
      <c r="K2" s="158" t="n"/>
      <c r="L2" s="148" t="inlineStr">
        <is>
          <t>SUBBARAO GARU</t>
        </is>
      </c>
      <c r="M2" s="149" t="n">
        <v>10000</v>
      </c>
      <c r="N2" s="121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>
        <f>G3+H3</f>
        <v/>
      </c>
      <c r="J3" s="29" t="n">
        <v>300</v>
      </c>
      <c r="K3" s="158" t="n"/>
      <c r="L3" s="148" t="n"/>
      <c r="M3" s="148" t="n"/>
      <c r="N3" s="121" t="n"/>
    </row>
    <row r="4" ht="14.25" customHeight="1" s="366">
      <c r="A4" s="32" t="inlineStr">
        <is>
          <t>G1</t>
        </is>
      </c>
      <c r="B4" s="30" t="n">
        <v>67.59999999999999</v>
      </c>
      <c r="C4" s="30" t="n">
        <v>74</v>
      </c>
      <c r="D4" s="29">
        <f>(C4-B4)*1000</f>
        <v/>
      </c>
      <c r="E4" s="64">
        <f>ROUND(D4*D23,0)</f>
        <v/>
      </c>
      <c r="F4" s="29" t="n">
        <v>1000</v>
      </c>
      <c r="G4" s="29">
        <f>SUM(E4,F4)</f>
        <v/>
      </c>
      <c r="H4" s="29" t="n">
        <v>50</v>
      </c>
      <c r="I4" s="29">
        <f>G4+H4</f>
        <v/>
      </c>
      <c r="J4" s="156" t="n">
        <v>1526</v>
      </c>
      <c r="N4" s="114" t="n"/>
    </row>
    <row r="5" ht="14.25" customHeight="1" s="366">
      <c r="A5" s="32" t="inlineStr">
        <is>
          <t>G2</t>
        </is>
      </c>
      <c r="B5" s="30" t="n">
        <v>154.98</v>
      </c>
      <c r="C5" s="30" t="n">
        <v>160.39</v>
      </c>
      <c r="D5" s="29">
        <f>(C5-B5)*1000</f>
        <v/>
      </c>
      <c r="E5" s="64">
        <f>ROUND(D5*D23,0)</f>
        <v/>
      </c>
      <c r="F5" s="29" t="n">
        <v>1000</v>
      </c>
      <c r="G5" s="29">
        <f>SUM(E5,F5)</f>
        <v/>
      </c>
      <c r="H5" s="29" t="n">
        <v>50</v>
      </c>
      <c r="I5" s="29">
        <f>G5+H5</f>
        <v/>
      </c>
      <c r="J5" s="156" t="n">
        <v>1452</v>
      </c>
      <c r="L5" s="114" t="n"/>
      <c r="M5" s="114" t="n"/>
      <c r="N5" s="114" t="n"/>
    </row>
    <row r="6" ht="14.25" customHeight="1" s="366">
      <c r="A6" s="32" t="inlineStr">
        <is>
          <t>G3</t>
        </is>
      </c>
      <c r="B6" s="30" t="n">
        <v>313.67</v>
      </c>
      <c r="C6" s="30" t="n">
        <v>323.26</v>
      </c>
      <c r="D6" s="29">
        <f>(C6-B6)*1000</f>
        <v/>
      </c>
      <c r="E6" s="64">
        <f>ROUND(D6*D23,0)</f>
        <v/>
      </c>
      <c r="F6" s="29" t="n">
        <v>1000</v>
      </c>
      <c r="G6" s="29">
        <f>SUM(E6,F6)</f>
        <v/>
      </c>
      <c r="H6" s="29" t="n">
        <v>50</v>
      </c>
      <c r="I6" s="29">
        <f>G6+H6</f>
        <v/>
      </c>
      <c r="J6" s="156" t="n">
        <v>1763</v>
      </c>
      <c r="L6" s="114" t="n"/>
      <c r="M6" s="114" t="n"/>
      <c r="N6" s="114" t="n"/>
    </row>
    <row r="7" ht="14.25" customHeight="1" s="366">
      <c r="A7" s="32" t="inlineStr">
        <is>
          <t>G4</t>
        </is>
      </c>
      <c r="B7" s="30" t="n">
        <v>247.99</v>
      </c>
      <c r="C7" s="30" t="n">
        <v>256.09</v>
      </c>
      <c r="D7" s="29">
        <f>(C7-B7)*1000</f>
        <v/>
      </c>
      <c r="E7" s="64">
        <f>ROUND(D7*D23,0)</f>
        <v/>
      </c>
      <c r="F7" s="29" t="n">
        <v>1000</v>
      </c>
      <c r="G7" s="29">
        <f>SUM(E7,F7)</f>
        <v/>
      </c>
      <c r="H7" s="29" t="n">
        <v>50</v>
      </c>
      <c r="I7" s="29">
        <f>G7+H7</f>
        <v/>
      </c>
      <c r="J7" s="156" t="n">
        <v>1653</v>
      </c>
      <c r="L7" s="114" t="n"/>
      <c r="M7" s="114" t="n"/>
      <c r="N7" s="114" t="n"/>
    </row>
    <row r="8" ht="14.25" customHeight="1" s="366">
      <c r="A8" s="73" t="n">
        <v>101</v>
      </c>
      <c r="B8" s="30" t="n">
        <v>1.13</v>
      </c>
      <c r="C8" s="30" t="n">
        <v>7.08</v>
      </c>
      <c r="D8" s="29">
        <f>(C8-B8)*1000</f>
        <v/>
      </c>
      <c r="E8" s="64">
        <f>ROUND(D8*D23,0)</f>
        <v/>
      </c>
      <c r="F8" s="29" t="n">
        <v>1000</v>
      </c>
      <c r="G8" s="29">
        <f>SUM(E8,F8)</f>
        <v/>
      </c>
      <c r="H8" s="29" t="n">
        <v>0</v>
      </c>
      <c r="I8" s="29">
        <f>G8+H8</f>
        <v/>
      </c>
      <c r="J8" s="156" t="n">
        <v>1443</v>
      </c>
      <c r="L8" s="153" t="inlineStr">
        <is>
          <t>Expenditures</t>
        </is>
      </c>
      <c r="M8" s="153" t="n"/>
      <c r="N8" s="114" t="n"/>
      <c r="P8" s="373" t="inlineStr">
        <is>
          <t xml:space="preserve">Dussera </t>
        </is>
      </c>
    </row>
    <row r="9" ht="14.25" customHeight="1" s="366">
      <c r="A9" s="32" t="n">
        <v>102</v>
      </c>
      <c r="B9" s="30" t="n">
        <v>467.47</v>
      </c>
      <c r="C9" s="30" t="n">
        <v>477.64</v>
      </c>
      <c r="D9" s="29">
        <f>(C9-B9)*1000</f>
        <v/>
      </c>
      <c r="E9" s="64">
        <f>ROUND(D9*D23,0)</f>
        <v/>
      </c>
      <c r="F9" s="29" t="n">
        <v>1000</v>
      </c>
      <c r="G9" s="29">
        <f>SUM(E9,F9)</f>
        <v/>
      </c>
      <c r="H9" s="29" t="n">
        <v>50</v>
      </c>
      <c r="I9" s="29">
        <f>G9+H9</f>
        <v/>
      </c>
      <c r="J9" s="156" t="n">
        <v>1807</v>
      </c>
      <c r="L9" s="114" t="inlineStr">
        <is>
          <t>Watchman Salary</t>
        </is>
      </c>
      <c r="M9" s="114" t="n">
        <v>6700</v>
      </c>
      <c r="N9" s="114" t="n"/>
      <c r="P9" s="1" t="inlineStr">
        <is>
          <t>Watchman</t>
        </is>
      </c>
      <c r="Q9" s="1" t="n">
        <v>1600</v>
      </c>
    </row>
    <row r="10" ht="14.25" customHeight="1" s="366">
      <c r="A10" s="32" t="n">
        <v>103</v>
      </c>
      <c r="B10" s="30" t="n">
        <v>122.76</v>
      </c>
      <c r="C10" s="30" t="n">
        <v>140.27</v>
      </c>
      <c r="D10" s="29">
        <f>(C10-B10)*1000</f>
        <v/>
      </c>
      <c r="E10" s="64">
        <f>ROUND(D10*D23,0)</f>
        <v/>
      </c>
      <c r="F10" s="29" t="n">
        <v>1000</v>
      </c>
      <c r="G10" s="29">
        <f>SUM(E10,F10)</f>
        <v/>
      </c>
      <c r="H10" s="29" t="n">
        <v>50</v>
      </c>
      <c r="I10" s="29">
        <f>G10+H10</f>
        <v/>
      </c>
      <c r="J10" s="156" t="n">
        <v>2353</v>
      </c>
      <c r="L10" s="114" t="inlineStr">
        <is>
          <t>Water tankers Amount</t>
        </is>
      </c>
      <c r="M10" s="114" t="n">
        <v>14000</v>
      </c>
      <c r="N10" s="60" t="n"/>
      <c r="P10" s="159" t="inlineStr">
        <is>
          <t>Water Tanker person</t>
        </is>
      </c>
      <c r="Q10" s="1" t="n">
        <v>400</v>
      </c>
    </row>
    <row r="11" ht="14.25" customHeight="1" s="366">
      <c r="A11" s="32" t="n">
        <v>104</v>
      </c>
      <c r="B11" s="30" t="n">
        <v>337.49</v>
      </c>
      <c r="C11" s="30" t="n">
        <v>357.34</v>
      </c>
      <c r="D11" s="29">
        <f>(C11-B11)*1000</f>
        <v/>
      </c>
      <c r="E11" s="64">
        <f>ROUND(D11*D23,0)</f>
        <v/>
      </c>
      <c r="F11" s="29" t="n">
        <v>1000</v>
      </c>
      <c r="G11" s="29">
        <f>SUM(E11,F11)</f>
        <v/>
      </c>
      <c r="H11" s="29" t="n">
        <v>50</v>
      </c>
      <c r="I11" s="29">
        <f>G11+H11</f>
        <v/>
      </c>
      <c r="J11" s="156" t="n">
        <v>2527</v>
      </c>
      <c r="L11" s="114" t="inlineStr">
        <is>
          <t>Garbage Amount</t>
        </is>
      </c>
      <c r="M11" s="114" t="n">
        <v>500</v>
      </c>
      <c r="N11" s="114" t="n"/>
      <c r="P11" s="1" t="inlineStr">
        <is>
          <t>Dustbin Person</t>
        </is>
      </c>
      <c r="Q11" s="1" t="n">
        <v>400</v>
      </c>
    </row>
    <row r="12" ht="14.25" customHeight="1" s="366">
      <c r="A12" s="32" t="n">
        <v>201</v>
      </c>
      <c r="B12" s="30" t="n">
        <v>59.05</v>
      </c>
      <c r="C12" s="30" t="n">
        <v>66.20999999999999</v>
      </c>
      <c r="D12" s="29">
        <f>(C12-B12)*1000</f>
        <v/>
      </c>
      <c r="E12" s="64">
        <f>ROUND(D12*D23,0)</f>
        <v/>
      </c>
      <c r="F12" s="29" t="n">
        <v>1000</v>
      </c>
      <c r="G12" s="29">
        <f>SUM(E12,F12)</f>
        <v/>
      </c>
      <c r="H12" s="29" t="n">
        <v>50</v>
      </c>
      <c r="I12" s="29">
        <f>G12+H12</f>
        <v/>
      </c>
      <c r="J12" s="156" t="n">
        <v>1583</v>
      </c>
      <c r="L12" s="114" t="inlineStr">
        <is>
          <t>Manjerra water bill</t>
        </is>
      </c>
      <c r="M12" s="114" t="n">
        <v>2044</v>
      </c>
      <c r="N12" s="114" t="n"/>
      <c r="P12" s="1" t="inlineStr">
        <is>
          <t>Sweepers</t>
        </is>
      </c>
      <c r="Q12" s="1" t="n">
        <v>300</v>
      </c>
    </row>
    <row r="13" ht="14.25" customHeight="1" s="366">
      <c r="A13" s="32" t="n">
        <v>202</v>
      </c>
      <c r="B13" s="30" t="n">
        <v>229.7</v>
      </c>
      <c r="C13" s="30" t="n">
        <v>234.73</v>
      </c>
      <c r="D13" s="29">
        <f>(C13-B13)*1000</f>
        <v/>
      </c>
      <c r="E13" s="64">
        <f>ROUND(D13*D23,0)</f>
        <v/>
      </c>
      <c r="F13" s="29" t="n">
        <v>1000</v>
      </c>
      <c r="G13" s="29">
        <f>SUM(E13,F13)</f>
        <v/>
      </c>
      <c r="H13" s="29" t="n">
        <v>50</v>
      </c>
      <c r="I13" s="29">
        <f>G13+H13</f>
        <v/>
      </c>
      <c r="J13" s="156" t="n">
        <v>1424</v>
      </c>
      <c r="L13" s="114" t="inlineStr">
        <is>
          <t>Current bill Amount</t>
        </is>
      </c>
      <c r="M13" s="114" t="n">
        <v>4696</v>
      </c>
      <c r="N13" s="114" t="n"/>
      <c r="P13" s="1" t="inlineStr">
        <is>
          <t>Total</t>
        </is>
      </c>
      <c r="Q13" s="1">
        <f>SUM(Q9:Q12)</f>
        <v/>
      </c>
    </row>
    <row r="14" ht="14.25" customHeight="1" s="366">
      <c r="A14" s="32" t="n">
        <v>203</v>
      </c>
      <c r="B14" s="30" t="n">
        <v>278.86</v>
      </c>
      <c r="C14" s="30" t="n">
        <v>289.86</v>
      </c>
      <c r="D14" s="29">
        <f>(C14-B14)*1000</f>
        <v/>
      </c>
      <c r="E14" s="64">
        <f>ROUND(D14*D23,0)</f>
        <v/>
      </c>
      <c r="F14" s="29" t="n">
        <v>1000</v>
      </c>
      <c r="G14" s="29">
        <f>SUM(E14,F14)</f>
        <v/>
      </c>
      <c r="H14" s="29" t="n">
        <v>50</v>
      </c>
      <c r="I14" s="29">
        <f>G14+H14</f>
        <v/>
      </c>
      <c r="J14" s="156" t="n">
        <v>1868</v>
      </c>
      <c r="L14" s="122" t="inlineStr">
        <is>
          <t>Skybroom</t>
        </is>
      </c>
      <c r="M14" s="114" t="n">
        <v>130</v>
      </c>
      <c r="N14" s="114" t="n"/>
      <c r="P14" s="1" t="inlineStr">
        <is>
          <t>Per flat</t>
        </is>
      </c>
      <c r="Q14" s="1">
        <f>Q13/16</f>
        <v/>
      </c>
    </row>
    <row r="15" ht="14.25" customHeight="1" s="366">
      <c r="A15" s="32" t="n">
        <v>204</v>
      </c>
      <c r="B15" s="30" t="n">
        <v>204.02</v>
      </c>
      <c r="C15" s="30" t="n">
        <v>211.21</v>
      </c>
      <c r="D15" s="29">
        <f>(C15-B15)*1000</f>
        <v/>
      </c>
      <c r="E15" s="64">
        <f>ROUND(D15*D23,0)</f>
        <v/>
      </c>
      <c r="F15" s="29" t="n">
        <v>1000</v>
      </c>
      <c r="G15" s="29">
        <f>SUM(E15,F15)</f>
        <v/>
      </c>
      <c r="H15" s="29" t="n">
        <v>50</v>
      </c>
      <c r="I15" s="29">
        <f>G15+H15</f>
        <v/>
      </c>
      <c r="J15" s="156" t="n">
        <v>1585</v>
      </c>
      <c r="L15" s="114" t="inlineStr">
        <is>
          <t>Lock</t>
        </is>
      </c>
      <c r="M15" s="114" t="n">
        <v>90</v>
      </c>
      <c r="N15" s="114" t="n"/>
      <c r="P15" s="1" t="inlineStr">
        <is>
          <t>Rounded</t>
        </is>
      </c>
      <c r="Q15" s="1" t="n">
        <v>169</v>
      </c>
      <c r="R15" s="1" t="inlineStr">
        <is>
          <t>Added in NOV bill</t>
        </is>
      </c>
    </row>
    <row r="16" ht="14.25" customHeight="1" s="366">
      <c r="A16" s="32" t="n">
        <v>301</v>
      </c>
      <c r="B16" s="30" t="n">
        <v>18.26</v>
      </c>
      <c r="C16" s="30" t="n">
        <v>22.16</v>
      </c>
      <c r="D16" s="29">
        <f>(C16-B16)*1000</f>
        <v/>
      </c>
      <c r="E16" s="64">
        <f>ROUND(D16*D23,0)</f>
        <v/>
      </c>
      <c r="F16" s="29" t="n">
        <v>1000</v>
      </c>
      <c r="G16" s="29">
        <f>SUM(E16,F16)</f>
        <v/>
      </c>
      <c r="H16" s="29" t="n">
        <v>50</v>
      </c>
      <c r="I16" s="29">
        <f>G16+H16</f>
        <v/>
      </c>
      <c r="J16" s="156" t="n">
        <v>1340</v>
      </c>
      <c r="L16" s="114" t="inlineStr">
        <is>
          <t>Capacitor +Tape</t>
        </is>
      </c>
      <c r="M16" s="114" t="n">
        <v>230</v>
      </c>
      <c r="N16" s="114" t="n"/>
    </row>
    <row r="17" ht="14.25" customHeight="1" s="366">
      <c r="A17" s="32" t="n">
        <v>302</v>
      </c>
      <c r="B17" s="30" t="n">
        <v>86.62</v>
      </c>
      <c r="C17" s="30" t="n">
        <v>99.05</v>
      </c>
      <c r="D17" s="29">
        <f>(C17-B17)*1000</f>
        <v/>
      </c>
      <c r="E17" s="64">
        <f>ROUND(D17*D23,0)</f>
        <v/>
      </c>
      <c r="F17" s="29" t="n">
        <v>1000</v>
      </c>
      <c r="G17" s="29">
        <f>SUM(E17,F17)</f>
        <v/>
      </c>
      <c r="H17" s="29" t="n">
        <v>50</v>
      </c>
      <c r="I17" s="29">
        <f>G17+H17</f>
        <v/>
      </c>
      <c r="J17" s="156" t="n">
        <v>1975</v>
      </c>
      <c r="L17" s="1" t="inlineStr">
        <is>
          <t>Bleaching powder</t>
        </is>
      </c>
      <c r="M17" s="114" t="n">
        <v>80</v>
      </c>
    </row>
    <row r="18" ht="14.25" customHeight="1" s="366">
      <c r="A18" s="32" t="n">
        <v>303</v>
      </c>
      <c r="B18" s="30" t="n">
        <v>682.54</v>
      </c>
      <c r="C18" s="30" t="n">
        <v>708.53</v>
      </c>
      <c r="D18" s="29">
        <f>(C18-B18)*1000</f>
        <v/>
      </c>
      <c r="E18" s="64">
        <f>ROUND(D18*D23,0)</f>
        <v/>
      </c>
      <c r="F18" s="29" t="n">
        <v>1000</v>
      </c>
      <c r="G18" s="29">
        <f>SUM(E18,F18)</f>
        <v/>
      </c>
      <c r="H18" s="29" t="n">
        <v>50</v>
      </c>
      <c r="I18" s="29">
        <f>G18+H18</f>
        <v/>
      </c>
      <c r="J18" s="156" t="n">
        <v>2983</v>
      </c>
      <c r="L18" s="114" t="inlineStr">
        <is>
          <t>Tank clean (3 Nos)</t>
        </is>
      </c>
      <c r="M18" s="114" t="n">
        <v>1200</v>
      </c>
    </row>
    <row r="19" ht="14.25" customHeight="1" s="366">
      <c r="A19" s="32" t="n">
        <v>304</v>
      </c>
      <c r="B19" s="30" t="n">
        <v>176.54</v>
      </c>
      <c r="C19" s="30" t="n">
        <v>190.98</v>
      </c>
      <c r="D19" s="29">
        <f>(C19-B19)*1000</f>
        <v/>
      </c>
      <c r="E19" s="64">
        <f>ROUND(D19*D23,0)</f>
        <v/>
      </c>
      <c r="F19" s="29" t="n">
        <v>1000</v>
      </c>
      <c r="G19" s="29">
        <f>SUM(E19,F19)</f>
        <v/>
      </c>
      <c r="H19" s="29" t="n">
        <v>50</v>
      </c>
      <c r="I19" s="29">
        <f>G19+H19</f>
        <v/>
      </c>
      <c r="J19" s="29" t="n">
        <v>2124</v>
      </c>
      <c r="L19" s="157" t="inlineStr">
        <is>
          <t>Flowers+ Mango</t>
        </is>
      </c>
      <c r="M19" s="114" t="n">
        <v>330</v>
      </c>
    </row>
    <row r="20" ht="14.25" customHeight="1" s="366">
      <c r="A20" s="29" t="inlineStr">
        <is>
          <t>Common</t>
        </is>
      </c>
      <c r="B20" s="30" t="n">
        <v>177.85</v>
      </c>
      <c r="C20" s="30" t="n">
        <v>195.929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>
        <f>G20+H20</f>
        <v/>
      </c>
      <c r="J20" s="29" t="n"/>
      <c r="K20" s="51" t="n"/>
      <c r="L20" s="114" t="inlineStr">
        <is>
          <t>Broom</t>
        </is>
      </c>
      <c r="M20" s="114" t="n">
        <v>100</v>
      </c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49">
        <f>SUM(H2:H20)</f>
        <v/>
      </c>
      <c r="I21" s="49">
        <f>SUM(I2:I20)</f>
        <v/>
      </c>
      <c r="J21" s="49">
        <f>SUM(J2:J19)</f>
        <v/>
      </c>
      <c r="K21" s="29" t="n"/>
      <c r="L21" s="114" t="n"/>
      <c r="M21" s="114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>
        <f>SUM(E4:E19)</f>
        <v/>
      </c>
      <c r="F22" s="29" t="n"/>
      <c r="G22" s="29" t="n"/>
      <c r="H22" s="29" t="n"/>
      <c r="I22" s="29" t="n"/>
      <c r="J22" s="29" t="n"/>
      <c r="K22" s="29" t="n"/>
      <c r="L22" s="121" t="inlineStr">
        <is>
          <t>Total</t>
        </is>
      </c>
      <c r="M22" s="121">
        <f>SUM(M9:M21)</f>
        <v/>
      </c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>
        <f>(J21+M1)-M22</f>
        <v/>
      </c>
      <c r="I23" s="29" t="n"/>
      <c r="J23" s="29" t="n"/>
      <c r="K23" s="29" t="n"/>
      <c r="L23" s="152" t="n"/>
      <c r="M23" s="152" t="n"/>
    </row>
    <row r="24" ht="14.25" customHeight="1" s="366">
      <c r="A24" s="119" t="inlineStr">
        <is>
          <t>Total Water Bill</t>
        </is>
      </c>
      <c r="B24" s="30" t="n">
        <v>14000</v>
      </c>
      <c r="C24" s="119" t="inlineStr">
        <is>
          <t xml:space="preserve">WATER Tankers(14)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114" t="n"/>
      <c r="M24" s="114" t="n"/>
    </row>
  </sheetData>
  <mergeCells count="1">
    <mergeCell ref="P8:Q8"/>
  </mergeCell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ColWidth="14.42578125" defaultRowHeight="15" customHeight="1"/>
  <cols>
    <col width="12.7109375" customWidth="1" style="366" min="1" max="1"/>
    <col width="20.85546875" customWidth="1" style="366" min="2" max="2"/>
    <col width="20.28515625" customWidth="1" style="366" min="3" max="3"/>
    <col width="12.7109375" customWidth="1" style="366" min="4" max="4"/>
    <col width="9.28515625" customWidth="1" style="366" min="5" max="5"/>
    <col width="20.140625" customWidth="1" style="366" min="6" max="6"/>
    <col width="16.7109375" customWidth="1" style="366" min="7" max="7"/>
    <col width="15.140625" customWidth="1" style="366" min="8" max="9"/>
    <col width="7.5703125" customWidth="1" style="366" min="10" max="10"/>
    <col width="15.140625" customWidth="1" style="366" min="11" max="11"/>
    <col width="14.42578125" customWidth="1" style="366" min="12" max="12"/>
    <col width="24.5703125" customWidth="1" style="366" min="13" max="13"/>
    <col width="8.140625" customWidth="1" style="366" min="14" max="14"/>
    <col width="10.85546875" customWidth="1" style="366" min="15" max="15"/>
  </cols>
  <sheetData>
    <row r="1" ht="14.25" customHeight="1" s="366">
      <c r="A1" s="49" t="inlineStr">
        <is>
          <t>Common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>Dussera Payment</t>
        </is>
      </c>
      <c r="J1" s="146" t="inlineStr">
        <is>
          <t xml:space="preserve">Topay </t>
        </is>
      </c>
      <c r="K1" s="146" t="inlineStr">
        <is>
          <t>Receive Amount</t>
        </is>
      </c>
      <c r="L1" s="146" t="inlineStr">
        <is>
          <t>Payment Status</t>
        </is>
      </c>
      <c r="M1" s="154" t="inlineStr">
        <is>
          <t>Balance amount (Auguest)</t>
        </is>
      </c>
      <c r="N1" s="151" t="n">
        <v>776</v>
      </c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 t="n">
        <v>0</v>
      </c>
      <c r="J2" s="29">
        <f>G2+H2</f>
        <v/>
      </c>
      <c r="K2" s="29" t="n">
        <v>300</v>
      </c>
      <c r="L2" s="158" t="n"/>
      <c r="M2" s="148" t="inlineStr">
        <is>
          <t>SUBBARAO GARU</t>
        </is>
      </c>
      <c r="N2" s="149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0</v>
      </c>
      <c r="J3" s="29">
        <f>G3+H3</f>
        <v/>
      </c>
      <c r="K3" s="29" t="n">
        <v>300</v>
      </c>
      <c r="L3" s="158" t="n"/>
      <c r="M3" s="148" t="n"/>
      <c r="N3" s="148" t="n"/>
    </row>
    <row r="4" ht="14.25" customHeight="1" s="366">
      <c r="A4" s="32" t="inlineStr">
        <is>
          <t>G1</t>
        </is>
      </c>
      <c r="B4" s="30" t="n">
        <v>74</v>
      </c>
      <c r="C4" s="30" t="n">
        <v>75.87</v>
      </c>
      <c r="D4" s="29">
        <f>(C4-B4)*1000</f>
        <v/>
      </c>
      <c r="E4" s="64">
        <f>ROUND(D4*D23,0)</f>
        <v/>
      </c>
      <c r="F4" s="29" t="n">
        <v>1200</v>
      </c>
      <c r="G4" s="29">
        <f>SUM(E4,F4)</f>
        <v/>
      </c>
      <c r="H4" s="29" t="n">
        <v>50</v>
      </c>
      <c r="I4" s="158" t="n">
        <v>169</v>
      </c>
      <c r="J4" s="29">
        <f>G4+H4+I4</f>
        <v/>
      </c>
      <c r="K4" s="156" t="n">
        <v>1583</v>
      </c>
      <c r="L4" s="158" t="n"/>
    </row>
    <row r="5" ht="14.25" customHeight="1" s="366">
      <c r="A5" s="32" t="inlineStr">
        <is>
          <t>G2</t>
        </is>
      </c>
      <c r="B5" s="30" t="n">
        <v>160.39</v>
      </c>
      <c r="C5" s="30" t="n">
        <v>163.09</v>
      </c>
      <c r="D5" s="29">
        <f>(C5-B5)*1000</f>
        <v/>
      </c>
      <c r="E5" s="64">
        <f>ROUND(D5*D23,0)</f>
        <v/>
      </c>
      <c r="F5" s="29" t="n">
        <v>1200</v>
      </c>
      <c r="G5" s="29">
        <f>SUM(E5,F5)</f>
        <v/>
      </c>
      <c r="H5" s="29" t="n">
        <v>50</v>
      </c>
      <c r="I5" s="158" t="n">
        <v>169</v>
      </c>
      <c r="J5" s="29">
        <f>G5+H5+I5</f>
        <v/>
      </c>
      <c r="K5" s="156" t="n">
        <v>1656</v>
      </c>
      <c r="L5" s="158" t="n"/>
      <c r="M5" s="114" t="n"/>
      <c r="N5" s="114" t="n"/>
    </row>
    <row r="6" ht="14.25" customHeight="1" s="366">
      <c r="A6" s="32" t="inlineStr">
        <is>
          <t>G3</t>
        </is>
      </c>
      <c r="B6" s="30" t="n">
        <v>323.26</v>
      </c>
      <c r="C6" s="30" t="n">
        <v>333.12</v>
      </c>
      <c r="D6" s="29">
        <f>(C6-B6)*1000</f>
        <v/>
      </c>
      <c r="E6" s="64">
        <f>ROUND(D6*D23,0)</f>
        <v/>
      </c>
      <c r="F6" s="29" t="n">
        <v>1200</v>
      </c>
      <c r="G6" s="29">
        <f>SUM(E6,F6)</f>
        <v/>
      </c>
      <c r="H6" s="29" t="n">
        <v>50</v>
      </c>
      <c r="I6" s="158" t="n">
        <v>169</v>
      </c>
      <c r="J6" s="29">
        <f>G6+H6+I6</f>
        <v/>
      </c>
      <c r="K6" s="156" t="n">
        <v>2286</v>
      </c>
      <c r="L6" s="158" t="n"/>
      <c r="M6" s="114" t="n"/>
      <c r="N6" s="114" t="n"/>
    </row>
    <row r="7" ht="14.25" customHeight="1" s="366">
      <c r="A7" s="32" t="inlineStr">
        <is>
          <t>G4</t>
        </is>
      </c>
      <c r="B7" s="30" t="n">
        <v>256.09</v>
      </c>
      <c r="C7" s="30" t="n">
        <v>261.1</v>
      </c>
      <c r="D7" s="29">
        <f>(C7-B7)*1000</f>
        <v/>
      </c>
      <c r="E7" s="64">
        <f>ROUND(D7*D23,0)</f>
        <v/>
      </c>
      <c r="F7" s="29" t="n">
        <v>1200</v>
      </c>
      <c r="G7" s="29">
        <f>SUM(E7,F7)</f>
        <v/>
      </c>
      <c r="H7" s="29" t="n">
        <v>50</v>
      </c>
      <c r="I7" s="158" t="n">
        <v>169</v>
      </c>
      <c r="J7" s="29">
        <f>G7+H7+I7</f>
        <v/>
      </c>
      <c r="K7" s="156" t="n">
        <v>1859</v>
      </c>
      <c r="L7" s="158" t="n"/>
      <c r="M7" s="114" t="n"/>
      <c r="N7" s="114" t="n"/>
    </row>
    <row r="8" ht="14.25" customHeight="1" s="366">
      <c r="A8" s="32" t="n">
        <v>101</v>
      </c>
      <c r="B8" s="30" t="n">
        <v>7.08</v>
      </c>
      <c r="C8" s="30" t="n">
        <v>14.22</v>
      </c>
      <c r="D8" s="29">
        <f>(C8-B8)*1000</f>
        <v/>
      </c>
      <c r="E8" s="64">
        <f>ROUND(D8*D23,0)</f>
        <v/>
      </c>
      <c r="F8" s="29" t="n">
        <v>1200</v>
      </c>
      <c r="G8" s="29">
        <f>SUM(E8,F8)</f>
        <v/>
      </c>
      <c r="H8" s="29" t="n">
        <v>50</v>
      </c>
      <c r="I8" s="158" t="n">
        <v>169</v>
      </c>
      <c r="J8" s="29">
        <f>G8+H8+I8</f>
        <v/>
      </c>
      <c r="K8" s="156" t="n">
        <v>2047</v>
      </c>
      <c r="L8" s="158" t="n"/>
      <c r="M8" s="153" t="inlineStr">
        <is>
          <t>Expenditures</t>
        </is>
      </c>
      <c r="N8" s="153" t="n"/>
    </row>
    <row r="9" ht="14.25" customHeight="1" s="366">
      <c r="A9" s="32" t="n">
        <v>102</v>
      </c>
      <c r="B9" s="30" t="n">
        <v>477.64</v>
      </c>
      <c r="C9" s="30" t="n">
        <v>492.3</v>
      </c>
      <c r="D9" s="29">
        <f>(C9-B9)*1000</f>
        <v/>
      </c>
      <c r="E9" s="64">
        <f>ROUND(D9*D23,0)</f>
        <v/>
      </c>
      <c r="F9" s="29" t="n">
        <v>1200</v>
      </c>
      <c r="G9" s="29">
        <f>SUM(E9,F9)</f>
        <v/>
      </c>
      <c r="H9" s="29" t="n">
        <v>50</v>
      </c>
      <c r="I9" s="158" t="n">
        <v>169</v>
      </c>
      <c r="J9" s="29">
        <f>G9+H9+I9</f>
        <v/>
      </c>
      <c r="K9" s="156" t="n">
        <v>2708</v>
      </c>
      <c r="L9" s="158" t="n"/>
      <c r="M9" s="114" t="inlineStr">
        <is>
          <t>Watchman Salary</t>
        </is>
      </c>
      <c r="N9" s="114" t="n">
        <v>6700</v>
      </c>
    </row>
    <row r="10" ht="14.25" customHeight="1" s="366">
      <c r="A10" s="32" t="n">
        <v>103</v>
      </c>
      <c r="B10" s="30" t="n">
        <v>140.27</v>
      </c>
      <c r="C10" s="30" t="n">
        <v>152.71</v>
      </c>
      <c r="D10" s="29">
        <f>(C10-B10)*1000</f>
        <v/>
      </c>
      <c r="E10" s="64">
        <f>ROUND(D10*D23,0)</f>
        <v/>
      </c>
      <c r="F10" s="29" t="n">
        <v>1200</v>
      </c>
      <c r="G10" s="29">
        <f>SUM(E10,F10)</f>
        <v/>
      </c>
      <c r="H10" s="29" t="n">
        <v>50</v>
      </c>
      <c r="I10" s="158" t="n">
        <v>169</v>
      </c>
      <c r="J10" s="29">
        <f>G10+H10+I10</f>
        <v/>
      </c>
      <c r="K10" s="156" t="n">
        <v>2512</v>
      </c>
      <c r="L10" s="158" t="n"/>
      <c r="M10" s="114" t="inlineStr">
        <is>
          <t>Water tankers Amount</t>
        </is>
      </c>
      <c r="N10" s="114" t="n">
        <v>14000</v>
      </c>
    </row>
    <row r="11" ht="14.25" customHeight="1" s="366">
      <c r="A11" s="32" t="n">
        <v>104</v>
      </c>
      <c r="B11" s="30" t="n">
        <v>357.34</v>
      </c>
      <c r="C11" s="30" t="n">
        <v>374.1</v>
      </c>
      <c r="D11" s="29">
        <f>(C11-B11)*1000</f>
        <v/>
      </c>
      <c r="E11" s="64">
        <f>ROUND(D11*D23,0)</f>
        <v/>
      </c>
      <c r="F11" s="29" t="n">
        <v>1200</v>
      </c>
      <c r="G11" s="29">
        <f>SUM(E11,F11)</f>
        <v/>
      </c>
      <c r="H11" s="29" t="n">
        <v>50</v>
      </c>
      <c r="I11" s="158" t="n">
        <v>169</v>
      </c>
      <c r="J11" s="29">
        <f>G11+H11+I11</f>
        <v/>
      </c>
      <c r="K11" s="156" t="n">
        <v>2892</v>
      </c>
      <c r="L11" s="158" t="n"/>
      <c r="M11" s="114" t="inlineStr">
        <is>
          <t>Garbage Amount</t>
        </is>
      </c>
      <c r="N11" s="114" t="n">
        <v>500</v>
      </c>
    </row>
    <row r="12" ht="14.25" customHeight="1" s="366">
      <c r="A12" s="32" t="n">
        <v>201</v>
      </c>
      <c r="B12" s="30" t="n">
        <v>66.20999999999999</v>
      </c>
      <c r="C12" s="30" t="n">
        <v>74.5</v>
      </c>
      <c r="D12" s="29">
        <f>(C12-B12)*1000</f>
        <v/>
      </c>
      <c r="E12" s="64">
        <f>ROUND(D12*D23,0)</f>
        <v/>
      </c>
      <c r="F12" s="29" t="n">
        <v>1200</v>
      </c>
      <c r="G12" s="29">
        <f>SUM(E12,F12)</f>
        <v/>
      </c>
      <c r="H12" s="29" t="n">
        <v>50</v>
      </c>
      <c r="I12" s="158" t="n">
        <v>169</v>
      </c>
      <c r="J12" s="29">
        <f>G12+H12+I12</f>
        <v/>
      </c>
      <c r="K12" s="156" t="n">
        <v>2148</v>
      </c>
      <c r="L12" s="158" t="n"/>
      <c r="M12" s="114" t="inlineStr">
        <is>
          <t>Manjerra water bill</t>
        </is>
      </c>
      <c r="N12" s="114" t="n">
        <v>2044</v>
      </c>
    </row>
    <row r="13" ht="14.25" customHeight="1" s="366">
      <c r="A13" s="32" t="n">
        <v>202</v>
      </c>
      <c r="B13" s="30" t="n">
        <v>234.73</v>
      </c>
      <c r="C13" s="30" t="n">
        <v>240.9</v>
      </c>
      <c r="D13" s="29">
        <f>(C13-B13)*1000</f>
        <v/>
      </c>
      <c r="E13" s="64">
        <f>ROUND(D13*D23,0)</f>
        <v/>
      </c>
      <c r="F13" s="29" t="n">
        <v>1200</v>
      </c>
      <c r="G13" s="29">
        <f>SUM(E13,F13)</f>
        <v/>
      </c>
      <c r="H13" s="29" t="n">
        <v>50</v>
      </c>
      <c r="I13" s="158" t="n">
        <v>169</v>
      </c>
      <c r="J13" s="29">
        <f>G13+H13+I13</f>
        <v/>
      </c>
      <c r="K13" s="156" t="n">
        <v>1961</v>
      </c>
      <c r="L13" s="158" t="n"/>
      <c r="M13" s="114" t="inlineStr">
        <is>
          <t>Current bill Amount</t>
        </is>
      </c>
      <c r="N13" s="114" t="n">
        <v>3431</v>
      </c>
    </row>
    <row r="14" ht="14.25" customHeight="1" s="366">
      <c r="A14" s="32" t="n">
        <v>203</v>
      </c>
      <c r="B14" s="30" t="n">
        <v>289.86</v>
      </c>
      <c r="C14" s="30" t="n">
        <v>296.8</v>
      </c>
      <c r="D14" s="29">
        <f>(C14-B14)*1000</f>
        <v/>
      </c>
      <c r="E14" s="64">
        <f>ROUND(D14*D23,0)</f>
        <v/>
      </c>
      <c r="F14" s="29" t="n">
        <v>1200</v>
      </c>
      <c r="G14" s="29">
        <f>SUM(E14,F14)</f>
        <v/>
      </c>
      <c r="H14" s="29" t="n">
        <v>50</v>
      </c>
      <c r="I14" s="158" t="n">
        <v>169</v>
      </c>
      <c r="J14" s="29">
        <f>G14+H14+I14</f>
        <v/>
      </c>
      <c r="K14" s="156" t="n">
        <v>2029</v>
      </c>
      <c r="L14" s="158" t="n"/>
      <c r="M14" s="122" t="inlineStr">
        <is>
          <t>1Tank clean</t>
        </is>
      </c>
      <c r="N14" s="114" t="n">
        <v>400</v>
      </c>
    </row>
    <row r="15" ht="14.25" customHeight="1" s="366">
      <c r="A15" s="32" t="n">
        <v>204</v>
      </c>
      <c r="B15" s="30" t="n">
        <v>211.21</v>
      </c>
      <c r="C15" s="30" t="n">
        <v>215.3</v>
      </c>
      <c r="D15" s="29">
        <f>(C15-B15)*1000</f>
        <v/>
      </c>
      <c r="E15" s="64">
        <f>ROUND(D15*D23,0)</f>
        <v/>
      </c>
      <c r="F15" s="29" t="n">
        <v>1200</v>
      </c>
      <c r="G15" s="29">
        <f>SUM(E15,F15)</f>
        <v/>
      </c>
      <c r="H15" s="29" t="n">
        <v>50</v>
      </c>
      <c r="I15" s="158" t="n">
        <v>169</v>
      </c>
      <c r="J15" s="29">
        <f>G15+H15+I15</f>
        <v/>
      </c>
      <c r="K15" s="156" t="n">
        <v>1778</v>
      </c>
      <c r="L15" s="158" t="n"/>
      <c r="M15" s="114" t="inlineStr">
        <is>
          <t>Lizol 2.5 L</t>
        </is>
      </c>
      <c r="N15" s="114" t="n">
        <v>400</v>
      </c>
    </row>
    <row r="16" ht="14.25" customHeight="1" s="366">
      <c r="A16" s="32" t="n">
        <v>301</v>
      </c>
      <c r="B16" s="30" t="n">
        <v>22.16</v>
      </c>
      <c r="C16" s="30" t="n">
        <v>26.5</v>
      </c>
      <c r="D16" s="29">
        <f>(C16-B16)*1000</f>
        <v/>
      </c>
      <c r="E16" s="64">
        <f>ROUND(D16*D23,0)</f>
        <v/>
      </c>
      <c r="F16" s="29" t="n">
        <v>1200</v>
      </c>
      <c r="G16" s="29">
        <f>SUM(E16,F16)</f>
        <v/>
      </c>
      <c r="H16" s="29" t="n">
        <v>50</v>
      </c>
      <c r="I16" s="158" t="n">
        <v>169</v>
      </c>
      <c r="J16" s="29">
        <f>G16+H16+I16</f>
        <v/>
      </c>
      <c r="K16" s="156" t="n">
        <v>1800</v>
      </c>
      <c r="L16" s="158" t="n"/>
      <c r="M16" s="114" t="inlineStr">
        <is>
          <t>Dussera payment</t>
        </is>
      </c>
      <c r="N16" s="114" t="n">
        <v>2700</v>
      </c>
    </row>
    <row r="17" ht="14.25" customHeight="1" s="366">
      <c r="A17" s="32" t="n">
        <v>302</v>
      </c>
      <c r="B17" s="30" t="n">
        <v>99.05</v>
      </c>
      <c r="C17" s="30" t="n">
        <v>107.6</v>
      </c>
      <c r="D17" s="29">
        <f>(C17-B17)*1000</f>
        <v/>
      </c>
      <c r="E17" s="64">
        <f>ROUND(D17*D23,0)</f>
        <v/>
      </c>
      <c r="F17" s="29" t="n">
        <v>1200</v>
      </c>
      <c r="G17" s="29">
        <f>SUM(E17,F17)</f>
        <v/>
      </c>
      <c r="H17" s="29" t="n">
        <v>50</v>
      </c>
      <c r="I17" s="158" t="n">
        <v>169</v>
      </c>
      <c r="J17" s="29">
        <f>G17+H17+I17</f>
        <v/>
      </c>
      <c r="K17" s="156" t="n">
        <v>2171</v>
      </c>
      <c r="L17" s="158" t="n"/>
      <c r="M17" s="1" t="inlineStr">
        <is>
          <t>Diwali Flowers</t>
        </is>
      </c>
      <c r="N17" s="114" t="n">
        <v>250</v>
      </c>
    </row>
    <row r="18" ht="14.25" customHeight="1" s="366">
      <c r="A18" s="32" t="n">
        <v>303</v>
      </c>
      <c r="B18" s="30" t="n">
        <v>708.53</v>
      </c>
      <c r="C18" s="30" t="n">
        <v>727.8</v>
      </c>
      <c r="D18" s="29">
        <f>(C18-B18)*1000</f>
        <v/>
      </c>
      <c r="E18" s="64">
        <f>ROUND(D18*D23,0)</f>
        <v/>
      </c>
      <c r="F18" s="29" t="n">
        <v>1200</v>
      </c>
      <c r="G18" s="29">
        <f>SUM(E18,F18)</f>
        <v/>
      </c>
      <c r="H18" s="29" t="n">
        <v>50</v>
      </c>
      <c r="I18" s="158" t="n">
        <v>169</v>
      </c>
      <c r="J18" s="29">
        <f>G18+H18+I18</f>
        <v/>
      </c>
      <c r="K18" s="156" t="n">
        <v>3113</v>
      </c>
      <c r="L18" s="158" t="n"/>
      <c r="M18" s="114" t="n"/>
      <c r="N18" s="114" t="n"/>
    </row>
    <row r="19" ht="14.25" customHeight="1" s="366">
      <c r="A19" s="32" t="n">
        <v>304</v>
      </c>
      <c r="B19" s="30" t="n">
        <v>190.98</v>
      </c>
      <c r="C19" s="30" t="n">
        <v>205.6</v>
      </c>
      <c r="D19" s="29">
        <f>(C19-B19)*1000</f>
        <v/>
      </c>
      <c r="E19" s="64">
        <f>ROUND(D19*D23,0)</f>
        <v/>
      </c>
      <c r="F19" s="29" t="n">
        <v>1200</v>
      </c>
      <c r="G19" s="29">
        <f>SUM(E19,F19)</f>
        <v/>
      </c>
      <c r="H19" s="29" t="n">
        <v>50</v>
      </c>
      <c r="I19" s="158" t="n">
        <v>169</v>
      </c>
      <c r="J19" s="29">
        <f>G19+H19+I19</f>
        <v/>
      </c>
      <c r="K19" s="29" t="n">
        <v>2704</v>
      </c>
      <c r="L19" s="158" t="n"/>
      <c r="M19" s="156" t="n"/>
      <c r="N19" s="114" t="n"/>
    </row>
    <row r="20" ht="14.25" customHeight="1" s="366">
      <c r="A20" s="29" t="inlineStr">
        <is>
          <t>Common</t>
        </is>
      </c>
      <c r="B20" s="30" t="n">
        <v>195.929</v>
      </c>
      <c r="C20" s="30" t="n">
        <v>212.5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 t="n"/>
      <c r="J20" s="29">
        <f>G20+H20</f>
        <v/>
      </c>
      <c r="K20" s="29" t="n"/>
      <c r="L20" s="51" t="n"/>
      <c r="M20" s="114" t="n"/>
      <c r="N20" s="114" t="n"/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49">
        <f>SUM(H2:H20)</f>
        <v/>
      </c>
      <c r="I21" s="49" t="n"/>
      <c r="J21" s="49">
        <f>SUM(J2:J20)</f>
        <v/>
      </c>
      <c r="K21" s="49">
        <f>SUM(K2:K19)</f>
        <v/>
      </c>
      <c r="L21" s="29" t="n"/>
      <c r="M21" s="114" t="n"/>
      <c r="N21" s="114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>
        <f>SUM(E4:E19)</f>
        <v/>
      </c>
      <c r="F22" s="29" t="n"/>
      <c r="G22" s="29" t="n"/>
      <c r="H22" s="29" t="n"/>
      <c r="I22" s="29" t="n"/>
      <c r="J22" s="29" t="n"/>
      <c r="K22" s="29" t="n"/>
      <c r="L22" s="29" t="n"/>
      <c r="M22" s="121" t="inlineStr">
        <is>
          <t>Total</t>
        </is>
      </c>
      <c r="N22" s="121">
        <f>SUM(N9:N21)</f>
        <v/>
      </c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>
        <f>(K21+N1)-N22</f>
        <v/>
      </c>
      <c r="I23" s="29" t="n"/>
      <c r="J23" s="29" t="n"/>
      <c r="K23" s="29" t="n"/>
      <c r="L23" s="29" t="n"/>
      <c r="M23" s="152" t="n"/>
      <c r="N23" s="152" t="n"/>
    </row>
    <row r="24" ht="14.25" customHeight="1" s="366">
      <c r="A24" s="119" t="inlineStr">
        <is>
          <t>Total Water Bill</t>
        </is>
      </c>
      <c r="B24" s="30" t="n">
        <v>14000</v>
      </c>
      <c r="C24" s="119" t="inlineStr">
        <is>
          <t xml:space="preserve">WATER Tankers(14)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114" t="n"/>
      <c r="N24" s="114" t="n"/>
    </row>
  </sheetData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ColWidth="14.42578125" defaultRowHeight="15" customHeight="1"/>
  <cols>
    <col width="12.7109375" customWidth="1" style="366" min="1" max="1"/>
    <col width="20.85546875" customWidth="1" style="366" min="2" max="2"/>
    <col width="20.28515625" customWidth="1" style="366" min="3" max="3"/>
    <col width="12.7109375" customWidth="1" style="366" min="4" max="4"/>
    <col width="9.28515625" customWidth="1" style="366" min="5" max="5"/>
    <col width="20.140625" customWidth="1" style="366" min="6" max="6"/>
    <col width="16.7109375" customWidth="1" style="366" min="7" max="7"/>
    <col width="15.140625" customWidth="1" style="366" min="8" max="9"/>
    <col width="7.5703125" customWidth="1" style="366" min="10" max="10"/>
    <col width="15.140625" customWidth="1" style="366" min="11" max="11"/>
    <col width="14.42578125" customWidth="1" style="366" min="12" max="12"/>
    <col width="24.5703125" customWidth="1" style="366" min="13" max="13"/>
    <col width="8.140625" customWidth="1" style="366" min="14" max="14"/>
    <col width="10.85546875" customWidth="1" style="366" min="15" max="15"/>
  </cols>
  <sheetData>
    <row r="1" ht="14.25" customHeight="1" s="366">
      <c r="A1" s="49" t="inlineStr">
        <is>
          <t>Common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>Dussera Payment</t>
        </is>
      </c>
      <c r="J1" s="146" t="inlineStr">
        <is>
          <t xml:space="preserve">Topay </t>
        </is>
      </c>
      <c r="K1" s="146" t="inlineStr">
        <is>
          <t>Receive Amount</t>
        </is>
      </c>
      <c r="L1" s="146" t="inlineStr">
        <is>
          <t>Payment Status</t>
        </is>
      </c>
      <c r="M1" s="154" t="inlineStr">
        <is>
          <t>Balance amount (Auguest)</t>
        </is>
      </c>
      <c r="N1" s="151" t="n">
        <v>6198</v>
      </c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 t="n">
        <v>0</v>
      </c>
      <c r="J2" s="29">
        <f>G2+H2</f>
        <v/>
      </c>
      <c r="K2" s="29" t="n">
        <v>300</v>
      </c>
      <c r="L2" s="158" t="n"/>
      <c r="M2" s="148" t="inlineStr">
        <is>
          <t>SUBBARAO GARU</t>
        </is>
      </c>
      <c r="N2" s="149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0</v>
      </c>
      <c r="J3" s="29">
        <f>G3+H3</f>
        <v/>
      </c>
      <c r="K3" s="29" t="n">
        <v>300</v>
      </c>
      <c r="L3" s="158" t="n"/>
      <c r="M3" s="148" t="n"/>
      <c r="N3" s="148" t="n"/>
    </row>
    <row r="4" ht="14.25" customHeight="1" s="366">
      <c r="A4" s="32" t="inlineStr">
        <is>
          <t>G1</t>
        </is>
      </c>
      <c r="B4" s="30" t="n">
        <v>75.87</v>
      </c>
      <c r="C4" s="30" t="n">
        <v>77.7</v>
      </c>
      <c r="D4" s="29">
        <f>(C4-B4)*1000</f>
        <v/>
      </c>
      <c r="E4" s="64">
        <f>ROUND(D4*D23,0)</f>
        <v/>
      </c>
      <c r="F4" s="29" t="n">
        <v>1200</v>
      </c>
      <c r="G4" s="29">
        <f>SUM(E4,F4)</f>
        <v/>
      </c>
      <c r="H4" s="29" t="n">
        <v>50</v>
      </c>
      <c r="I4" s="29" t="n">
        <v>0</v>
      </c>
      <c r="J4" s="29">
        <f>G4+H4+I4</f>
        <v/>
      </c>
      <c r="K4" s="156" t="n">
        <v>1410</v>
      </c>
      <c r="L4" s="158" t="n"/>
    </row>
    <row r="5" ht="14.25" customHeight="1" s="366">
      <c r="A5" s="32" t="inlineStr">
        <is>
          <t>G2</t>
        </is>
      </c>
      <c r="B5" s="30" t="n">
        <v>163.09</v>
      </c>
      <c r="C5" s="30" t="n">
        <v>167.5</v>
      </c>
      <c r="D5" s="29">
        <f>(C5-B5)*1000</f>
        <v/>
      </c>
      <c r="E5" s="64">
        <f>ROUND(D5*D23,0)</f>
        <v/>
      </c>
      <c r="F5" s="29" t="n">
        <v>1200</v>
      </c>
      <c r="G5" s="29">
        <f>SUM(E5,F5)</f>
        <v/>
      </c>
      <c r="H5" s="29" t="n">
        <v>50</v>
      </c>
      <c r="I5" s="29" t="n">
        <v>0</v>
      </c>
      <c r="J5" s="29">
        <f>G5+H5+I5</f>
        <v/>
      </c>
      <c r="K5" s="29">
        <f>H5+I5+J5</f>
        <v/>
      </c>
      <c r="L5" s="158" t="n"/>
      <c r="M5" s="114" t="n"/>
      <c r="N5" s="114" t="n"/>
    </row>
    <row r="6" ht="14.25" customHeight="1" s="366">
      <c r="A6" s="32" t="inlineStr">
        <is>
          <t>G3</t>
        </is>
      </c>
      <c r="B6" s="30" t="n">
        <v>333.12</v>
      </c>
      <c r="C6" s="30" t="n">
        <v>346.2</v>
      </c>
      <c r="D6" s="29">
        <f>(C6-B6)*1000</f>
        <v/>
      </c>
      <c r="E6" s="64">
        <f>ROUND(D6*D23,0)</f>
        <v/>
      </c>
      <c r="F6" s="29" t="n">
        <v>1200</v>
      </c>
      <c r="G6" s="29">
        <f>SUM(E6,F6)</f>
        <v/>
      </c>
      <c r="H6" s="29" t="n">
        <v>50</v>
      </c>
      <c r="I6" s="29" t="n">
        <v>0</v>
      </c>
      <c r="J6" s="29">
        <f>G6+H6+I6</f>
        <v/>
      </c>
      <c r="K6" s="29">
        <f>H6+I6+J6</f>
        <v/>
      </c>
      <c r="L6" s="158" t="n"/>
      <c r="M6" s="114" t="n"/>
      <c r="N6" s="114" t="n"/>
    </row>
    <row r="7" ht="14.25" customHeight="1" s="366">
      <c r="A7" s="32" t="inlineStr">
        <is>
          <t>G4</t>
        </is>
      </c>
      <c r="B7" s="30" t="n">
        <v>261.1</v>
      </c>
      <c r="C7" s="30" t="n">
        <v>268.1</v>
      </c>
      <c r="D7" s="29">
        <f>(C7-B7)*1000</f>
        <v/>
      </c>
      <c r="E7" s="64">
        <f>ROUND(D7*D23,0)</f>
        <v/>
      </c>
      <c r="F7" s="29" t="n">
        <v>1200</v>
      </c>
      <c r="G7" s="29">
        <f>SUM(E7,F7)</f>
        <v/>
      </c>
      <c r="H7" s="29" t="n">
        <v>50</v>
      </c>
      <c r="I7" s="29" t="n">
        <v>0</v>
      </c>
      <c r="J7" s="29">
        <f>G7+H7+I7</f>
        <v/>
      </c>
      <c r="K7" s="29">
        <f>H7+I7+J7</f>
        <v/>
      </c>
      <c r="L7" s="158" t="n"/>
      <c r="M7" s="114" t="n"/>
      <c r="N7" s="114" t="n"/>
    </row>
    <row r="8" ht="14.25" customHeight="1" s="366">
      <c r="A8" s="32" t="n">
        <v>101</v>
      </c>
      <c r="B8" s="30" t="n">
        <v>14.22</v>
      </c>
      <c r="C8" s="30" t="n">
        <v>19.9</v>
      </c>
      <c r="D8" s="29">
        <f>(C8-B8)*1000</f>
        <v/>
      </c>
      <c r="E8" s="64">
        <f>ROUND(D8*D23,0)</f>
        <v/>
      </c>
      <c r="F8" s="29" t="n">
        <v>1200</v>
      </c>
      <c r="G8" s="29">
        <f>SUM(E8,F8)</f>
        <v/>
      </c>
      <c r="H8" s="29" t="n">
        <v>50</v>
      </c>
      <c r="I8" s="29" t="n">
        <v>0</v>
      </c>
      <c r="J8" s="29">
        <f>G8+H8+I8</f>
        <v/>
      </c>
      <c r="K8" s="29">
        <f>H8+I8+J8</f>
        <v/>
      </c>
      <c r="L8" s="158" t="n"/>
      <c r="M8" s="153" t="inlineStr">
        <is>
          <t>Expenditures</t>
        </is>
      </c>
      <c r="N8" s="153" t="n"/>
    </row>
    <row r="9" ht="14.25" customHeight="1" s="366">
      <c r="A9" s="32" t="n">
        <v>102</v>
      </c>
      <c r="B9" s="30" t="n">
        <v>492.3</v>
      </c>
      <c r="C9" s="30" t="n">
        <v>511.3</v>
      </c>
      <c r="D9" s="29">
        <f>(C9-B9)*1000</f>
        <v/>
      </c>
      <c r="E9" s="64">
        <f>ROUND(D9*D23,0)</f>
        <v/>
      </c>
      <c r="F9" s="29" t="n">
        <v>1200</v>
      </c>
      <c r="G9" s="29">
        <f>SUM(E9,F9)</f>
        <v/>
      </c>
      <c r="H9" s="29" t="n">
        <v>50</v>
      </c>
      <c r="I9" s="29" t="n">
        <v>0</v>
      </c>
      <c r="J9" s="29">
        <f>G9+H9+I9</f>
        <v/>
      </c>
      <c r="K9" s="29">
        <f>H9+I9+J9</f>
        <v/>
      </c>
      <c r="L9" s="158" t="n"/>
      <c r="M9" s="114" t="inlineStr">
        <is>
          <t>Watchman Salary</t>
        </is>
      </c>
      <c r="N9" s="114" t="n">
        <v>6700</v>
      </c>
    </row>
    <row r="10" ht="14.25" customHeight="1" s="366">
      <c r="A10" s="32" t="n">
        <v>103</v>
      </c>
      <c r="B10" s="30" t="n">
        <v>152.71</v>
      </c>
      <c r="C10" s="30" t="n">
        <v>164.6</v>
      </c>
      <c r="D10" s="29">
        <f>(C10-B10)*1000</f>
        <v/>
      </c>
      <c r="E10" s="64">
        <f>ROUND(D10*D23,0)</f>
        <v/>
      </c>
      <c r="F10" s="29" t="n">
        <v>1200</v>
      </c>
      <c r="G10" s="29">
        <f>SUM(E10,F10)</f>
        <v/>
      </c>
      <c r="H10" s="29" t="n">
        <v>50</v>
      </c>
      <c r="I10" s="29" t="n">
        <v>0</v>
      </c>
      <c r="J10" s="29">
        <f>G10+H10+I10</f>
        <v/>
      </c>
      <c r="K10" s="29">
        <f>H10+I10+J10</f>
        <v/>
      </c>
      <c r="L10" s="158" t="n"/>
      <c r="M10" s="114" t="inlineStr">
        <is>
          <t>Water tankers Amount</t>
        </is>
      </c>
      <c r="N10" s="114" t="n">
        <v>15000</v>
      </c>
    </row>
    <row r="11" ht="14.25" customHeight="1" s="366">
      <c r="A11" s="32" t="n">
        <v>104</v>
      </c>
      <c r="B11" s="30" t="n">
        <v>374.1</v>
      </c>
      <c r="C11" s="30" t="n">
        <v>384.4</v>
      </c>
      <c r="D11" s="29">
        <f>(C11-B11)*1000</f>
        <v/>
      </c>
      <c r="E11" s="64">
        <f>ROUND(D11*D23,0)</f>
        <v/>
      </c>
      <c r="F11" s="29" t="n">
        <v>1200</v>
      </c>
      <c r="G11" s="29">
        <f>SUM(E11,F11)</f>
        <v/>
      </c>
      <c r="H11" s="29" t="n">
        <v>50</v>
      </c>
      <c r="I11" s="29" t="n">
        <v>0</v>
      </c>
      <c r="J11" s="29">
        <f>G11+H11+I11</f>
        <v/>
      </c>
      <c r="K11" s="29">
        <f>H11+I11+J11</f>
        <v/>
      </c>
      <c r="L11" s="158" t="n"/>
      <c r="M11" s="114" t="inlineStr">
        <is>
          <t>Garbage Amount</t>
        </is>
      </c>
      <c r="N11" s="114" t="n">
        <v>500</v>
      </c>
    </row>
    <row r="12" ht="14.25" customHeight="1" s="366">
      <c r="A12" s="32" t="n">
        <v>201</v>
      </c>
      <c r="B12" s="30" t="n">
        <v>74.5</v>
      </c>
      <c r="C12" s="30" t="n">
        <v>81</v>
      </c>
      <c r="D12" s="29">
        <f>(C12-B12)*1000</f>
        <v/>
      </c>
      <c r="E12" s="64">
        <f>ROUND(D12*D23,0)</f>
        <v/>
      </c>
      <c r="F12" s="29" t="n">
        <v>1200</v>
      </c>
      <c r="G12" s="29">
        <f>SUM(E12,F12)</f>
        <v/>
      </c>
      <c r="H12" s="29" t="n">
        <v>50</v>
      </c>
      <c r="I12" s="29" t="n">
        <v>0</v>
      </c>
      <c r="J12" s="29">
        <f>G12+H12+I12</f>
        <v/>
      </c>
      <c r="K12" s="29">
        <f>H12+I12+J12</f>
        <v/>
      </c>
      <c r="L12" s="158" t="n"/>
      <c r="M12" s="114" t="inlineStr">
        <is>
          <t>Manjerra water bill</t>
        </is>
      </c>
      <c r="N12" s="114" t="n">
        <v>2044</v>
      </c>
    </row>
    <row r="13" ht="14.25" customHeight="1" s="366">
      <c r="A13" s="32" t="n">
        <v>202</v>
      </c>
      <c r="B13" s="30" t="n">
        <v>240.9</v>
      </c>
      <c r="C13" s="30" t="n">
        <v>245.7</v>
      </c>
      <c r="D13" s="29">
        <f>(C13-B13)*1000</f>
        <v/>
      </c>
      <c r="E13" s="64">
        <f>ROUND(D13*D23,0)</f>
        <v/>
      </c>
      <c r="F13" s="29" t="n">
        <v>1200</v>
      </c>
      <c r="G13" s="29">
        <f>SUM(E13,F13)</f>
        <v/>
      </c>
      <c r="H13" s="29" t="n">
        <v>50</v>
      </c>
      <c r="I13" s="29" t="n">
        <v>0</v>
      </c>
      <c r="J13" s="29">
        <f>G13+H13+I13</f>
        <v/>
      </c>
      <c r="K13" s="29">
        <f>H13+I13+J13</f>
        <v/>
      </c>
      <c r="L13" s="158" t="n"/>
      <c r="M13" s="114" t="inlineStr">
        <is>
          <t>Current bill Amount</t>
        </is>
      </c>
      <c r="N13" s="114" t="n">
        <v>2760</v>
      </c>
    </row>
    <row r="14" ht="14.25" customHeight="1" s="366">
      <c r="A14" s="32" t="n">
        <v>203</v>
      </c>
      <c r="B14" s="30" t="n">
        <v>296.8</v>
      </c>
      <c r="C14" s="30" t="n">
        <v>308.4</v>
      </c>
      <c r="D14" s="29">
        <f>(C14-B14)*1000</f>
        <v/>
      </c>
      <c r="E14" s="64">
        <f>ROUND(D14*D23,0)</f>
        <v/>
      </c>
      <c r="F14" s="29" t="n">
        <v>1200</v>
      </c>
      <c r="G14" s="29">
        <f>SUM(E14,F14)</f>
        <v/>
      </c>
      <c r="H14" s="29" t="n">
        <v>50</v>
      </c>
      <c r="I14" s="29" t="n">
        <v>0</v>
      </c>
      <c r="J14" s="29">
        <f>G14+H14+I14</f>
        <v/>
      </c>
      <c r="K14" s="29">
        <f>H14+I14+J14</f>
        <v/>
      </c>
      <c r="L14" s="158" t="n"/>
      <c r="M14" s="122" t="inlineStr">
        <is>
          <t>Electrical repair</t>
        </is>
      </c>
      <c r="N14" s="114" t="n">
        <v>500</v>
      </c>
    </row>
    <row r="15" ht="14.25" customHeight="1" s="366">
      <c r="A15" s="32" t="n">
        <v>204</v>
      </c>
      <c r="B15" s="30" t="n">
        <v>215.3</v>
      </c>
      <c r="C15" s="30" t="n">
        <v>226.6</v>
      </c>
      <c r="D15" s="29">
        <f>(C15-B15)*1000</f>
        <v/>
      </c>
      <c r="E15" s="64">
        <f>ROUND(D15*D23,0)</f>
        <v/>
      </c>
      <c r="F15" s="29" t="n">
        <v>1200</v>
      </c>
      <c r="G15" s="29">
        <f>SUM(E15,F15)</f>
        <v/>
      </c>
      <c r="H15" s="29" t="n">
        <v>50</v>
      </c>
      <c r="I15" s="29" t="n">
        <v>0</v>
      </c>
      <c r="J15" s="29">
        <f>G15+H15+I15</f>
        <v/>
      </c>
      <c r="K15" s="29">
        <f>H15+I15+J15</f>
        <v/>
      </c>
      <c r="L15" s="158" t="n"/>
      <c r="M15" s="114" t="inlineStr">
        <is>
          <t>Motor repair</t>
        </is>
      </c>
      <c r="N15" s="114" t="n">
        <v>320</v>
      </c>
    </row>
    <row r="16" ht="14.25" customHeight="1" s="366">
      <c r="A16" s="32" t="n">
        <v>301</v>
      </c>
      <c r="B16" s="30" t="n">
        <v>26.5</v>
      </c>
      <c r="C16" s="30" t="n">
        <v>29.4</v>
      </c>
      <c r="D16" s="29">
        <f>(C16-B16)*1000</f>
        <v/>
      </c>
      <c r="E16" s="64">
        <f>ROUND(D16*D23,0)</f>
        <v/>
      </c>
      <c r="F16" s="29" t="n">
        <v>1200</v>
      </c>
      <c r="G16" s="29">
        <f>SUM(E16,F16)</f>
        <v/>
      </c>
      <c r="H16" s="29" t="n">
        <v>50</v>
      </c>
      <c r="I16" s="29" t="n">
        <v>0</v>
      </c>
      <c r="J16" s="29">
        <f>G16+H16+I16</f>
        <v/>
      </c>
      <c r="K16" s="29">
        <f>H16+I16+J16</f>
        <v/>
      </c>
      <c r="L16" s="158" t="n"/>
      <c r="M16" s="114" t="inlineStr">
        <is>
          <t>Diesel</t>
        </is>
      </c>
      <c r="N16" s="114" t="n">
        <v>200</v>
      </c>
    </row>
    <row r="17" ht="14.25" customHeight="1" s="366">
      <c r="A17" s="32" t="n">
        <v>302</v>
      </c>
      <c r="B17" s="30" t="n">
        <v>107.6</v>
      </c>
      <c r="C17" s="30" t="n">
        <v>117.7</v>
      </c>
      <c r="D17" s="29">
        <f>(C17-B17)*1000</f>
        <v/>
      </c>
      <c r="E17" s="64">
        <f>ROUND(D17*D23,0)</f>
        <v/>
      </c>
      <c r="F17" s="29" t="n">
        <v>1200</v>
      </c>
      <c r="G17" s="29">
        <f>SUM(E17,F17)</f>
        <v/>
      </c>
      <c r="H17" s="29" t="n">
        <v>50</v>
      </c>
      <c r="I17" s="29" t="n">
        <v>0</v>
      </c>
      <c r="J17" s="29">
        <f>G17+H17+I17</f>
        <v/>
      </c>
      <c r="K17" s="29">
        <f>H17+I17+J17</f>
        <v/>
      </c>
      <c r="L17" s="158" t="n"/>
      <c r="M17" s="1" t="inlineStr">
        <is>
          <t>Motor switch</t>
        </is>
      </c>
      <c r="N17" s="114" t="n">
        <v>120</v>
      </c>
    </row>
    <row r="18" ht="14.25" customHeight="1" s="366">
      <c r="A18" s="32" t="n">
        <v>303</v>
      </c>
      <c r="B18" s="30" t="n">
        <v>727.8</v>
      </c>
      <c r="C18" s="30" t="n">
        <v>750.7</v>
      </c>
      <c r="D18" s="29">
        <f>(C18-B18)*1000</f>
        <v/>
      </c>
      <c r="E18" s="64">
        <f>ROUND(D18*D23,0)</f>
        <v/>
      </c>
      <c r="F18" s="29" t="n">
        <v>1200</v>
      </c>
      <c r="G18" s="29">
        <f>SUM(E18,F18)</f>
        <v/>
      </c>
      <c r="H18" s="29" t="n">
        <v>50</v>
      </c>
      <c r="I18" s="29" t="n">
        <v>0</v>
      </c>
      <c r="J18" s="29">
        <f>G18+H18+I18</f>
        <v/>
      </c>
      <c r="K18" s="29">
        <f>H18+I18+J18</f>
        <v/>
      </c>
      <c r="L18" s="158" t="n"/>
      <c r="M18" s="114" t="inlineStr">
        <is>
          <t xml:space="preserve">Motor leak </t>
        </is>
      </c>
      <c r="N18" s="114" t="n">
        <v>3315</v>
      </c>
    </row>
    <row r="19" ht="14.25" customHeight="1" s="366">
      <c r="A19" s="32" t="n">
        <v>304</v>
      </c>
      <c r="B19" s="30" t="n">
        <v>205.6</v>
      </c>
      <c r="C19" s="30" t="n">
        <v>218.7</v>
      </c>
      <c r="D19" s="29">
        <f>(C19-B19)*1000</f>
        <v/>
      </c>
      <c r="E19" s="64">
        <f>ROUND(D19*D23,0)</f>
        <v/>
      </c>
      <c r="F19" s="29" t="n">
        <v>1200</v>
      </c>
      <c r="G19" s="29">
        <f>SUM(E19,F19)</f>
        <v/>
      </c>
      <c r="H19" s="29" t="n">
        <v>50</v>
      </c>
      <c r="I19" s="29" t="n">
        <v>0</v>
      </c>
      <c r="J19" s="29">
        <f>G19+H19+I19</f>
        <v/>
      </c>
      <c r="K19" s="29">
        <f>H19+I19+J19</f>
        <v/>
      </c>
      <c r="L19" s="158" t="n"/>
      <c r="M19" s="156" t="inlineStr">
        <is>
          <t xml:space="preserve">Water pipe leak </t>
        </is>
      </c>
      <c r="N19" s="114" t="n">
        <v>200</v>
      </c>
    </row>
    <row r="20" ht="14.25" customHeight="1" s="366">
      <c r="A20" s="29" t="inlineStr">
        <is>
          <t>Common</t>
        </is>
      </c>
      <c r="B20" s="30" t="n">
        <v>212.5</v>
      </c>
      <c r="C20" s="30" t="n">
        <v>227.6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 t="n"/>
      <c r="J20" s="29">
        <f>G20+H20</f>
        <v/>
      </c>
      <c r="K20" s="29" t="n"/>
      <c r="L20" s="51" t="n"/>
      <c r="M20" s="114" t="inlineStr">
        <is>
          <t>Broom</t>
        </is>
      </c>
      <c r="N20" s="114" t="n">
        <v>100</v>
      </c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49">
        <f>SUM(H2:H20)</f>
        <v/>
      </c>
      <c r="I21" s="49" t="n"/>
      <c r="J21" s="49">
        <f>SUM(J2:J20)</f>
        <v/>
      </c>
      <c r="K21" s="49">
        <f>SUM(K2:K19)</f>
        <v/>
      </c>
      <c r="L21" s="29" t="n"/>
      <c r="M21" s="114" t="inlineStr">
        <is>
          <t>New watch man salary</t>
        </is>
      </c>
      <c r="N21" s="114" t="n">
        <v>6500</v>
      </c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>
        <f>SUM(E4:E19)</f>
        <v/>
      </c>
      <c r="F22" s="29" t="n"/>
      <c r="G22" s="29" t="n"/>
      <c r="H22" s="29" t="n"/>
      <c r="I22" s="29" t="n"/>
      <c r="J22" s="29" t="n"/>
      <c r="K22" s="29" t="n"/>
      <c r="L22" s="29" t="n"/>
      <c r="M22" s="121" t="inlineStr">
        <is>
          <t>Total</t>
        </is>
      </c>
      <c r="N22" s="121">
        <f>SUM(N9:N21)</f>
        <v/>
      </c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>
        <f>(K21+N1)-N22</f>
        <v/>
      </c>
      <c r="I23" s="29" t="n"/>
      <c r="J23" s="29" t="n"/>
      <c r="K23" s="29" t="n"/>
      <c r="L23" s="29" t="n"/>
      <c r="M23" s="152" t="n"/>
      <c r="N23" s="152" t="n"/>
    </row>
    <row r="24" ht="14.25" customHeight="1" s="366">
      <c r="A24" s="119" t="inlineStr">
        <is>
          <t>Total Water Bill</t>
        </is>
      </c>
      <c r="B24" s="30" t="n">
        <v>15000</v>
      </c>
      <c r="C24" s="119" t="inlineStr">
        <is>
          <t xml:space="preserve">WATER Tankers(15)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114" t="n"/>
      <c r="N24" s="114" t="n"/>
    </row>
  </sheetData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D17" sqref="D17"/>
    </sheetView>
  </sheetViews>
  <sheetFormatPr baseColWidth="8" defaultColWidth="14.42578125" defaultRowHeight="15" customHeight="1"/>
  <cols>
    <col width="12.7109375" customWidth="1" style="366" min="1" max="1"/>
    <col width="20.85546875" customWidth="1" style="366" min="2" max="2"/>
    <col width="21.7109375" customWidth="1" style="366" min="3" max="3"/>
    <col width="10.5703125" customWidth="1" style="366" min="4" max="4"/>
    <col width="9.85546875" customWidth="1" style="366" min="5" max="5"/>
    <col width="20.140625" customWidth="1" style="366" min="6" max="6"/>
    <col width="16.7109375" customWidth="1" style="366" min="7" max="7"/>
    <col width="15.140625" customWidth="1" style="366" min="8" max="9"/>
    <col width="7.5703125" customWidth="1" style="366" min="10" max="10"/>
    <col width="15.140625" customWidth="1" style="366" min="11" max="11"/>
    <col width="32.7109375" customWidth="1" style="366" min="13" max="13"/>
    <col width="13" customWidth="1" style="366" min="14" max="14"/>
    <col width="27.140625" customWidth="1" style="366" min="15" max="15"/>
  </cols>
  <sheetData>
    <row r="1" ht="14.25" customHeight="1" s="366">
      <c r="A1" s="49" t="inlineStr">
        <is>
          <t>Common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>Dussera Payment</t>
        </is>
      </c>
      <c r="J1" s="146" t="inlineStr">
        <is>
          <t xml:space="preserve">Topay </t>
        </is>
      </c>
      <c r="K1" s="146" t="inlineStr">
        <is>
          <t>Receive Amount</t>
        </is>
      </c>
      <c r="L1" s="146" t="inlineStr">
        <is>
          <t>Payment Status</t>
        </is>
      </c>
      <c r="M1" s="154" t="inlineStr">
        <is>
          <t>Balance amount (Auguest)</t>
        </is>
      </c>
      <c r="N1" s="151" t="n">
        <v>2969</v>
      </c>
      <c r="O1" s="152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 t="n">
        <v>0</v>
      </c>
      <c r="J2" s="29">
        <f>G2+H2</f>
        <v/>
      </c>
      <c r="K2" s="29" t="n">
        <v>300</v>
      </c>
      <c r="L2" s="158" t="inlineStr">
        <is>
          <t>Received</t>
        </is>
      </c>
      <c r="M2" s="148" t="inlineStr">
        <is>
          <t>SUBBARAO GARU</t>
        </is>
      </c>
      <c r="N2" s="149" t="n"/>
      <c r="O2" s="121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0</v>
      </c>
      <c r="J3" s="29">
        <f>G3+H3</f>
        <v/>
      </c>
      <c r="K3" s="29" t="n">
        <v>300</v>
      </c>
      <c r="L3" s="158" t="inlineStr">
        <is>
          <t>Received</t>
        </is>
      </c>
      <c r="M3" s="148" t="n"/>
      <c r="N3" s="148" t="n"/>
      <c r="O3" s="121" t="n"/>
    </row>
    <row r="4" ht="14.25" customHeight="1" s="366">
      <c r="A4" s="32" t="inlineStr">
        <is>
          <t>G1</t>
        </is>
      </c>
      <c r="B4" s="30" t="n">
        <v>77.7</v>
      </c>
      <c r="C4" s="30" t="n">
        <v>79.97</v>
      </c>
      <c r="D4" s="29">
        <f>(C4-B4)*1000</f>
        <v/>
      </c>
      <c r="E4" s="64">
        <f>ROUND(D4*D23,0)</f>
        <v/>
      </c>
      <c r="F4" s="29" t="n">
        <v>1200</v>
      </c>
      <c r="G4" s="29">
        <f>SUM(E4,F4)</f>
        <v/>
      </c>
      <c r="H4" s="29" t="n">
        <v>50</v>
      </c>
      <c r="I4" s="29" t="n">
        <v>0</v>
      </c>
      <c r="J4" s="29">
        <f>G4+H4+I4</f>
        <v/>
      </c>
      <c r="K4" s="156" t="n">
        <v>1431</v>
      </c>
      <c r="L4" s="158" t="inlineStr">
        <is>
          <t>Received</t>
        </is>
      </c>
      <c r="M4" s="160" t="n"/>
      <c r="N4" s="160" t="n"/>
      <c r="O4" s="114" t="n"/>
    </row>
    <row r="5" ht="14.25" customHeight="1" s="366">
      <c r="A5" s="32" t="inlineStr">
        <is>
          <t>G2</t>
        </is>
      </c>
      <c r="B5" s="30" t="n">
        <v>167.5</v>
      </c>
      <c r="C5" s="30" t="n">
        <v>172.48</v>
      </c>
      <c r="D5" s="29">
        <f>(C5-B5)*1000</f>
        <v/>
      </c>
      <c r="E5" s="64">
        <f>ROUND(D5*D23,0)</f>
        <v/>
      </c>
      <c r="F5" s="29" t="n">
        <v>1200</v>
      </c>
      <c r="G5" s="29">
        <f>SUM(E5,F5)</f>
        <v/>
      </c>
      <c r="H5" s="29" t="n">
        <v>50</v>
      </c>
      <c r="I5" s="29" t="n">
        <v>0</v>
      </c>
      <c r="J5" s="29">
        <f>G5+H5+I5</f>
        <v/>
      </c>
      <c r="K5" s="29" t="n">
        <v>1648</v>
      </c>
      <c r="L5" s="158" t="inlineStr">
        <is>
          <t>Received</t>
        </is>
      </c>
      <c r="M5" s="114" t="n"/>
      <c r="N5" s="114" t="n"/>
      <c r="O5" s="114" t="n"/>
    </row>
    <row r="6" ht="14.25" customHeight="1" s="366">
      <c r="A6" s="32" t="inlineStr">
        <is>
          <t>G3</t>
        </is>
      </c>
      <c r="B6" s="30" t="n">
        <v>346.2</v>
      </c>
      <c r="C6" s="30" t="n">
        <v>353.79</v>
      </c>
      <c r="D6" s="29">
        <f>(C6-B6)*1000</f>
        <v/>
      </c>
      <c r="E6" s="64">
        <f>ROUND(D6*D23,0)</f>
        <v/>
      </c>
      <c r="F6" s="29" t="n">
        <v>1200</v>
      </c>
      <c r="G6" s="29">
        <f>SUM(E6,F6)</f>
        <v/>
      </c>
      <c r="H6" s="29" t="n">
        <v>50</v>
      </c>
      <c r="I6" s="29" t="n">
        <v>0</v>
      </c>
      <c r="J6" s="29">
        <f>G6+H6+I6</f>
        <v/>
      </c>
      <c r="K6" s="29" t="n">
        <v>1856</v>
      </c>
      <c r="L6" s="158" t="inlineStr">
        <is>
          <t>Received</t>
        </is>
      </c>
      <c r="M6" s="114" t="n"/>
      <c r="N6" s="114" t="n"/>
      <c r="O6" s="114" t="n"/>
    </row>
    <row r="7" ht="14.25" customHeight="1" s="366">
      <c r="A7" s="32" t="inlineStr">
        <is>
          <t>G4</t>
        </is>
      </c>
      <c r="B7" s="30" t="n">
        <v>268.1</v>
      </c>
      <c r="C7" s="30" t="n">
        <v>274.42</v>
      </c>
      <c r="D7" s="29">
        <f>(C7-B7)*1000</f>
        <v/>
      </c>
      <c r="E7" s="64">
        <f>ROUND(D7*D23,0)</f>
        <v/>
      </c>
      <c r="F7" s="29" t="n">
        <v>1200</v>
      </c>
      <c r="G7" s="29">
        <f>SUM(E7,F7)</f>
        <v/>
      </c>
      <c r="H7" s="29" t="n">
        <v>50</v>
      </c>
      <c r="I7" s="29" t="n">
        <v>0</v>
      </c>
      <c r="J7" s="29">
        <f>G7+H7+I7</f>
        <v/>
      </c>
      <c r="K7" s="29" t="n">
        <v>1755</v>
      </c>
      <c r="L7" s="158" t="inlineStr">
        <is>
          <t>Received</t>
        </is>
      </c>
      <c r="M7" s="114" t="n"/>
      <c r="N7" s="114" t="n"/>
      <c r="O7" s="114" t="n"/>
    </row>
    <row r="8" ht="14.25" customHeight="1" s="366">
      <c r="A8" s="32" t="n">
        <v>101</v>
      </c>
      <c r="B8" s="30" t="n">
        <v>19.9</v>
      </c>
      <c r="C8" s="30" t="n">
        <v>26.89</v>
      </c>
      <c r="D8" s="29">
        <f>(C8-B8)*1000</f>
        <v/>
      </c>
      <c r="E8" s="64">
        <f>ROUND(D8*D23,0)</f>
        <v/>
      </c>
      <c r="F8" s="29" t="n">
        <v>1200</v>
      </c>
      <c r="G8" s="29">
        <f>SUM(E8,F8)</f>
        <v/>
      </c>
      <c r="H8" s="29" t="n">
        <v>50</v>
      </c>
      <c r="I8" s="29" t="n">
        <v>0</v>
      </c>
      <c r="J8" s="29">
        <f>G8+H8+I8</f>
        <v/>
      </c>
      <c r="K8" s="29" t="n">
        <v>1808</v>
      </c>
      <c r="L8" s="158" t="inlineStr">
        <is>
          <t>Received</t>
        </is>
      </c>
      <c r="M8" s="153" t="inlineStr">
        <is>
          <t>Expenditures</t>
        </is>
      </c>
      <c r="N8" s="153" t="n"/>
      <c r="O8" s="114" t="n"/>
    </row>
    <row r="9" ht="14.25" customHeight="1" s="366">
      <c r="A9" s="32" t="n">
        <v>102</v>
      </c>
      <c r="B9" s="30" t="n">
        <v>511.3</v>
      </c>
      <c r="C9" s="30" t="n">
        <v>522.0599999999999</v>
      </c>
      <c r="D9" s="29">
        <f>(C9-B9)*1000</f>
        <v/>
      </c>
      <c r="E9" s="64">
        <f>ROUND(D9*D23,0)</f>
        <v/>
      </c>
      <c r="F9" s="29" t="n">
        <v>1200</v>
      </c>
      <c r="G9" s="29">
        <f>SUM(E9,F9)</f>
        <v/>
      </c>
      <c r="H9" s="29" t="n">
        <v>50</v>
      </c>
      <c r="I9" s="29" t="n">
        <v>0</v>
      </c>
      <c r="J9" s="29">
        <f>G9+H9+I9</f>
        <v/>
      </c>
      <c r="K9" s="29" t="n">
        <v>2110</v>
      </c>
      <c r="L9" s="158" t="inlineStr">
        <is>
          <t>Received</t>
        </is>
      </c>
      <c r="M9" s="114" t="inlineStr">
        <is>
          <t>Watchman Salary</t>
        </is>
      </c>
      <c r="N9" s="128" t="n">
        <v>6500</v>
      </c>
      <c r="O9" s="114" t="inlineStr">
        <is>
          <t>paid as advance in December</t>
        </is>
      </c>
    </row>
    <row r="10" ht="14.25" customHeight="1" s="366">
      <c r="A10" s="32" t="n">
        <v>103</v>
      </c>
      <c r="B10" s="30" t="n">
        <v>164.6</v>
      </c>
      <c r="C10" s="30" t="n">
        <v>180.89</v>
      </c>
      <c r="D10" s="29">
        <f>(C10-B10)*1000</f>
        <v/>
      </c>
      <c r="E10" s="64">
        <f>ROUND(D10*D23,0)</f>
        <v/>
      </c>
      <c r="F10" s="29" t="n">
        <v>1200</v>
      </c>
      <c r="G10" s="29">
        <f>SUM(E10,F10)</f>
        <v/>
      </c>
      <c r="H10" s="29" t="n">
        <v>50</v>
      </c>
      <c r="I10" s="29" t="n">
        <v>0</v>
      </c>
      <c r="J10" s="29">
        <f>G10+H10+I10</f>
        <v/>
      </c>
      <c r="K10" s="29" t="n">
        <v>2551</v>
      </c>
      <c r="L10" s="158" t="inlineStr">
        <is>
          <t>Received</t>
        </is>
      </c>
      <c r="M10" s="160" t="inlineStr">
        <is>
          <t>Common Water</t>
        </is>
      </c>
      <c r="N10" s="160" t="n">
        <v>2044</v>
      </c>
      <c r="O10" s="161" t="n">
        <v>45295</v>
      </c>
    </row>
    <row r="11" ht="14.25" customHeight="1" s="366">
      <c r="A11" s="32" t="n">
        <v>104</v>
      </c>
      <c r="B11" s="30" t="n">
        <v>384.4</v>
      </c>
      <c r="C11" s="30" t="n">
        <v>401.86</v>
      </c>
      <c r="D11" s="29">
        <f>(C11-B11)*1000</f>
        <v/>
      </c>
      <c r="E11" s="64">
        <f>ROUND(D11*D23,0)</f>
        <v/>
      </c>
      <c r="F11" s="29" t="n">
        <v>1200</v>
      </c>
      <c r="G11" s="29">
        <f>SUM(E11,F11)</f>
        <v/>
      </c>
      <c r="H11" s="29" t="n">
        <v>50</v>
      </c>
      <c r="I11" s="29" t="n">
        <v>0</v>
      </c>
      <c r="J11" s="29">
        <f>G11+H11+I11</f>
        <v/>
      </c>
      <c r="K11" s="29" t="n">
        <v>2645</v>
      </c>
      <c r="L11" s="158" t="inlineStr">
        <is>
          <t>Received</t>
        </is>
      </c>
      <c r="M11" s="160" t="inlineStr">
        <is>
          <t>Common Electricity</t>
        </is>
      </c>
      <c r="N11" s="160" t="n">
        <v>2378</v>
      </c>
      <c r="O11" s="161" t="n">
        <v>45295</v>
      </c>
    </row>
    <row r="12" ht="14.25" customHeight="1" s="366">
      <c r="A12" s="32" t="n">
        <v>201</v>
      </c>
      <c r="B12" s="30" t="n">
        <v>81</v>
      </c>
      <c r="C12" s="30" t="n">
        <v>86.67</v>
      </c>
      <c r="D12" s="29">
        <f>(C12-B12)*1000</f>
        <v/>
      </c>
      <c r="E12" s="64">
        <f>ROUND(D12*D23,0)</f>
        <v/>
      </c>
      <c r="F12" s="29" t="n">
        <v>1200</v>
      </c>
      <c r="G12" s="29">
        <f>SUM(E12,F12)</f>
        <v/>
      </c>
      <c r="H12" s="29" t="n">
        <v>50</v>
      </c>
      <c r="I12" s="29" t="n">
        <v>0</v>
      </c>
      <c r="J12" s="29">
        <f>G12+H12+I12</f>
        <v/>
      </c>
      <c r="K12" s="29" t="n">
        <v>1703</v>
      </c>
      <c r="L12" s="158" t="inlineStr">
        <is>
          <t>Received</t>
        </is>
      </c>
      <c r="M12" s="160" t="inlineStr">
        <is>
          <t xml:space="preserve">Garbage collection </t>
        </is>
      </c>
      <c r="N12" s="160" t="n">
        <v>500</v>
      </c>
      <c r="O12" s="161" t="n">
        <v>45296</v>
      </c>
    </row>
    <row r="13" ht="14.25" customHeight="1" s="366">
      <c r="A13" s="32" t="n">
        <v>202</v>
      </c>
      <c r="B13" s="30" t="n">
        <v>245.7</v>
      </c>
      <c r="C13" s="30" t="n">
        <v>251.57</v>
      </c>
      <c r="D13" s="29">
        <f>(C13-B13)*1000</f>
        <v/>
      </c>
      <c r="E13" s="64">
        <f>ROUND(D13*D23,0)</f>
        <v/>
      </c>
      <c r="F13" s="29" t="n">
        <v>1200</v>
      </c>
      <c r="G13" s="29">
        <f>SUM(E13,F13)</f>
        <v/>
      </c>
      <c r="H13" s="29" t="n">
        <v>50</v>
      </c>
      <c r="I13" s="29" t="n">
        <v>0</v>
      </c>
      <c r="J13" s="29">
        <f>G13+H13+I13</f>
        <v/>
      </c>
      <c r="K13" s="29" t="n">
        <v>1719</v>
      </c>
      <c r="L13" s="158" t="inlineStr">
        <is>
          <t>Received</t>
        </is>
      </c>
      <c r="M13" s="114" t="inlineStr">
        <is>
          <t xml:space="preserve">Water tanker </t>
        </is>
      </c>
      <c r="N13" s="114" t="n">
        <v>12000</v>
      </c>
      <c r="O13" s="125" t="n">
        <v>45297</v>
      </c>
    </row>
    <row r="14" ht="14.25" customHeight="1" s="366">
      <c r="A14" s="32" t="n">
        <v>203</v>
      </c>
      <c r="B14" s="30" t="n">
        <v>308.4</v>
      </c>
      <c r="C14" s="30" t="n">
        <v>319.42</v>
      </c>
      <c r="D14" s="29">
        <f>(C14-B14)*1000</f>
        <v/>
      </c>
      <c r="E14" s="64">
        <f>ROUND(D14*D23,0)</f>
        <v/>
      </c>
      <c r="F14" s="29" t="n">
        <v>1200</v>
      </c>
      <c r="G14" s="29">
        <f>SUM(E14,F14)</f>
        <v/>
      </c>
      <c r="H14" s="29" t="n">
        <v>50</v>
      </c>
      <c r="I14" s="29" t="n">
        <v>0</v>
      </c>
      <c r="J14" s="29">
        <f>G14+H14+I14</f>
        <v/>
      </c>
      <c r="K14" s="29" t="n">
        <v>2130</v>
      </c>
      <c r="L14" s="158" t="inlineStr">
        <is>
          <t>Received</t>
        </is>
      </c>
      <c r="M14" s="114" t="inlineStr">
        <is>
          <t xml:space="preserve">Broom stick </t>
        </is>
      </c>
      <c r="N14" s="114" t="n">
        <v>100</v>
      </c>
      <c r="O14" s="125" t="n">
        <v>45299</v>
      </c>
    </row>
    <row r="15" ht="14.25" customHeight="1" s="366">
      <c r="A15" s="32" t="n">
        <v>204</v>
      </c>
      <c r="B15" s="30" t="n">
        <v>226.6</v>
      </c>
      <c r="C15" s="30" t="n">
        <v>231.95</v>
      </c>
      <c r="D15" s="29">
        <f>(C15-B15)*1000</f>
        <v/>
      </c>
      <c r="E15" s="64">
        <f>ROUND(D15*D23,0)</f>
        <v/>
      </c>
      <c r="F15" s="29" t="n">
        <v>1200</v>
      </c>
      <c r="G15" s="29">
        <f>SUM(E15,F15)</f>
        <v/>
      </c>
      <c r="H15" s="29" t="n">
        <v>50</v>
      </c>
      <c r="I15" s="29" t="n">
        <v>0</v>
      </c>
      <c r="J15" s="29">
        <f>G15+H15+I15</f>
        <v/>
      </c>
      <c r="K15" s="29" t="n">
        <v>1677</v>
      </c>
      <c r="L15" s="158" t="inlineStr">
        <is>
          <t>Received</t>
        </is>
      </c>
      <c r="M15" s="114" t="inlineStr">
        <is>
          <t>Muggu , Wiper, Flowers,Colours</t>
        </is>
      </c>
      <c r="N15" s="114" t="n">
        <v>680</v>
      </c>
      <c r="O15" s="125" t="n">
        <v>45305</v>
      </c>
    </row>
    <row r="16" ht="14.25" customHeight="1" s="366">
      <c r="A16" s="32" t="n">
        <v>301</v>
      </c>
      <c r="B16" s="30" t="n">
        <v>29.4</v>
      </c>
      <c r="C16" s="30" t="n">
        <v>33.64</v>
      </c>
      <c r="D16" s="29">
        <f>(C16-B16)*1000</f>
        <v/>
      </c>
      <c r="E16" s="64">
        <f>ROUND(D16*D23,0)</f>
        <v/>
      </c>
      <c r="F16" s="29" t="n">
        <v>1200</v>
      </c>
      <c r="G16" s="29">
        <f>SUM(E16,F16)</f>
        <v/>
      </c>
      <c r="H16" s="29" t="n">
        <v>50</v>
      </c>
      <c r="I16" s="29" t="n">
        <v>0</v>
      </c>
      <c r="J16" s="29">
        <f>G16+H16+I16</f>
        <v/>
      </c>
      <c r="K16" s="29" t="n">
        <v>1589</v>
      </c>
      <c r="L16" s="158" t="inlineStr">
        <is>
          <t>Received</t>
        </is>
      </c>
      <c r="M16" s="114" t="inlineStr">
        <is>
          <t>Total</t>
        </is>
      </c>
      <c r="N16" s="114">
        <f>SUM(N10:N15)</f>
        <v/>
      </c>
      <c r="O16" s="114" t="n"/>
    </row>
    <row r="17" ht="14.25" customHeight="1" s="366">
      <c r="A17" s="32" t="n">
        <v>302</v>
      </c>
      <c r="B17" s="30" t="n">
        <v>117.7</v>
      </c>
      <c r="C17" s="30" t="n">
        <v>124.47</v>
      </c>
      <c r="D17" s="29">
        <f>(C17-B17)*1000</f>
        <v/>
      </c>
      <c r="E17" s="64">
        <f>ROUND(D17*D23,0)</f>
        <v/>
      </c>
      <c r="F17" s="29" t="n">
        <v>1200</v>
      </c>
      <c r="G17" s="29">
        <f>SUM(E17,F17)</f>
        <v/>
      </c>
      <c r="H17" s="29" t="n">
        <v>50</v>
      </c>
      <c r="I17" s="29" t="n">
        <v>0</v>
      </c>
      <c r="J17" s="29">
        <f>G17+H17+I17</f>
        <v/>
      </c>
      <c r="K17" s="29" t="n">
        <v>1791</v>
      </c>
      <c r="L17" s="158" t="inlineStr">
        <is>
          <t>Received</t>
        </is>
      </c>
      <c r="M17" s="160" t="n"/>
      <c r="N17" s="114" t="n"/>
      <c r="O17" s="114" t="n"/>
    </row>
    <row r="18" ht="14.25" customHeight="1" s="366">
      <c r="A18" s="32" t="n">
        <v>303</v>
      </c>
      <c r="B18" s="30" t="n">
        <v>750.7</v>
      </c>
      <c r="C18" s="30" t="n">
        <v>770.27</v>
      </c>
      <c r="D18" s="29">
        <f>(C18-B18)*1000</f>
        <v/>
      </c>
      <c r="E18" s="64">
        <f>ROUND(D18*D23,0)</f>
        <v/>
      </c>
      <c r="F18" s="29" t="n">
        <v>1200</v>
      </c>
      <c r="G18" s="29">
        <f>SUM(E18,F18)</f>
        <v/>
      </c>
      <c r="H18" s="29" t="n">
        <v>50</v>
      </c>
      <c r="I18" s="29" t="n">
        <v>0</v>
      </c>
      <c r="J18" s="29">
        <f>G18+H18+I18</f>
        <v/>
      </c>
      <c r="K18" s="29" t="n">
        <v>2813</v>
      </c>
      <c r="L18" s="158" t="inlineStr">
        <is>
          <t>Received</t>
        </is>
      </c>
      <c r="M18" s="114" t="n"/>
      <c r="N18" s="114" t="n"/>
      <c r="O18" s="114" t="n"/>
    </row>
    <row r="19" ht="14.25" customHeight="1" s="366">
      <c r="A19" s="32" t="n">
        <v>304</v>
      </c>
      <c r="B19" s="30" t="n">
        <v>218.7</v>
      </c>
      <c r="C19" s="30" t="n">
        <v>227.82</v>
      </c>
      <c r="D19" s="29">
        <f>(C19-B19)*1000</f>
        <v/>
      </c>
      <c r="E19" s="64">
        <f>ROUND(D19*D23,0)</f>
        <v/>
      </c>
      <c r="F19" s="29" t="n">
        <v>1200</v>
      </c>
      <c r="G19" s="29">
        <f>SUM(E19,F19)</f>
        <v/>
      </c>
      <c r="H19" s="29" t="n">
        <v>50</v>
      </c>
      <c r="I19" s="29" t="n">
        <v>0</v>
      </c>
      <c r="J19" s="29">
        <f>G19+H19+I19</f>
        <v/>
      </c>
      <c r="K19" s="29" t="n">
        <v>1979</v>
      </c>
      <c r="L19" s="158" t="inlineStr">
        <is>
          <t>Received</t>
        </is>
      </c>
      <c r="M19" s="156" t="n"/>
      <c r="N19" s="114" t="n"/>
      <c r="O19" s="114" t="n"/>
    </row>
    <row r="20" ht="14.25" customHeight="1" s="366">
      <c r="A20" s="29" t="inlineStr">
        <is>
          <t>Common</t>
        </is>
      </c>
      <c r="B20" s="30" t="n">
        <v>227.6</v>
      </c>
      <c r="C20" s="30" t="n">
        <v>237.55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 t="n"/>
      <c r="J20" s="29">
        <f>G20+H20</f>
        <v/>
      </c>
      <c r="K20" s="29" t="n"/>
      <c r="L20" s="51" t="n"/>
      <c r="M20" s="114" t="n"/>
      <c r="N20" s="114" t="n"/>
      <c r="O20" s="114" t="n"/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49">
        <f>SUM(H2:H20)</f>
        <v/>
      </c>
      <c r="I21" s="49" t="n"/>
      <c r="J21" s="49">
        <f>SUM(J2:J20)</f>
        <v/>
      </c>
      <c r="K21" s="49">
        <f>SUM(K2:K19)</f>
        <v/>
      </c>
      <c r="L21" s="29" t="n"/>
      <c r="M21" s="114" t="n"/>
      <c r="N21" s="114" t="n"/>
      <c r="O21" s="114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>
        <f>SUM(E4:E19)</f>
        <v/>
      </c>
      <c r="F22" s="29" t="n"/>
      <c r="G22" s="29" t="n"/>
      <c r="H22" s="29" t="n"/>
      <c r="I22" s="29" t="n"/>
      <c r="J22" s="29" t="n"/>
      <c r="K22" s="29" t="n"/>
      <c r="L22" s="29" t="n"/>
      <c r="M22" s="121" t="inlineStr">
        <is>
          <t>Total Expenses</t>
        </is>
      </c>
      <c r="N22" s="121" t="n">
        <v>17702</v>
      </c>
      <c r="O22" s="121" t="n"/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>
        <f>(K21+N1)-N22</f>
        <v/>
      </c>
      <c r="I23" s="29" t="n"/>
      <c r="J23" s="29" t="n"/>
      <c r="K23" s="29" t="n"/>
      <c r="L23" s="29" t="n"/>
      <c r="M23" s="152" t="n"/>
      <c r="N23" s="152" t="n"/>
      <c r="O23" s="152" t="n"/>
    </row>
    <row r="24" ht="14.25" customHeight="1" s="366">
      <c r="A24" s="119" t="inlineStr">
        <is>
          <t>Total Water Bill</t>
        </is>
      </c>
      <c r="B24" s="30" t="n">
        <v>12000</v>
      </c>
      <c r="C24" s="119" t="inlineStr">
        <is>
          <t xml:space="preserve">WATER Tankers(12)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114" t="n"/>
      <c r="N24" s="114" t="n"/>
      <c r="O24" s="114" t="n"/>
    </row>
    <row r="25" ht="14.25" customHeight="1" s="366"/>
    <row r="26" ht="14.25" customHeight="1" s="366"/>
    <row r="27" ht="14.25" customHeight="1" s="366"/>
    <row r="28" ht="14.25" customHeight="1" s="366"/>
    <row r="29" ht="14.25" customHeight="1" s="366"/>
    <row r="30" ht="14.25" customHeight="1" s="366"/>
    <row r="31" ht="14.25" customHeight="1" s="366">
      <c r="M31" s="1">
        <f>31805+2969-17702</f>
        <v/>
      </c>
    </row>
  </sheetData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D17" sqref="D17"/>
    </sheetView>
  </sheetViews>
  <sheetFormatPr baseColWidth="8" defaultColWidth="14.42578125" defaultRowHeight="15" customHeight="1"/>
  <cols>
    <col width="12.7109375" customWidth="1" style="366" min="1" max="1"/>
    <col width="20.85546875" customWidth="1" style="366" min="2" max="2"/>
    <col width="21.7109375" customWidth="1" style="366" min="3" max="3"/>
    <col width="10.5703125" customWidth="1" style="366" min="4" max="4"/>
    <col width="9.85546875" customWidth="1" style="366" min="5" max="5"/>
    <col width="20.140625" customWidth="1" style="366" min="6" max="6"/>
    <col width="16.7109375" customWidth="1" style="366" min="7" max="7"/>
    <col width="15.140625" customWidth="1" style="366" min="8" max="9"/>
    <col width="7.5703125" customWidth="1" style="366" min="10" max="10"/>
    <col width="15.140625" customWidth="1" style="366" min="11" max="11"/>
    <col width="32.7109375" customWidth="1" style="366" min="13" max="13"/>
    <col width="13" customWidth="1" style="366" min="14" max="14"/>
  </cols>
  <sheetData>
    <row r="1" ht="14.25" customHeight="1" s="366">
      <c r="A1" s="49" t="inlineStr">
        <is>
          <t>Common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>Dussera Payment</t>
        </is>
      </c>
      <c r="J1" s="146" t="inlineStr">
        <is>
          <t xml:space="preserve">Topay </t>
        </is>
      </c>
      <c r="K1" s="146" t="inlineStr">
        <is>
          <t>Receive Amount</t>
        </is>
      </c>
      <c r="L1" s="146" t="inlineStr">
        <is>
          <t>Payment Status</t>
        </is>
      </c>
      <c r="M1" s="154" t="inlineStr">
        <is>
          <t>Balance amount (Auguest)</t>
        </is>
      </c>
      <c r="N1" s="151" t="n">
        <v>17072</v>
      </c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 t="n">
        <v>0</v>
      </c>
      <c r="J2" s="29">
        <f>G2+H2</f>
        <v/>
      </c>
      <c r="K2" s="29" t="n">
        <v>300</v>
      </c>
      <c r="L2" s="158" t="inlineStr">
        <is>
          <t>Received</t>
        </is>
      </c>
      <c r="M2" s="148" t="inlineStr">
        <is>
          <t>SUBBARAO GARU</t>
        </is>
      </c>
      <c r="N2" s="149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0</v>
      </c>
      <c r="J3" s="29">
        <f>G3+H3</f>
        <v/>
      </c>
      <c r="K3" s="29" t="n">
        <v>300</v>
      </c>
      <c r="L3" s="158" t="inlineStr">
        <is>
          <t>Received</t>
        </is>
      </c>
      <c r="M3" s="148" t="n"/>
      <c r="N3" s="148" t="n"/>
    </row>
    <row r="4" ht="14.25" customHeight="1" s="366">
      <c r="A4" s="32" t="inlineStr">
        <is>
          <t>G1</t>
        </is>
      </c>
      <c r="B4" s="30" t="n">
        <v>79.97</v>
      </c>
      <c r="C4" s="30" t="n">
        <v>82.04000000000001</v>
      </c>
      <c r="D4" s="29">
        <f>(C4-B4)*1000</f>
        <v/>
      </c>
      <c r="E4" s="64">
        <f>ROUND(D4*D23,0)</f>
        <v/>
      </c>
      <c r="F4" s="29" t="n">
        <v>1200</v>
      </c>
      <c r="G4" s="29">
        <f>SUM(E4,F4)</f>
        <v/>
      </c>
      <c r="H4" s="29" t="n">
        <v>50</v>
      </c>
      <c r="I4" s="29" t="n">
        <v>0</v>
      </c>
      <c r="J4" s="29">
        <f>G4+H4+I4</f>
        <v/>
      </c>
      <c r="K4" s="156" t="n">
        <v>1426</v>
      </c>
      <c r="L4" s="158" t="inlineStr">
        <is>
          <t>Received</t>
        </is>
      </c>
      <c r="M4" s="160" t="n"/>
      <c r="N4" s="160" t="n"/>
    </row>
    <row r="5" ht="14.25" customHeight="1" s="366">
      <c r="A5" s="32" t="inlineStr">
        <is>
          <t>G2</t>
        </is>
      </c>
      <c r="B5" s="30" t="n">
        <v>172.48</v>
      </c>
      <c r="C5" s="30" t="n">
        <v>177.11</v>
      </c>
      <c r="D5" s="29">
        <f>(C5-B5)*1000</f>
        <v/>
      </c>
      <c r="E5" s="64">
        <f>ROUND(D5*D23,0)</f>
        <v/>
      </c>
      <c r="F5" s="29" t="n">
        <v>1200</v>
      </c>
      <c r="G5" s="29">
        <f>SUM(E5,F5)</f>
        <v/>
      </c>
      <c r="H5" s="29" t="n">
        <v>50</v>
      </c>
      <c r="I5" s="29" t="n">
        <v>0</v>
      </c>
      <c r="J5" s="29">
        <f>G5+H5+I5</f>
        <v/>
      </c>
      <c r="K5" s="29" t="n">
        <v>1643</v>
      </c>
      <c r="L5" s="158" t="inlineStr">
        <is>
          <t>Received</t>
        </is>
      </c>
      <c r="M5" s="114" t="n"/>
      <c r="N5" s="114" t="n"/>
    </row>
    <row r="6" ht="14.25" customHeight="1" s="366">
      <c r="A6" s="32" t="inlineStr">
        <is>
          <t>G3</t>
        </is>
      </c>
      <c r="B6" s="30" t="n">
        <v>353.79</v>
      </c>
      <c r="C6" s="30" t="n">
        <v>361.71</v>
      </c>
      <c r="D6" s="29">
        <f>(C6-B6)*1000</f>
        <v/>
      </c>
      <c r="E6" s="64">
        <f>ROUND(D6*D23,0)</f>
        <v/>
      </c>
      <c r="F6" s="29" t="n">
        <v>1200</v>
      </c>
      <c r="G6" s="29">
        <f>SUM(E6,F6)</f>
        <v/>
      </c>
      <c r="H6" s="29" t="n">
        <v>50</v>
      </c>
      <c r="I6" s="29" t="n">
        <v>0</v>
      </c>
      <c r="J6" s="29">
        <f>G6+H6+I6</f>
        <v/>
      </c>
      <c r="K6" s="29" t="n">
        <v>1922</v>
      </c>
      <c r="L6" s="158" t="inlineStr">
        <is>
          <t>Received</t>
        </is>
      </c>
      <c r="M6" s="114" t="n"/>
      <c r="N6" s="114" t="n"/>
    </row>
    <row r="7" ht="14.25" customHeight="1" s="366">
      <c r="A7" s="32" t="inlineStr">
        <is>
          <t>G4</t>
        </is>
      </c>
      <c r="B7" s="30" t="n">
        <v>274.42</v>
      </c>
      <c r="C7" s="30" t="n">
        <v>282.52</v>
      </c>
      <c r="D7" s="29">
        <f>(C7-B7)*1000</f>
        <v/>
      </c>
      <c r="E7" s="64">
        <f>ROUND(D7*D23,0)</f>
        <v/>
      </c>
      <c r="F7" s="29" t="n">
        <v>1200</v>
      </c>
      <c r="G7" s="29">
        <f>SUM(E7,F7)</f>
        <v/>
      </c>
      <c r="H7" s="29" t="n">
        <v>50</v>
      </c>
      <c r="I7" s="29" t="n">
        <v>0</v>
      </c>
      <c r="J7" s="29">
        <f>G7+H7+I7</f>
        <v/>
      </c>
      <c r="K7" s="29" t="n">
        <v>1937</v>
      </c>
      <c r="L7" s="158" t="inlineStr">
        <is>
          <t>Received</t>
        </is>
      </c>
      <c r="M7" s="114" t="n"/>
      <c r="N7" s="114" t="n"/>
    </row>
    <row r="8" ht="14.25" customHeight="1" s="366">
      <c r="A8" s="32" t="n">
        <v>101</v>
      </c>
      <c r="B8" s="30" t="n">
        <v>26.89</v>
      </c>
      <c r="C8" s="30" t="n">
        <v>33.06</v>
      </c>
      <c r="D8" s="29">
        <f>(C8-B8)*1000</f>
        <v/>
      </c>
      <c r="E8" s="64">
        <f>ROUND(D8*D23,0)</f>
        <v/>
      </c>
      <c r="F8" s="29" t="n">
        <v>1200</v>
      </c>
      <c r="G8" s="29">
        <f>SUM(E8,F8)</f>
        <v/>
      </c>
      <c r="H8" s="29" t="n">
        <v>50</v>
      </c>
      <c r="I8" s="29" t="n">
        <v>0</v>
      </c>
      <c r="J8" s="29">
        <f>G8+H8+I8</f>
        <v/>
      </c>
      <c r="K8" s="29" t="n">
        <v>1773</v>
      </c>
      <c r="L8" s="158" t="inlineStr">
        <is>
          <t>Received</t>
        </is>
      </c>
      <c r="M8" s="153" t="inlineStr">
        <is>
          <t>Expenditures</t>
        </is>
      </c>
      <c r="N8" s="153" t="n"/>
    </row>
    <row r="9" ht="14.25" customHeight="1" s="366">
      <c r="A9" s="32" t="n">
        <v>102</v>
      </c>
      <c r="B9" s="30" t="n">
        <v>522.0599999999999</v>
      </c>
      <c r="C9" s="30" t="n">
        <v>526.4400000000001</v>
      </c>
      <c r="D9" s="29">
        <f>(C9-B9)*1000</f>
        <v/>
      </c>
      <c r="E9" s="64">
        <f>ROUND(D9*D23,0)</f>
        <v/>
      </c>
      <c r="F9" s="29" t="n">
        <v>1200</v>
      </c>
      <c r="G9" s="29">
        <f>SUM(E9,F9)</f>
        <v/>
      </c>
      <c r="H9" s="29" t="n">
        <v>50</v>
      </c>
      <c r="I9" s="29" t="n">
        <v>0</v>
      </c>
      <c r="J9" s="29">
        <f>G9+H9+I9</f>
        <v/>
      </c>
      <c r="K9" s="29" t="n">
        <v>1621</v>
      </c>
      <c r="L9" s="158" t="inlineStr">
        <is>
          <t>Received</t>
        </is>
      </c>
      <c r="M9" s="114" t="inlineStr">
        <is>
          <t xml:space="preserve">Watchman Salary </t>
        </is>
      </c>
      <c r="N9" s="128" t="n">
        <v>6500</v>
      </c>
      <c r="O9" s="162" t="n">
        <v>45325</v>
      </c>
    </row>
    <row r="10" ht="14.25" customHeight="1" s="366">
      <c r="A10" s="32" t="n">
        <v>103</v>
      </c>
      <c r="B10" s="30" t="n">
        <v>180.89</v>
      </c>
      <c r="C10" s="30" t="n">
        <v>186.7</v>
      </c>
      <c r="D10" s="29">
        <f>(C10-B10)*1000</f>
        <v/>
      </c>
      <c r="E10" s="64">
        <f>ROUND(D10*D23,0)</f>
        <v/>
      </c>
      <c r="F10" s="29" t="n">
        <v>1200</v>
      </c>
      <c r="G10" s="29">
        <f>SUM(E10,F10)</f>
        <v/>
      </c>
      <c r="H10" s="29" t="n">
        <v>50</v>
      </c>
      <c r="I10" s="29" t="n">
        <v>0</v>
      </c>
      <c r="J10" s="29">
        <f>G10+H10+I10</f>
        <v/>
      </c>
      <c r="K10" s="29" t="n">
        <v>1743</v>
      </c>
      <c r="L10" s="158" t="inlineStr">
        <is>
          <t>Received</t>
        </is>
      </c>
      <c r="M10" s="160" t="inlineStr">
        <is>
          <t xml:space="preserve">Water Tankers </t>
        </is>
      </c>
      <c r="N10" s="160" t="n">
        <v>11000</v>
      </c>
      <c r="O10" s="162" t="n">
        <v>45325</v>
      </c>
    </row>
    <row r="11" ht="14.25" customHeight="1" s="366">
      <c r="A11" s="32" t="n">
        <v>104</v>
      </c>
      <c r="B11" s="30" t="n">
        <v>401.86</v>
      </c>
      <c r="C11" s="30" t="n">
        <v>415.74</v>
      </c>
      <c r="D11" s="29">
        <f>(C11-B11)*1000</f>
        <v/>
      </c>
      <c r="E11" s="64">
        <f>ROUND(D11*D23,0)</f>
        <v/>
      </c>
      <c r="F11" s="29" t="n">
        <v>1200</v>
      </c>
      <c r="G11" s="29">
        <f>SUM(E11,F11)</f>
        <v/>
      </c>
      <c r="H11" s="29" t="n">
        <v>50</v>
      </c>
      <c r="I11" s="29" t="n">
        <v>0</v>
      </c>
      <c r="J11" s="29">
        <f>G11+H11+I11</f>
        <v/>
      </c>
      <c r="K11" s="29" t="n">
        <v>2427</v>
      </c>
      <c r="L11" s="158" t="inlineStr">
        <is>
          <t>Received</t>
        </is>
      </c>
      <c r="M11" s="160" t="inlineStr">
        <is>
          <t>Common elecrticity</t>
        </is>
      </c>
      <c r="N11" s="160" t="n">
        <v>2042</v>
      </c>
      <c r="O11" s="162" t="n">
        <v>45325</v>
      </c>
    </row>
    <row r="12" ht="14.25" customHeight="1" s="366">
      <c r="A12" s="32" t="n">
        <v>201</v>
      </c>
      <c r="B12" s="30" t="n">
        <v>86.67</v>
      </c>
      <c r="C12" s="30" t="n">
        <v>93.13</v>
      </c>
      <c r="D12" s="29">
        <f>(C12-B12)*1000</f>
        <v/>
      </c>
      <c r="E12" s="64">
        <f>ROUND(D12*D23,0)</f>
        <v/>
      </c>
      <c r="F12" s="29" t="n">
        <v>1200</v>
      </c>
      <c r="G12" s="29">
        <f>SUM(E12,F12)</f>
        <v/>
      </c>
      <c r="H12" s="29" t="n">
        <v>50</v>
      </c>
      <c r="I12" s="29" t="n">
        <v>0</v>
      </c>
      <c r="J12" s="29">
        <f>G12+H12+I12</f>
        <v/>
      </c>
      <c r="K12" s="29" t="n">
        <v>1798</v>
      </c>
      <c r="L12" s="158" t="inlineStr">
        <is>
          <t>Received</t>
        </is>
      </c>
      <c r="M12" s="160" t="inlineStr">
        <is>
          <t xml:space="preserve">common water bill paid </t>
        </is>
      </c>
      <c r="N12" s="160" t="n">
        <v>2044</v>
      </c>
      <c r="O12" s="162" t="n">
        <v>45325</v>
      </c>
    </row>
    <row r="13" ht="14.25" customHeight="1" s="366">
      <c r="A13" s="32" t="n">
        <v>202</v>
      </c>
      <c r="B13" s="30" t="n">
        <v>251.57</v>
      </c>
      <c r="C13" s="30" t="n">
        <v>253.51</v>
      </c>
      <c r="D13" s="29">
        <f>(C13-B13)*1000</f>
        <v/>
      </c>
      <c r="E13" s="64">
        <f>ROUND(D13*D23,0)</f>
        <v/>
      </c>
      <c r="F13" s="29" t="n">
        <v>1200</v>
      </c>
      <c r="G13" s="29">
        <f>SUM(E13,F13)</f>
        <v/>
      </c>
      <c r="H13" s="29" t="n">
        <v>50</v>
      </c>
      <c r="I13" s="29" t="n">
        <v>0</v>
      </c>
      <c r="J13" s="29">
        <f>G13+H13+I13</f>
        <v/>
      </c>
      <c r="K13" s="29" t="n">
        <v>1414</v>
      </c>
      <c r="L13" s="158" t="inlineStr">
        <is>
          <t>Received</t>
        </is>
      </c>
      <c r="M13" s="114" t="inlineStr">
        <is>
          <t>Muggu &amp; Mop stick</t>
        </is>
      </c>
      <c r="N13" s="114" t="n">
        <v>200</v>
      </c>
      <c r="O13" s="162" t="n">
        <v>45326</v>
      </c>
    </row>
    <row r="14" ht="14.25" customHeight="1" s="366">
      <c r="A14" s="32" t="n">
        <v>203</v>
      </c>
      <c r="B14" s="30" t="n">
        <v>319.42</v>
      </c>
      <c r="C14" s="30" t="n">
        <v>329.24</v>
      </c>
      <c r="D14" s="29">
        <f>(C14-B14)*1000</f>
        <v/>
      </c>
      <c r="E14" s="64">
        <f>ROUND(D14*D23,0)</f>
        <v/>
      </c>
      <c r="F14" s="29" t="n">
        <v>1200</v>
      </c>
      <c r="G14" s="29">
        <f>SUM(E14,F14)</f>
        <v/>
      </c>
      <c r="H14" s="29" t="n">
        <v>50</v>
      </c>
      <c r="I14" s="29" t="n">
        <v>0</v>
      </c>
      <c r="J14" s="29">
        <f>G14+H14+I14</f>
        <v/>
      </c>
      <c r="K14" s="29" t="n">
        <v>2083</v>
      </c>
      <c r="L14" s="158" t="inlineStr">
        <is>
          <t>Received</t>
        </is>
      </c>
      <c r="M14" s="114" t="inlineStr">
        <is>
          <t xml:space="preserve">Garbage </t>
        </is>
      </c>
      <c r="N14" s="114" t="n">
        <v>500</v>
      </c>
      <c r="O14" s="162" t="n">
        <v>45328</v>
      </c>
    </row>
    <row r="15" ht="14.25" customHeight="1" s="366">
      <c r="A15" s="32" t="n">
        <v>204</v>
      </c>
      <c r="B15" s="30" t="n">
        <v>231.95</v>
      </c>
      <c r="C15" s="30" t="n">
        <v>237.2</v>
      </c>
      <c r="D15" s="29">
        <f>(C15-B15)*1000</f>
        <v/>
      </c>
      <c r="E15" s="64">
        <f>ROUND(D15*D23,0)</f>
        <v/>
      </c>
      <c r="F15" s="29" t="n">
        <v>1200</v>
      </c>
      <c r="G15" s="29">
        <f>SUM(E15,F15)</f>
        <v/>
      </c>
      <c r="H15" s="29" t="n">
        <v>50</v>
      </c>
      <c r="I15" s="29" t="n">
        <v>0</v>
      </c>
      <c r="J15" s="29">
        <f>G15+H15+I15</f>
        <v/>
      </c>
      <c r="K15" s="29" t="n">
        <v>1695</v>
      </c>
      <c r="L15" s="158" t="inlineStr">
        <is>
          <t>Received</t>
        </is>
      </c>
      <c r="M15" s="114" t="inlineStr">
        <is>
          <t>Bleaching powder abd broomstick</t>
        </is>
      </c>
      <c r="N15" s="114" t="n">
        <v>170</v>
      </c>
      <c r="O15" s="162" t="n">
        <v>45350</v>
      </c>
    </row>
    <row r="16" ht="14.25" customHeight="1" s="366">
      <c r="A16" s="32" t="n">
        <v>301</v>
      </c>
      <c r="B16" s="30" t="n">
        <v>33.64</v>
      </c>
      <c r="C16" s="30" t="n">
        <v>37.41</v>
      </c>
      <c r="D16" s="29">
        <f>(C16-B16)*1000</f>
        <v/>
      </c>
      <c r="E16" s="64">
        <f>ROUND(D16*D23,0)</f>
        <v/>
      </c>
      <c r="F16" s="29" t="n">
        <v>1200</v>
      </c>
      <c r="G16" s="29">
        <f>SUM(E16,F16)</f>
        <v/>
      </c>
      <c r="H16" s="29" t="n">
        <v>50</v>
      </c>
      <c r="I16" s="29" t="n">
        <v>0</v>
      </c>
      <c r="J16" s="29">
        <f>G16+H16+I16</f>
        <v/>
      </c>
      <c r="K16" s="29" t="n">
        <v>1570</v>
      </c>
      <c r="L16" s="158" t="inlineStr">
        <is>
          <t>Received</t>
        </is>
      </c>
      <c r="M16" s="114" t="n"/>
      <c r="N16" s="114" t="n"/>
    </row>
    <row r="17" ht="14.25" customHeight="1" s="366">
      <c r="A17" s="32" t="n">
        <v>302</v>
      </c>
      <c r="B17" s="30" t="n">
        <v>124.47</v>
      </c>
      <c r="C17" s="30" t="n">
        <v>131.31</v>
      </c>
      <c r="D17" s="29">
        <f>(C17-B17)*1000</f>
        <v/>
      </c>
      <c r="E17" s="64">
        <f>ROUND(D17*D23,0)</f>
        <v/>
      </c>
      <c r="F17" s="29" t="n">
        <v>1200</v>
      </c>
      <c r="G17" s="29">
        <f>SUM(E17,F17)</f>
        <v/>
      </c>
      <c r="H17" s="29" t="n">
        <v>50</v>
      </c>
      <c r="I17" s="29" t="n">
        <v>0</v>
      </c>
      <c r="J17" s="29">
        <f>G17+H17+I17</f>
        <v/>
      </c>
      <c r="K17" s="29" t="n">
        <v>1830</v>
      </c>
      <c r="L17" s="158" t="inlineStr">
        <is>
          <t>Received</t>
        </is>
      </c>
      <c r="M17" s="160" t="n"/>
      <c r="N17" s="114" t="n"/>
    </row>
    <row r="18" ht="14.25" customHeight="1" s="366">
      <c r="A18" s="32" t="n">
        <v>303</v>
      </c>
      <c r="B18" s="30" t="n">
        <v>770.27</v>
      </c>
      <c r="C18" s="30" t="n">
        <v>789.74</v>
      </c>
      <c r="D18" s="29">
        <f>(C18-B18)*1000</f>
        <v/>
      </c>
      <c r="E18" s="64">
        <f>ROUND(D18*D23,0)</f>
        <v/>
      </c>
      <c r="F18" s="29" t="n">
        <v>1200</v>
      </c>
      <c r="G18" s="29">
        <f>SUM(E18,F18)</f>
        <v/>
      </c>
      <c r="H18" s="29" t="n">
        <v>50</v>
      </c>
      <c r="I18" s="29" t="n">
        <v>0</v>
      </c>
      <c r="J18" s="29">
        <f>G18+H18+I18</f>
        <v/>
      </c>
      <c r="K18" s="29" t="n">
        <v>2901</v>
      </c>
      <c r="L18" s="158" t="inlineStr">
        <is>
          <t>Received</t>
        </is>
      </c>
      <c r="M18" s="114" t="n"/>
      <c r="N18" s="114" t="n"/>
    </row>
    <row r="19" ht="14.25" customHeight="1" s="366">
      <c r="A19" s="32" t="n">
        <v>304</v>
      </c>
      <c r="B19" s="30" t="n">
        <v>227.82</v>
      </c>
      <c r="C19" s="30" t="n">
        <v>240.48</v>
      </c>
      <c r="D19" s="29">
        <f>(C19-B19)*1000</f>
        <v/>
      </c>
      <c r="E19" s="64">
        <f>ROUND(D19*D23,0)</f>
        <v/>
      </c>
      <c r="F19" s="29" t="n">
        <v>1200</v>
      </c>
      <c r="G19" s="29">
        <f>SUM(E19,F19)</f>
        <v/>
      </c>
      <c r="H19" s="29" t="n">
        <v>50</v>
      </c>
      <c r="I19" s="29" t="n">
        <v>0</v>
      </c>
      <c r="J19" s="29">
        <f>G19+H19+I19</f>
        <v/>
      </c>
      <c r="K19" s="29" t="n">
        <v>2323</v>
      </c>
      <c r="L19" s="158" t="inlineStr">
        <is>
          <t>Received</t>
        </is>
      </c>
      <c r="M19" s="156" t="n"/>
      <c r="N19" s="114" t="n"/>
    </row>
    <row r="20" ht="14.25" customHeight="1" s="366">
      <c r="A20" s="29" t="inlineStr">
        <is>
          <t>Common</t>
        </is>
      </c>
      <c r="B20" s="30" t="n">
        <v>237.55</v>
      </c>
      <c r="C20" s="30" t="n">
        <v>248.118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 t="n"/>
      <c r="J20" s="29">
        <f>G20+H20</f>
        <v/>
      </c>
      <c r="K20" s="29" t="n"/>
      <c r="L20" s="51" t="n"/>
      <c r="M20" s="114" t="n"/>
      <c r="N20" s="114" t="n"/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49">
        <f>SUM(H2:H20)</f>
        <v/>
      </c>
      <c r="I21" s="49" t="n"/>
      <c r="J21" s="49">
        <f>SUM(J2:J20)</f>
        <v/>
      </c>
      <c r="K21" s="49">
        <f>SUM(K2:K19)</f>
        <v/>
      </c>
      <c r="L21" s="29" t="n"/>
      <c r="M21" s="114" t="n"/>
      <c r="N21" s="114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>
        <f>SUM(E4:E19)</f>
        <v/>
      </c>
      <c r="F22" s="29" t="n"/>
      <c r="G22" s="29" t="n"/>
      <c r="H22" s="29" t="n"/>
      <c r="I22" s="29" t="n"/>
      <c r="J22" s="29" t="n"/>
      <c r="K22" s="29" t="n"/>
      <c r="L22" s="29" t="n"/>
      <c r="M22" s="121" t="inlineStr">
        <is>
          <t>Total Expenses</t>
        </is>
      </c>
      <c r="N22" s="121" t="n">
        <v>22456</v>
      </c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>
        <f>(K21+N1)-N22</f>
        <v/>
      </c>
      <c r="I23" s="29" t="n"/>
      <c r="J23" s="29" t="n"/>
      <c r="K23" s="29" t="n"/>
      <c r="L23" s="29" t="n"/>
      <c r="M23" s="152" t="n"/>
      <c r="N23" s="152" t="n"/>
    </row>
    <row r="24" ht="14.25" customHeight="1" s="366">
      <c r="A24" s="119" t="inlineStr">
        <is>
          <t>Total Water Bill</t>
        </is>
      </c>
      <c r="B24" s="30" t="n">
        <v>11000</v>
      </c>
      <c r="C24" s="119" t="inlineStr">
        <is>
          <t xml:space="preserve">WATER Tankers(11)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114" t="n"/>
      <c r="N24" s="114" t="n"/>
    </row>
    <row r="34" ht="14.25" customHeight="1" s="366">
      <c r="M34" s="1" t="inlineStr">
        <is>
          <t>  </t>
        </is>
      </c>
    </row>
  </sheetData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D17" sqref="D17"/>
    </sheetView>
  </sheetViews>
  <sheetFormatPr baseColWidth="8" defaultColWidth="14.42578125" defaultRowHeight="15" customHeight="1"/>
  <cols>
    <col width="12.7109375" customWidth="1" style="366" min="1" max="1"/>
    <col width="20.85546875" customWidth="1" style="366" min="2" max="2"/>
    <col width="21.7109375" customWidth="1" style="366" min="3" max="3"/>
    <col width="10.5703125" customWidth="1" style="366" min="4" max="4"/>
    <col width="9.85546875" customWidth="1" style="366" min="5" max="5"/>
    <col width="20.140625" customWidth="1" style="366" min="6" max="6"/>
    <col width="16.7109375" customWidth="1" style="366" min="7" max="7"/>
    <col width="15.140625" customWidth="1" style="366" min="8" max="9"/>
    <col width="7.5703125" customWidth="1" style="366" min="10" max="10"/>
    <col width="15.140625" customWidth="1" style="366" min="11" max="11"/>
    <col width="32.7109375" customWidth="1" style="366" min="13" max="13"/>
    <col width="13" customWidth="1" style="366" min="14" max="14"/>
  </cols>
  <sheetData>
    <row r="1" ht="14.25" customHeight="1" s="366">
      <c r="A1" s="49" t="inlineStr">
        <is>
          <t>Common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>Dussera Payment</t>
        </is>
      </c>
      <c r="J1" s="146" t="inlineStr">
        <is>
          <t xml:space="preserve">Topay </t>
        </is>
      </c>
      <c r="K1" s="146" t="inlineStr">
        <is>
          <t>Receive Amount</t>
        </is>
      </c>
      <c r="L1" s="146" t="inlineStr">
        <is>
          <t>Payment Status</t>
        </is>
      </c>
      <c r="M1" s="154" t="inlineStr">
        <is>
          <t>Balance amount (Auguest)</t>
        </is>
      </c>
      <c r="N1" s="151" t="n">
        <v>25322</v>
      </c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 t="n">
        <v>0</v>
      </c>
      <c r="J2" s="29">
        <f>G2+H2</f>
        <v/>
      </c>
      <c r="K2" s="29" t="n">
        <v>300</v>
      </c>
      <c r="L2" s="158" t="n"/>
      <c r="M2" s="148" t="inlineStr">
        <is>
          <t>SUBBARAO GARU</t>
        </is>
      </c>
      <c r="N2" s="149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0</v>
      </c>
      <c r="J3" s="29">
        <f>G3+H3</f>
        <v/>
      </c>
      <c r="K3" s="29" t="n">
        <v>300</v>
      </c>
      <c r="L3" s="158" t="n"/>
      <c r="M3" s="148" t="n"/>
      <c r="N3" s="148" t="n"/>
    </row>
    <row r="4" ht="14.25" customHeight="1" s="366">
      <c r="A4" s="32" t="inlineStr">
        <is>
          <t>G1</t>
        </is>
      </c>
      <c r="B4" s="30" t="n">
        <v>82.04000000000001</v>
      </c>
      <c r="C4" s="30" t="n">
        <v>84.54000000000001</v>
      </c>
      <c r="D4" s="29">
        <f>(C4-B4)*1000</f>
        <v/>
      </c>
      <c r="E4" s="64">
        <f>ROUND(D4*D23,0)</f>
        <v/>
      </c>
      <c r="F4" s="29" t="n">
        <v>1200</v>
      </c>
      <c r="G4" s="29">
        <f>SUM(E4,F4)</f>
        <v/>
      </c>
      <c r="H4" s="29" t="n">
        <v>50</v>
      </c>
      <c r="I4" s="29" t="n">
        <v>0</v>
      </c>
      <c r="J4" s="29">
        <f>G4+H4+I4</f>
        <v/>
      </c>
      <c r="K4" s="156" t="n">
        <v>1474</v>
      </c>
      <c r="L4" s="158" t="n"/>
      <c r="M4" s="160" t="n"/>
      <c r="N4" s="160" t="n"/>
    </row>
    <row r="5" ht="14.25" customHeight="1" s="366">
      <c r="A5" s="32" t="inlineStr">
        <is>
          <t>G2</t>
        </is>
      </c>
      <c r="B5" s="30" t="n">
        <v>177.11</v>
      </c>
      <c r="C5" s="30" t="n">
        <v>182.07</v>
      </c>
      <c r="D5" s="29">
        <f>(C5-B5)*1000</f>
        <v/>
      </c>
      <c r="E5" s="64">
        <f>ROUND(D5*D23,0)</f>
        <v/>
      </c>
      <c r="F5" s="29" t="n">
        <v>1200</v>
      </c>
      <c r="G5" s="29">
        <f>SUM(E5,F5)</f>
        <v/>
      </c>
      <c r="H5" s="29" t="n">
        <v>50</v>
      </c>
      <c r="I5" s="29" t="n">
        <v>0</v>
      </c>
      <c r="J5" s="29">
        <f>G5+H5+I5</f>
        <v/>
      </c>
      <c r="K5" s="29" t="n">
        <v>1695</v>
      </c>
      <c r="L5" s="158" t="n"/>
      <c r="M5" s="114" t="n"/>
      <c r="N5" s="114" t="n"/>
    </row>
    <row r="6" ht="14.25" customHeight="1" s="366">
      <c r="A6" s="32" t="inlineStr">
        <is>
          <t>G3</t>
        </is>
      </c>
      <c r="B6" s="30" t="n">
        <v>361.71</v>
      </c>
      <c r="C6" s="30" t="n">
        <v>370.36</v>
      </c>
      <c r="D6" s="29">
        <f>(C6-B6)*1000</f>
        <v/>
      </c>
      <c r="E6" s="64">
        <f>ROUND(D6*D23,0)</f>
        <v/>
      </c>
      <c r="F6" s="29" t="n">
        <v>1200</v>
      </c>
      <c r="G6" s="29">
        <f>SUM(E6,F6)</f>
        <v/>
      </c>
      <c r="H6" s="29" t="n">
        <v>50</v>
      </c>
      <c r="I6" s="29" t="n">
        <v>0</v>
      </c>
      <c r="J6" s="29">
        <f>G6+H6+I6</f>
        <v/>
      </c>
      <c r="K6" s="29" t="n">
        <v>2026</v>
      </c>
      <c r="L6" s="158" t="n"/>
      <c r="M6" s="114" t="n"/>
      <c r="N6" s="114" t="n"/>
    </row>
    <row r="7" ht="14.25" customHeight="1" s="366">
      <c r="A7" s="32" t="inlineStr">
        <is>
          <t>G4</t>
        </is>
      </c>
      <c r="B7" s="30" t="n">
        <v>282.52</v>
      </c>
      <c r="C7" s="30" t="n">
        <v>289.34</v>
      </c>
      <c r="D7" s="29">
        <f>(C7-B7)*1000</f>
        <v/>
      </c>
      <c r="E7" s="64">
        <f>ROUND(D7*D23,0)</f>
        <v/>
      </c>
      <c r="F7" s="29" t="n">
        <v>1200</v>
      </c>
      <c r="G7" s="29">
        <f>SUM(E7,F7)</f>
        <v/>
      </c>
      <c r="H7" s="29" t="n">
        <v>50</v>
      </c>
      <c r="I7" s="29" t="n">
        <v>0</v>
      </c>
      <c r="J7" s="29">
        <f>G7+H7+I7</f>
        <v/>
      </c>
      <c r="K7" s="29" t="n">
        <v>1861</v>
      </c>
      <c r="L7" s="158" t="n"/>
      <c r="M7" s="114" t="n"/>
      <c r="N7" s="114" t="n"/>
    </row>
    <row r="8" ht="14.25" customHeight="1" s="366">
      <c r="A8" s="32" t="n">
        <v>101</v>
      </c>
      <c r="B8" s="30" t="n">
        <v>33.06</v>
      </c>
      <c r="C8" s="30" t="n">
        <v>39.87</v>
      </c>
      <c r="D8" s="29">
        <f>(C8-B8)*1000</f>
        <v/>
      </c>
      <c r="E8" s="64">
        <f>ROUND(D8*D23,0)</f>
        <v/>
      </c>
      <c r="F8" s="29" t="n">
        <v>1200</v>
      </c>
      <c r="G8" s="29">
        <f>SUM(E8,F8)</f>
        <v/>
      </c>
      <c r="H8" s="29" t="n">
        <v>50</v>
      </c>
      <c r="I8" s="29" t="n">
        <v>0</v>
      </c>
      <c r="J8" s="29">
        <f>G8+H8+I8</f>
        <v/>
      </c>
      <c r="K8" s="29" t="n">
        <v>1861</v>
      </c>
      <c r="L8" s="158" t="n"/>
      <c r="M8" s="153" t="inlineStr">
        <is>
          <t>Expenditures</t>
        </is>
      </c>
      <c r="N8" s="153" t="n"/>
    </row>
    <row r="9" ht="14.25" customHeight="1" s="366">
      <c r="A9" s="32" t="n">
        <v>102</v>
      </c>
      <c r="B9" s="30" t="n">
        <v>526.4400000000001</v>
      </c>
      <c r="C9" s="30" t="n">
        <v>540.15</v>
      </c>
      <c r="D9" s="29">
        <f>(C9-B9)*1000</f>
        <v/>
      </c>
      <c r="E9" s="64">
        <f>ROUND(D9*D23,0)</f>
        <v/>
      </c>
      <c r="F9" s="29" t="n">
        <v>1200</v>
      </c>
      <c r="G9" s="29">
        <f>SUM(E9,F9)</f>
        <v/>
      </c>
      <c r="H9" s="29" t="n">
        <v>50</v>
      </c>
      <c r="I9" s="29" t="n">
        <v>0</v>
      </c>
      <c r="J9" s="29">
        <f>G9+H9+I9</f>
        <v/>
      </c>
      <c r="K9" s="29" t="n">
        <v>2479</v>
      </c>
      <c r="L9" s="158" t="n"/>
      <c r="M9" s="114" t="inlineStr">
        <is>
          <t xml:space="preserve">Watchman Salary </t>
        </is>
      </c>
      <c r="N9" s="128" t="n">
        <v>6500</v>
      </c>
      <c r="O9" s="162" t="n">
        <v>45353</v>
      </c>
    </row>
    <row r="10" ht="14.25" customHeight="1" s="366">
      <c r="A10" s="32" t="n">
        <v>103</v>
      </c>
      <c r="B10" s="30" t="n">
        <v>186.7</v>
      </c>
      <c r="C10" s="30" t="n">
        <v>189.05</v>
      </c>
      <c r="D10" s="29">
        <f>(C10-B10)*1000</f>
        <v/>
      </c>
      <c r="E10" s="64">
        <f>ROUND(D10*D23,0)</f>
        <v/>
      </c>
      <c r="F10" s="29" t="n">
        <v>1200</v>
      </c>
      <c r="G10" s="29">
        <f>SUM(E10,F10)</f>
        <v/>
      </c>
      <c r="H10" s="29" t="n">
        <v>50</v>
      </c>
      <c r="I10" s="29" t="n">
        <v>0</v>
      </c>
      <c r="J10" s="29">
        <f>G10+H10+I10</f>
        <v/>
      </c>
      <c r="K10" s="29" t="n">
        <v>1461</v>
      </c>
      <c r="L10" s="158" t="n"/>
      <c r="M10" s="160" t="inlineStr">
        <is>
          <t xml:space="preserve">Tanks Cleaning ( 2) tanks </t>
        </is>
      </c>
      <c r="N10" s="160" t="n">
        <v>800</v>
      </c>
      <c r="O10" s="162" t="n">
        <v>45353</v>
      </c>
    </row>
    <row r="11" ht="14.25" customHeight="1" s="366">
      <c r="A11" s="32" t="n">
        <v>104</v>
      </c>
      <c r="B11" s="30" t="n">
        <v>415.74</v>
      </c>
      <c r="C11" s="30" t="n">
        <v>433.98</v>
      </c>
      <c r="D11" s="29">
        <f>(C11-B11)*1000</f>
        <v/>
      </c>
      <c r="E11" s="64">
        <f>ROUND(D11*D23,0)</f>
        <v/>
      </c>
      <c r="F11" s="29" t="n">
        <v>1200</v>
      </c>
      <c r="G11" s="29">
        <f>SUM(E11,F11)</f>
        <v/>
      </c>
      <c r="H11" s="29" t="n">
        <v>50</v>
      </c>
      <c r="I11" s="29" t="n">
        <v>0</v>
      </c>
      <c r="J11" s="29">
        <f>G11+H11+I11</f>
        <v/>
      </c>
      <c r="K11" s="29" t="n">
        <v>2885</v>
      </c>
      <c r="L11" s="158" t="n"/>
      <c r="M11" s="160" t="inlineStr">
        <is>
          <t>Water Tankers (13) No.s</t>
        </is>
      </c>
      <c r="N11" s="160" t="n">
        <v>13000</v>
      </c>
      <c r="O11" s="162" t="n">
        <v>45353</v>
      </c>
    </row>
    <row r="12" ht="14.25" customHeight="1" s="366">
      <c r="A12" s="32" t="n">
        <v>201</v>
      </c>
      <c r="B12" s="30" t="n">
        <v>93.13</v>
      </c>
      <c r="C12" s="30" t="n">
        <v>98.63</v>
      </c>
      <c r="D12" s="29">
        <f>(C12-B12)*1000</f>
        <v/>
      </c>
      <c r="E12" s="64">
        <f>ROUND(D12*D23,0)</f>
        <v/>
      </c>
      <c r="F12" s="29" t="n">
        <v>1200</v>
      </c>
      <c r="G12" s="29">
        <f>SUM(E12,F12)</f>
        <v/>
      </c>
      <c r="H12" s="29" t="n">
        <v>50</v>
      </c>
      <c r="I12" s="29" t="n">
        <v>0</v>
      </c>
      <c r="J12" s="29">
        <f>G12+H12+I12</f>
        <v/>
      </c>
      <c r="K12" s="29" t="n">
        <v>1743</v>
      </c>
      <c r="L12" s="158" t="n"/>
      <c r="M12" s="160" t="inlineStr">
        <is>
          <t>muncipal weater bill</t>
        </is>
      </c>
      <c r="N12" s="160" t="n">
        <v>2044</v>
      </c>
      <c r="O12" s="162" t="n">
        <v>45353</v>
      </c>
    </row>
    <row r="13" ht="14.25" customHeight="1" s="366">
      <c r="A13" s="32" t="n">
        <v>202</v>
      </c>
      <c r="B13" s="30" t="n">
        <v>253.51</v>
      </c>
      <c r="C13" s="30" t="n">
        <v>255.76</v>
      </c>
      <c r="D13" s="29">
        <f>(C13-B13)*1000</f>
        <v/>
      </c>
      <c r="E13" s="64">
        <f>ROUND(D13*D23,0)</f>
        <v/>
      </c>
      <c r="F13" s="29" t="n">
        <v>1200</v>
      </c>
      <c r="G13" s="29">
        <f>SUM(E13,F13)</f>
        <v/>
      </c>
      <c r="H13" s="29" t="n">
        <v>50</v>
      </c>
      <c r="I13" s="29" t="n">
        <v>0</v>
      </c>
      <c r="J13" s="29">
        <f>G13+H13+I13</f>
        <v/>
      </c>
      <c r="K13" s="29" t="n">
        <v>1452</v>
      </c>
      <c r="L13" s="158" t="n"/>
      <c r="M13" s="114" t="inlineStr">
        <is>
          <t>common power</t>
        </is>
      </c>
      <c r="N13" s="114" t="n">
        <v>2310</v>
      </c>
      <c r="O13" s="162" t="n">
        <v>45356</v>
      </c>
    </row>
    <row r="14" ht="14.25" customHeight="1" s="366">
      <c r="A14" s="32" t="n">
        <v>203</v>
      </c>
      <c r="B14" s="30" t="n">
        <v>329.24</v>
      </c>
      <c r="C14" s="30" t="n">
        <v>341.92</v>
      </c>
      <c r="D14" s="29">
        <f>(C14-B14)*1000</f>
        <v/>
      </c>
      <c r="E14" s="64">
        <f>ROUND(D14*D23,0)</f>
        <v/>
      </c>
      <c r="F14" s="29" t="n">
        <v>1200</v>
      </c>
      <c r="G14" s="29">
        <f>SUM(E14,F14)</f>
        <v/>
      </c>
      <c r="H14" s="29" t="n">
        <v>50</v>
      </c>
      <c r="I14" s="29" t="n">
        <v>0</v>
      </c>
      <c r="J14" s="29">
        <f>G14+H14+I14</f>
        <v/>
      </c>
      <c r="K14" s="29" t="n">
        <v>2387</v>
      </c>
      <c r="L14" s="158" t="n"/>
      <c r="M14" s="114" t="inlineStr">
        <is>
          <t>garbage</t>
        </is>
      </c>
      <c r="N14" s="114" t="n">
        <v>500</v>
      </c>
      <c r="O14" s="162" t="n">
        <v>45359</v>
      </c>
    </row>
    <row r="15" ht="14.25" customHeight="1" s="366">
      <c r="A15" s="32" t="n">
        <v>204</v>
      </c>
      <c r="B15" s="30" t="n">
        <v>237.2</v>
      </c>
      <c r="C15" s="30" t="n">
        <v>241.94</v>
      </c>
      <c r="D15" s="29">
        <f>(C15-B15)*1000</f>
        <v/>
      </c>
      <c r="E15" s="64">
        <f>ROUND(D15*D23,0)</f>
        <v/>
      </c>
      <c r="F15" s="29" t="n">
        <v>1200</v>
      </c>
      <c r="G15" s="29">
        <f>SUM(E15,F15)</f>
        <v/>
      </c>
      <c r="H15" s="29" t="n">
        <v>50</v>
      </c>
      <c r="I15" s="29" t="n">
        <v>0</v>
      </c>
      <c r="J15" s="29">
        <f>G15+H15+I15</f>
        <v/>
      </c>
      <c r="K15" s="29" t="n">
        <v>1675</v>
      </c>
      <c r="L15" s="158" t="n"/>
      <c r="M15" s="114" t="inlineStr">
        <is>
          <t xml:space="preserve">Broom stick </t>
        </is>
      </c>
      <c r="N15" s="114" t="n">
        <v>120</v>
      </c>
      <c r="O15" s="162" t="n">
        <v>45371</v>
      </c>
    </row>
    <row r="16" ht="14.25" customHeight="1" s="366">
      <c r="A16" s="32" t="n">
        <v>301</v>
      </c>
      <c r="B16" s="30" t="n">
        <v>37.41</v>
      </c>
      <c r="C16" s="30" t="n">
        <v>41.8</v>
      </c>
      <c r="D16" s="29">
        <f>(C16-B16)*1000</f>
        <v/>
      </c>
      <c r="E16" s="64">
        <f>ROUND(D16*D23,0)</f>
        <v/>
      </c>
      <c r="F16" s="29" t="n">
        <v>1200</v>
      </c>
      <c r="G16" s="29">
        <f>SUM(E16,F16)</f>
        <v/>
      </c>
      <c r="H16" s="29" t="n">
        <v>50</v>
      </c>
      <c r="I16" s="29" t="n">
        <v>0</v>
      </c>
      <c r="J16" s="29">
        <f>G16+H16+I16</f>
        <v/>
      </c>
      <c r="K16" s="29" t="n">
        <v>1644</v>
      </c>
      <c r="L16" s="158" t="n"/>
      <c r="M16" s="114" t="inlineStr">
        <is>
          <t>watchman salary advance for aprl</t>
        </is>
      </c>
      <c r="N16" s="114" t="n">
        <v>6500</v>
      </c>
      <c r="O16" s="162" t="n">
        <v>45376</v>
      </c>
    </row>
    <row r="17" ht="14.25" customHeight="1" s="366">
      <c r="A17" s="32" t="n">
        <v>302</v>
      </c>
      <c r="B17" s="30" t="n">
        <v>131.31</v>
      </c>
      <c r="C17" s="30" t="n">
        <v>139.7</v>
      </c>
      <c r="D17" s="29">
        <f>(C17-B17)*1000</f>
        <v/>
      </c>
      <c r="E17" s="64">
        <f>ROUND(D17*D23,0)</f>
        <v/>
      </c>
      <c r="F17" s="29" t="n">
        <v>1200</v>
      </c>
      <c r="G17" s="29">
        <f>SUM(E17,F17)</f>
        <v/>
      </c>
      <c r="H17" s="29" t="n">
        <v>50</v>
      </c>
      <c r="I17" s="29" t="n">
        <v>0</v>
      </c>
      <c r="J17" s="29">
        <f>G17+H17+I17</f>
        <v/>
      </c>
      <c r="K17" s="29" t="n">
        <v>2002</v>
      </c>
      <c r="L17" s="158" t="n"/>
      <c r="M17" s="160" t="inlineStr">
        <is>
          <t xml:space="preserve">Filters and meter cleaning </t>
        </is>
      </c>
      <c r="N17" s="114" t="n">
        <v>14000</v>
      </c>
      <c r="O17" s="162" t="n">
        <v>45382</v>
      </c>
    </row>
    <row r="18" ht="14.25" customHeight="1" s="366">
      <c r="A18" s="32" t="n">
        <v>303</v>
      </c>
      <c r="B18" s="30" t="n">
        <v>789.74</v>
      </c>
      <c r="C18" s="30" t="n">
        <v>812.22</v>
      </c>
      <c r="D18" s="29">
        <f>(C18-B18)*1000</f>
        <v/>
      </c>
      <c r="E18" s="64">
        <f>ROUND(D18*D23,0)</f>
        <v/>
      </c>
      <c r="F18" s="29" t="n">
        <v>1200</v>
      </c>
      <c r="G18" s="29">
        <f>SUM(E18,F18)</f>
        <v/>
      </c>
      <c r="H18" s="29" t="n">
        <v>50</v>
      </c>
      <c r="I18" s="29" t="n">
        <v>0</v>
      </c>
      <c r="J18" s="29">
        <f>G18+H18+I18</f>
        <v/>
      </c>
      <c r="K18" s="29" t="n">
        <v>3265</v>
      </c>
      <c r="L18" s="158" t="n"/>
      <c r="M18" s="114" t="n"/>
      <c r="N18" s="114" t="n"/>
    </row>
    <row r="19" ht="14.25" customHeight="1" s="366">
      <c r="A19" s="32" t="n">
        <v>304</v>
      </c>
      <c r="B19" s="30" t="n">
        <v>240.48</v>
      </c>
      <c r="C19" s="30" t="n">
        <v>249.75</v>
      </c>
      <c r="D19" s="29">
        <f>(C19-B19)*1000</f>
        <v/>
      </c>
      <c r="E19" s="64">
        <f>ROUND(D19*D23,0)</f>
        <v/>
      </c>
      <c r="F19" s="29" t="n">
        <v>1200</v>
      </c>
      <c r="G19" s="29">
        <f>SUM(E19,F19)</f>
        <v/>
      </c>
      <c r="H19" s="29" t="n">
        <v>50</v>
      </c>
      <c r="I19" s="29" t="n">
        <v>0</v>
      </c>
      <c r="J19" s="29">
        <f>G19+H19+I19</f>
        <v/>
      </c>
      <c r="K19" s="29" t="n">
        <v>2081</v>
      </c>
      <c r="L19" s="158" t="n"/>
      <c r="M19" s="156" t="n"/>
      <c r="N19" s="114" t="n"/>
    </row>
    <row r="20" ht="14.25" customHeight="1" s="366">
      <c r="A20" s="29" t="inlineStr">
        <is>
          <t>Common</t>
        </is>
      </c>
      <c r="B20" s="30" t="n">
        <v>248.12</v>
      </c>
      <c r="C20" s="30" t="n">
        <v>259.381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 t="n"/>
      <c r="J20" s="29">
        <f>G20+H20</f>
        <v/>
      </c>
      <c r="K20" s="29" t="n"/>
      <c r="L20" s="51" t="n"/>
      <c r="M20" s="114" t="n"/>
      <c r="N20" s="114" t="n"/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49">
        <f>SUM(H2:H20)</f>
        <v/>
      </c>
      <c r="I21" s="49" t="n"/>
      <c r="J21" s="49">
        <f>SUM(J2:J20)</f>
        <v/>
      </c>
      <c r="K21" s="49">
        <f>SUM(K2:K19)</f>
        <v/>
      </c>
      <c r="L21" s="29" t="n"/>
      <c r="M21" s="114" t="n"/>
      <c r="N21" s="114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>
        <f>SUM(E4:E19)</f>
        <v/>
      </c>
      <c r="F22" s="29" t="n"/>
      <c r="G22" s="29" t="n"/>
      <c r="H22" s="29" t="n"/>
      <c r="I22" s="29" t="n"/>
      <c r="J22" s="29" t="n"/>
      <c r="K22" s="29" t="n"/>
      <c r="L22" s="29" t="n"/>
      <c r="M22" s="121" t="n"/>
      <c r="N22" s="121">
        <f>SUM(N9:N20)</f>
        <v/>
      </c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>
        <f>(K21+N1)-N22</f>
        <v/>
      </c>
      <c r="I23" s="29" t="n"/>
      <c r="J23" s="29" t="n"/>
      <c r="K23" s="29" t="n"/>
      <c r="L23" s="29" t="n"/>
      <c r="M23" s="152" t="n"/>
      <c r="N23" s="152" t="n"/>
    </row>
    <row r="24" ht="14.25" customHeight="1" s="366">
      <c r="A24" s="119" t="inlineStr">
        <is>
          <t>Total Water Bill</t>
        </is>
      </c>
      <c r="B24" s="30" t="n">
        <v>13000</v>
      </c>
      <c r="C24" s="119" t="inlineStr">
        <is>
          <t xml:space="preserve">WATER Tankers(13)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114" t="n"/>
      <c r="N24" s="114" t="n"/>
    </row>
  </sheetData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D17" sqref="D17"/>
    </sheetView>
  </sheetViews>
  <sheetFormatPr baseColWidth="8" defaultColWidth="14.42578125" defaultRowHeight="15" customHeight="1"/>
  <cols>
    <col width="12.7109375" customWidth="1" style="366" min="1" max="1"/>
    <col width="20.85546875" customWidth="1" style="366" min="2" max="2"/>
    <col width="21.7109375" customWidth="1" style="366" min="3" max="3"/>
    <col width="10.5703125" customWidth="1" style="366" min="4" max="4"/>
    <col width="9.85546875" customWidth="1" style="366" min="5" max="5"/>
    <col width="20.140625" customWidth="1" style="366" min="6" max="6"/>
    <col width="16.7109375" customWidth="1" style="366" min="7" max="7"/>
    <col width="15.140625" customWidth="1" style="366" min="8" max="9"/>
    <col width="7.5703125" customWidth="1" style="366" min="10" max="10"/>
    <col width="15.140625" customWidth="1" style="366" min="11" max="12"/>
    <col width="32.7109375" customWidth="1" style="366" min="14" max="14"/>
    <col width="13" customWidth="1" style="366" min="15" max="15"/>
  </cols>
  <sheetData>
    <row r="1" ht="14.25" customHeight="1" s="366">
      <c r="A1" s="49" t="inlineStr">
        <is>
          <t>Common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>Dussera Payment</t>
        </is>
      </c>
      <c r="J1" s="146" t="inlineStr">
        <is>
          <t xml:space="preserve">Topay </t>
        </is>
      </c>
      <c r="K1" s="146" t="inlineStr">
        <is>
          <t>Receive Amount</t>
        </is>
      </c>
      <c r="L1" s="146" t="n"/>
      <c r="M1" s="146" t="inlineStr">
        <is>
          <t>Payment Status</t>
        </is>
      </c>
      <c r="N1" s="154" t="inlineStr">
        <is>
          <t>Balance amount (MAR)-24</t>
        </is>
      </c>
      <c r="O1" s="151" t="n">
        <v>12139</v>
      </c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 t="n">
        <v>0</v>
      </c>
      <c r="J2" s="29">
        <f>G2+H2</f>
        <v/>
      </c>
      <c r="K2" s="29" t="n">
        <v>300</v>
      </c>
      <c r="L2" s="29" t="inlineStr">
        <is>
          <t>received</t>
        </is>
      </c>
      <c r="M2" s="158" t="n"/>
      <c r="N2" s="148" t="inlineStr">
        <is>
          <t>SUBBARAO GARU</t>
        </is>
      </c>
      <c r="O2" s="149" t="n">
        <v>15000</v>
      </c>
      <c r="P2" s="1" t="inlineStr">
        <is>
          <t xml:space="preserve">transferred to jagadesh garu on 13th april </t>
        </is>
      </c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0</v>
      </c>
      <c r="J3" s="29">
        <f>G3+H3</f>
        <v/>
      </c>
      <c r="K3" s="29" t="n">
        <v>300</v>
      </c>
      <c r="L3" s="29" t="inlineStr">
        <is>
          <t>received</t>
        </is>
      </c>
      <c r="M3" s="158" t="n"/>
      <c r="N3" s="148" t="n"/>
      <c r="O3" s="148" t="n"/>
    </row>
    <row r="4" ht="14.25" customHeight="1" s="366">
      <c r="A4" s="32" t="inlineStr">
        <is>
          <t>G1</t>
        </is>
      </c>
      <c r="B4" s="30" t="n">
        <v>84.54000000000001</v>
      </c>
      <c r="C4" s="30" t="n">
        <v>86.23999999999999</v>
      </c>
      <c r="D4" s="29">
        <f>(C4-B4)*1000</f>
        <v/>
      </c>
      <c r="E4" s="64">
        <f>ROUND(D4*D23,0)</f>
        <v/>
      </c>
      <c r="F4" s="29" t="n">
        <v>1200</v>
      </c>
      <c r="G4" s="29">
        <f>SUM(E4,F4)</f>
        <v/>
      </c>
      <c r="H4" s="29" t="n">
        <v>50</v>
      </c>
      <c r="I4" s="29" t="n">
        <v>0</v>
      </c>
      <c r="J4" s="29">
        <f>G4+H4+I4</f>
        <v/>
      </c>
      <c r="K4" s="156" t="n">
        <v>1447</v>
      </c>
      <c r="L4" s="156" t="inlineStr">
        <is>
          <t>received</t>
        </is>
      </c>
      <c r="M4" s="158" t="n"/>
      <c r="N4" s="160" t="n"/>
      <c r="O4" s="160" t="n"/>
    </row>
    <row r="5" ht="14.25" customHeight="1" s="366">
      <c r="A5" s="32" t="inlineStr">
        <is>
          <t>G2</t>
        </is>
      </c>
      <c r="B5" s="30" t="n">
        <v>182.07</v>
      </c>
      <c r="C5" s="30" t="n">
        <v>188.49</v>
      </c>
      <c r="D5" s="29">
        <f>(C5-B5)*1000</f>
        <v/>
      </c>
      <c r="E5" s="64">
        <f>ROUND(D5*D23,0)</f>
        <v/>
      </c>
      <c r="F5" s="29" t="n">
        <v>1200</v>
      </c>
      <c r="G5" s="29">
        <f>SUM(E5,F5)</f>
        <v/>
      </c>
      <c r="H5" s="29" t="n">
        <v>50</v>
      </c>
      <c r="I5" s="29" t="n">
        <v>0</v>
      </c>
      <c r="J5" s="29">
        <f>G5+H5+I5</f>
        <v/>
      </c>
      <c r="K5" s="29" t="n">
        <v>1993</v>
      </c>
      <c r="L5" s="29" t="inlineStr">
        <is>
          <t>received</t>
        </is>
      </c>
      <c r="M5" s="158" t="n"/>
      <c r="N5" s="114" t="n"/>
      <c r="O5" s="114" t="n"/>
    </row>
    <row r="6" ht="14.25" customHeight="1" s="366">
      <c r="A6" s="32" t="inlineStr">
        <is>
          <t>G3</t>
        </is>
      </c>
      <c r="B6" s="30" t="n">
        <v>370.36</v>
      </c>
      <c r="C6" s="30" t="n">
        <v>381.43</v>
      </c>
      <c r="D6" s="29">
        <f>(C6-B6)*1000</f>
        <v/>
      </c>
      <c r="E6" s="64">
        <f>ROUND(D6*D23,0)</f>
        <v/>
      </c>
      <c r="F6" s="29" t="n">
        <v>1200</v>
      </c>
      <c r="G6" s="29">
        <f>SUM(E6,F6)</f>
        <v/>
      </c>
      <c r="H6" s="29" t="n">
        <v>50</v>
      </c>
      <c r="I6" s="29" t="n">
        <v>0</v>
      </c>
      <c r="J6" s="29">
        <f>G6+H6+I6</f>
        <v/>
      </c>
      <c r="K6" s="29" t="n">
        <v>2532</v>
      </c>
      <c r="L6" s="29" t="inlineStr">
        <is>
          <t>received</t>
        </is>
      </c>
      <c r="M6" s="158" t="n"/>
      <c r="N6" s="114" t="n"/>
      <c r="O6" s="114" t="n"/>
    </row>
    <row r="7" ht="14.25" customHeight="1" s="366">
      <c r="A7" s="32" t="inlineStr">
        <is>
          <t>G4</t>
        </is>
      </c>
      <c r="B7" s="30" t="n">
        <v>289.34</v>
      </c>
      <c r="C7" s="30" t="n">
        <v>296.48</v>
      </c>
      <c r="D7" s="29">
        <f>(C7-B7)*1000</f>
        <v/>
      </c>
      <c r="E7" s="64">
        <f>ROUND(D7*D23,0)</f>
        <v/>
      </c>
      <c r="F7" s="29" t="n">
        <v>1200</v>
      </c>
      <c r="G7" s="29">
        <f>SUM(E7,F7)</f>
        <v/>
      </c>
      <c r="H7" s="29" t="n">
        <v>50</v>
      </c>
      <c r="I7" s="29" t="n">
        <v>0</v>
      </c>
      <c r="J7" s="29">
        <f>G7+H7+I7</f>
        <v/>
      </c>
      <c r="K7" s="29" t="n">
        <v>2077</v>
      </c>
      <c r="L7" s="29" t="inlineStr">
        <is>
          <t>received</t>
        </is>
      </c>
      <c r="M7" s="158" t="n"/>
      <c r="N7" s="114" t="n"/>
      <c r="O7" s="114" t="n"/>
    </row>
    <row r="8" ht="14.25" customHeight="1" s="366">
      <c r="A8" s="32" t="n">
        <v>101</v>
      </c>
      <c r="B8" s="30" t="n">
        <v>39.87</v>
      </c>
      <c r="C8" s="30" t="n">
        <v>47</v>
      </c>
      <c r="D8" s="29">
        <f>(C8-B8)*1000</f>
        <v/>
      </c>
      <c r="E8" s="64">
        <f>ROUND(D8*D23,0)</f>
        <v/>
      </c>
      <c r="F8" s="29" t="n">
        <v>1200</v>
      </c>
      <c r="G8" s="29">
        <f>SUM(E8,F8)</f>
        <v/>
      </c>
      <c r="H8" s="29" t="n">
        <v>50</v>
      </c>
      <c r="I8" s="29" t="n">
        <v>0</v>
      </c>
      <c r="J8" s="29">
        <f>G8+H8+I8</f>
        <v/>
      </c>
      <c r="K8" s="29" t="n">
        <v>2076</v>
      </c>
      <c r="L8" s="29" t="inlineStr">
        <is>
          <t>received</t>
        </is>
      </c>
      <c r="M8" s="158" t="n"/>
      <c r="N8" s="153" t="inlineStr">
        <is>
          <t>Expenditures</t>
        </is>
      </c>
      <c r="O8" s="153" t="n"/>
    </row>
    <row r="9" ht="14.25" customHeight="1" s="366">
      <c r="A9" s="32" t="n">
        <v>102</v>
      </c>
      <c r="B9" s="30" t="n">
        <v>540.15</v>
      </c>
      <c r="C9" s="30" t="n">
        <v>553.83</v>
      </c>
      <c r="D9" s="29">
        <f>(C9-B9)*1000</f>
        <v/>
      </c>
      <c r="E9" s="64">
        <f>ROUND(D9*D23,0)</f>
        <v/>
      </c>
      <c r="F9" s="29" t="n">
        <v>1200</v>
      </c>
      <c r="G9" s="29">
        <f>SUM(E9,F9)</f>
        <v/>
      </c>
      <c r="H9" s="29" t="n">
        <v>50</v>
      </c>
      <c r="I9" s="29" t="n">
        <v>0</v>
      </c>
      <c r="J9" s="29">
        <f>G9+H9+I9</f>
        <v/>
      </c>
      <c r="K9" s="29" t="n">
        <v>2834</v>
      </c>
      <c r="L9" s="29" t="inlineStr">
        <is>
          <t>received</t>
        </is>
      </c>
      <c r="M9" s="158" t="n"/>
      <c r="N9" s="114" t="inlineStr">
        <is>
          <t>Common Water</t>
        </is>
      </c>
      <c r="O9" s="128" t="n">
        <v>2044</v>
      </c>
      <c r="P9" s="162" t="n"/>
    </row>
    <row r="10" ht="14.25" customHeight="1" s="366">
      <c r="A10" s="32" t="n">
        <v>103</v>
      </c>
      <c r="B10" s="30" t="n">
        <v>189.05</v>
      </c>
      <c r="C10" s="30" t="n">
        <v>194.32</v>
      </c>
      <c r="D10" s="29">
        <f>(C10-B10)*1000</f>
        <v/>
      </c>
      <c r="E10" s="64">
        <f>ROUND(D10*D23,0)</f>
        <v/>
      </c>
      <c r="F10" s="29" t="n">
        <v>1200</v>
      </c>
      <c r="G10" s="29">
        <f>SUM(E10,F10)</f>
        <v/>
      </c>
      <c r="H10" s="29" t="n">
        <v>50</v>
      </c>
      <c r="I10" s="29" t="n">
        <v>0</v>
      </c>
      <c r="J10" s="29">
        <f>G10+H10+I10</f>
        <v/>
      </c>
      <c r="K10" s="29" t="n">
        <v>1860</v>
      </c>
      <c r="L10" s="29" t="inlineStr">
        <is>
          <t>received</t>
        </is>
      </c>
      <c r="M10" s="158" t="n"/>
      <c r="N10" s="160" t="inlineStr">
        <is>
          <t xml:space="preserve">Watchman Salary Already given advance </t>
        </is>
      </c>
      <c r="O10" s="160" t="n">
        <v>0</v>
      </c>
      <c r="P10" s="162" t="n"/>
    </row>
    <row r="11" ht="14.25" customHeight="1" s="366">
      <c r="A11" s="32" t="n">
        <v>104</v>
      </c>
      <c r="B11" s="30" t="n">
        <v>433.98</v>
      </c>
      <c r="C11" s="30" t="n">
        <v>450</v>
      </c>
      <c r="D11" s="29">
        <f>(C11-B11)*1000</f>
        <v/>
      </c>
      <c r="E11" s="64">
        <f>ROUND(D11*D23,0)</f>
        <v/>
      </c>
      <c r="F11" s="29" t="n">
        <v>1200</v>
      </c>
      <c r="G11" s="29">
        <f>SUM(E11,F11)</f>
        <v/>
      </c>
      <c r="H11" s="29" t="n">
        <v>50</v>
      </c>
      <c r="I11" s="29" t="n">
        <v>0</v>
      </c>
      <c r="J11" s="29">
        <f>G11+H11+I11</f>
        <v/>
      </c>
      <c r="K11" s="29" t="n">
        <v>3105</v>
      </c>
      <c r="L11" s="29" t="inlineStr">
        <is>
          <t>received</t>
        </is>
      </c>
      <c r="M11" s="158" t="n"/>
      <c r="N11" s="160" t="inlineStr">
        <is>
          <t xml:space="preserve">Tanker -13 </t>
        </is>
      </c>
      <c r="O11" s="160" t="n">
        <v>13000</v>
      </c>
      <c r="P11" s="162" t="n"/>
    </row>
    <row r="12" ht="14.25" customHeight="1" s="366">
      <c r="A12" s="32" t="n">
        <v>201</v>
      </c>
      <c r="B12" s="30" t="n">
        <v>98.63</v>
      </c>
      <c r="C12" s="30" t="n">
        <v>103.53</v>
      </c>
      <c r="D12" s="29">
        <f>(C12-B12)*1000</f>
        <v/>
      </c>
      <c r="E12" s="64">
        <f>ROUND(D12*D23,0)</f>
        <v/>
      </c>
      <c r="F12" s="29" t="n">
        <v>1200</v>
      </c>
      <c r="G12" s="29">
        <f>SUM(E12,F12)</f>
        <v/>
      </c>
      <c r="H12" s="29" t="n">
        <v>50</v>
      </c>
      <c r="I12" s="29" t="n">
        <v>0</v>
      </c>
      <c r="J12" s="29">
        <f>G12+H12+I12</f>
        <v/>
      </c>
      <c r="K12" s="29" t="n">
        <v>1817</v>
      </c>
      <c r="L12" s="29" t="inlineStr">
        <is>
          <t>received</t>
        </is>
      </c>
      <c r="M12" s="158" t="n"/>
      <c r="N12" s="160" t="inlineStr">
        <is>
          <t>plumber bill for 3rd filter installsation and accessories</t>
        </is>
      </c>
      <c r="O12" s="160" t="n">
        <v>4949</v>
      </c>
      <c r="P12" s="162" t="n"/>
    </row>
    <row r="13" ht="14.25" customHeight="1" s="366">
      <c r="A13" s="32" t="n">
        <v>202</v>
      </c>
      <c r="B13" s="30" t="n">
        <v>255.76</v>
      </c>
      <c r="C13" s="30" t="n">
        <v>257.5</v>
      </c>
      <c r="D13" s="29">
        <f>(C13-B13)*1000</f>
        <v/>
      </c>
      <c r="E13" s="64">
        <f>ROUND(D13*D23,0)</f>
        <v/>
      </c>
      <c r="F13" s="29" t="n">
        <v>1200</v>
      </c>
      <c r="G13" s="29">
        <f>SUM(E13,F13)</f>
        <v/>
      </c>
      <c r="H13" s="29" t="n">
        <v>50</v>
      </c>
      <c r="I13" s="29" t="n">
        <v>0</v>
      </c>
      <c r="J13" s="29">
        <f>G13+H13+I13</f>
        <v/>
      </c>
      <c r="K13" s="29" t="n">
        <v>1451</v>
      </c>
      <c r="L13" s="29" t="inlineStr">
        <is>
          <t>received</t>
        </is>
      </c>
      <c r="M13" s="158" t="n"/>
      <c r="N13" s="114" t="inlineStr">
        <is>
          <t>common power</t>
        </is>
      </c>
      <c r="O13" s="114" t="n">
        <v>2269</v>
      </c>
      <c r="P13" s="162" t="n"/>
    </row>
    <row r="14" ht="14.25" customHeight="1" s="366">
      <c r="A14" s="32" t="n">
        <v>203</v>
      </c>
      <c r="B14" s="30" t="n">
        <v>341.92</v>
      </c>
      <c r="C14" s="30" t="n">
        <v>343.2</v>
      </c>
      <c r="D14" s="29">
        <f>(C14-B14)*1000</f>
        <v/>
      </c>
      <c r="E14" s="64">
        <f>ROUND(D14*D23,0)</f>
        <v/>
      </c>
      <c r="F14" s="29" t="n">
        <v>1200</v>
      </c>
      <c r="G14" s="29">
        <f>SUM(E14,F14)</f>
        <v/>
      </c>
      <c r="H14" s="29" t="n">
        <v>50</v>
      </c>
      <c r="I14" s="29" t="n">
        <v>0</v>
      </c>
      <c r="J14" s="29">
        <f>G14+H14+I14</f>
        <v/>
      </c>
      <c r="K14" s="29" t="n">
        <v>1398</v>
      </c>
      <c r="L14" s="29" t="inlineStr">
        <is>
          <t>received</t>
        </is>
      </c>
      <c r="M14" s="158" t="n"/>
      <c r="N14" s="114" t="inlineStr">
        <is>
          <t>plumber charges for fixing leakges</t>
        </is>
      </c>
      <c r="O14" s="114" t="n">
        <v>400</v>
      </c>
      <c r="P14" s="162" t="n"/>
    </row>
    <row r="15" ht="14.25" customHeight="1" s="366">
      <c r="A15" s="32" t="n">
        <v>204</v>
      </c>
      <c r="B15" s="30" t="n">
        <v>241.94</v>
      </c>
      <c r="C15" s="30" t="n">
        <v>247.29</v>
      </c>
      <c r="D15" s="29">
        <f>(C15-B15)*1000</f>
        <v/>
      </c>
      <c r="E15" s="64">
        <f>ROUND(D15*D23,0)</f>
        <v/>
      </c>
      <c r="F15" s="29" t="n">
        <v>1200</v>
      </c>
      <c r="G15" s="29">
        <f>SUM(E15,F15)</f>
        <v/>
      </c>
      <c r="H15" s="29" t="n">
        <v>50</v>
      </c>
      <c r="I15" s="29" t="n">
        <v>0</v>
      </c>
      <c r="J15" s="29">
        <f>G15+H15+I15</f>
        <v/>
      </c>
      <c r="K15" s="29" t="n">
        <v>1869</v>
      </c>
      <c r="L15" s="29" t="inlineStr">
        <is>
          <t>received</t>
        </is>
      </c>
      <c r="M15" s="158" t="n"/>
      <c r="N15" s="114" t="inlineStr">
        <is>
          <t>urban clap plumber</t>
        </is>
      </c>
      <c r="O15" s="114" t="n">
        <v>143</v>
      </c>
      <c r="P15" s="162" t="n"/>
    </row>
    <row r="16" ht="14.25" customHeight="1" s="366">
      <c r="A16" s="32" t="n">
        <v>301</v>
      </c>
      <c r="B16" s="30" t="n">
        <v>41.8</v>
      </c>
      <c r="C16" s="30" t="n">
        <v>49.13</v>
      </c>
      <c r="D16" s="29">
        <f>(C16-B16)*1000</f>
        <v/>
      </c>
      <c r="E16" s="64">
        <f>ROUND(D16*D23,0)</f>
        <v/>
      </c>
      <c r="F16" s="29" t="n">
        <v>1200</v>
      </c>
      <c r="G16" s="29">
        <f>SUM(E16,F16)</f>
        <v/>
      </c>
      <c r="H16" s="29" t="n">
        <v>50</v>
      </c>
      <c r="I16" s="29" t="n">
        <v>0</v>
      </c>
      <c r="J16" s="29">
        <f>G16+H16+I16</f>
        <v/>
      </c>
      <c r="K16" s="29" t="n">
        <v>2099</v>
      </c>
      <c r="L16" s="29" t="inlineStr">
        <is>
          <t>received</t>
        </is>
      </c>
      <c r="M16" s="158" t="n"/>
      <c r="N16" s="114" t="inlineStr">
        <is>
          <t xml:space="preserve">ugadi flowers </t>
        </is>
      </c>
      <c r="O16" s="114" t="n">
        <v>450</v>
      </c>
      <c r="P16" s="162" t="n"/>
    </row>
    <row r="17" ht="14.25" customHeight="1" s="366">
      <c r="A17" s="32" t="n">
        <v>302</v>
      </c>
      <c r="B17" s="30" t="n">
        <v>139.7</v>
      </c>
      <c r="C17" s="30" t="n">
        <v>144.42</v>
      </c>
      <c r="D17" s="29">
        <f>(C17-B17)*1000</f>
        <v/>
      </c>
      <c r="E17" s="64">
        <f>ROUND(D17*D23,0)</f>
        <v/>
      </c>
      <c r="F17" s="29" t="n">
        <v>1200</v>
      </c>
      <c r="G17" s="29">
        <f>SUM(E17,F17)</f>
        <v/>
      </c>
      <c r="H17" s="29" t="n">
        <v>50</v>
      </c>
      <c r="I17" s="29" t="n">
        <v>0</v>
      </c>
      <c r="J17" s="29">
        <f>G17+H17+I17</f>
        <v/>
      </c>
      <c r="K17" s="29" t="n">
        <v>1796</v>
      </c>
      <c r="L17" s="29" t="inlineStr">
        <is>
          <t>received</t>
        </is>
      </c>
      <c r="M17" s="158" t="n"/>
      <c r="N17" s="160" t="inlineStr">
        <is>
          <t>drainage cleaning</t>
        </is>
      </c>
      <c r="O17" s="114" t="n">
        <v>100</v>
      </c>
      <c r="P17" s="162" t="n"/>
    </row>
    <row r="18" ht="14.25" customHeight="1" s="366">
      <c r="A18" s="32" t="n">
        <v>303</v>
      </c>
      <c r="B18" s="30" t="n">
        <v>812.22</v>
      </c>
      <c r="C18" s="30" t="n">
        <v>815.5</v>
      </c>
      <c r="D18" s="29">
        <f>(C18-B18)*1000</f>
        <v/>
      </c>
      <c r="E18" s="64">
        <f>ROUND(D18*D23,0)</f>
        <v/>
      </c>
      <c r="F18" s="29" t="n">
        <v>1200</v>
      </c>
      <c r="G18" s="29">
        <f>SUM(E18,F18)</f>
        <v/>
      </c>
      <c r="H18" s="29" t="n">
        <v>50</v>
      </c>
      <c r="I18" s="29" t="n">
        <v>0</v>
      </c>
      <c r="J18" s="29">
        <f>G18+H18+I18</f>
        <v/>
      </c>
      <c r="K18" s="29" t="n">
        <v>1630</v>
      </c>
      <c r="L18" s="29" t="inlineStr">
        <is>
          <t>received</t>
        </is>
      </c>
      <c r="M18" s="158" t="n"/>
      <c r="N18" s="114" t="inlineStr">
        <is>
          <t>mop</t>
        </is>
      </c>
      <c r="O18" s="114" t="n">
        <v>100</v>
      </c>
    </row>
    <row r="19" ht="14.25" customHeight="1" s="366">
      <c r="A19" s="32" t="n">
        <v>304</v>
      </c>
      <c r="B19" s="30" t="n">
        <v>249.75</v>
      </c>
      <c r="C19" s="30" t="n">
        <v>251.8</v>
      </c>
      <c r="D19" s="29">
        <f>(C19-B19)*1000</f>
        <v/>
      </c>
      <c r="E19" s="64">
        <f>ROUND(D19*D23,0)</f>
        <v/>
      </c>
      <c r="F19" s="29" t="n">
        <v>1200</v>
      </c>
      <c r="G19" s="29">
        <f>SUM(E19,F19)</f>
        <v/>
      </c>
      <c r="H19" s="29" t="n">
        <v>50</v>
      </c>
      <c r="I19" s="29" t="n">
        <v>0</v>
      </c>
      <c r="J19" s="29">
        <f>G19+H19+I19</f>
        <v/>
      </c>
      <c r="K19" s="29" t="n">
        <v>1487</v>
      </c>
      <c r="L19" s="29" t="inlineStr">
        <is>
          <t>received</t>
        </is>
      </c>
      <c r="M19" s="158" t="n"/>
      <c r="N19" s="160" t="inlineStr">
        <is>
          <t>Garbage</t>
        </is>
      </c>
      <c r="O19" s="114" t="n">
        <v>500</v>
      </c>
    </row>
    <row r="20" ht="14.25" customHeight="1" s="366">
      <c r="A20" s="29" t="inlineStr">
        <is>
          <t>Common</t>
        </is>
      </c>
      <c r="B20" s="30" t="n">
        <v>259.38</v>
      </c>
      <c r="C20" s="30" t="n">
        <v>272.58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 t="n"/>
      <c r="J20" s="29">
        <f>G20+H20</f>
        <v/>
      </c>
      <c r="K20" s="29" t="n"/>
      <c r="L20" s="29" t="n"/>
      <c r="M20" s="51" t="n"/>
      <c r="N20" s="114" t="n"/>
      <c r="O20" s="114" t="n"/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49">
        <f>SUM(H2:H20)</f>
        <v/>
      </c>
      <c r="I21" s="49" t="n"/>
      <c r="J21" s="49">
        <f>SUM(J2:J20)</f>
        <v/>
      </c>
      <c r="K21" s="49">
        <f>SUM(K2:K19)</f>
        <v/>
      </c>
      <c r="L21" s="49" t="n"/>
      <c r="M21" s="29" t="n"/>
      <c r="N21" s="114" t="n"/>
      <c r="O21" s="114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>
        <f>SUM(E4:E19)</f>
        <v/>
      </c>
      <c r="F22" s="29" t="n"/>
      <c r="G22" s="29" t="n"/>
      <c r="H22" s="29" t="n"/>
      <c r="I22" s="29" t="n"/>
      <c r="J22" s="29" t="n"/>
      <c r="K22" s="29" t="n"/>
      <c r="L22" s="29" t="n"/>
      <c r="M22" s="29" t="n"/>
      <c r="N22" s="121" t="n"/>
      <c r="O22" s="121">
        <f>SUM(O9:O20)</f>
        <v/>
      </c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>
        <f>(K21+O1)-O22</f>
        <v/>
      </c>
      <c r="I23" s="29" t="n"/>
      <c r="J23" s="29" t="n"/>
      <c r="K23" s="29" t="n"/>
      <c r="L23" s="29" t="n"/>
      <c r="M23" s="29" t="n"/>
      <c r="N23" s="152" t="n"/>
      <c r="O23" s="152" t="n"/>
    </row>
    <row r="24" ht="14.25" customHeight="1" s="366">
      <c r="A24" s="119" t="inlineStr">
        <is>
          <t>Total Water Bill</t>
        </is>
      </c>
      <c r="B24" s="30" t="n">
        <v>13000</v>
      </c>
      <c r="C24" s="119" t="inlineStr">
        <is>
          <t xml:space="preserve">WATER Tankers(13)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114" t="n"/>
      <c r="O24" s="114" t="n"/>
    </row>
  </sheetData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D13" sqref="D13"/>
    </sheetView>
  </sheetViews>
  <sheetFormatPr baseColWidth="8" defaultColWidth="14.42578125" defaultRowHeight="15" customHeight="1"/>
  <cols>
    <col width="9" customWidth="1" style="366" min="1" max="1"/>
    <col width="22.7109375" customWidth="1" style="366" min="2" max="2"/>
    <col width="21.7109375" customWidth="1" style="366" min="3" max="3"/>
    <col width="10.5703125" customWidth="1" style="366" min="4" max="4"/>
    <col width="9.85546875" customWidth="1" style="366" min="5" max="5"/>
    <col width="21" customWidth="1" style="366" min="6" max="6"/>
    <col width="17.85546875" customWidth="1" style="366" min="7" max="7"/>
    <col width="16.140625" customWidth="1" style="366" min="8" max="8"/>
    <col width="16.42578125" customWidth="1" style="366" min="9" max="9"/>
    <col width="6.7109375" customWidth="1" style="366" min="10" max="10"/>
    <col width="15.7109375" customWidth="1" style="366" min="11" max="11"/>
    <col width="14.5703125" customWidth="1" style="366" min="12" max="12"/>
    <col width="14.85546875" customWidth="1" style="366" min="13" max="13"/>
    <col width="49.7109375" customWidth="1" style="366" min="14" max="14"/>
    <col width="7" customWidth="1" style="366" min="15" max="15"/>
    <col width="10.42578125" customWidth="1" style="366" min="16" max="16"/>
    <col width="8.7109375" customWidth="1" style="366" min="17" max="26"/>
  </cols>
  <sheetData>
    <row r="1" ht="14.25" customHeight="1" s="366">
      <c r="A1" s="49" t="inlineStr">
        <is>
          <t>Common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>Dussera Payment</t>
        </is>
      </c>
      <c r="J1" s="146" t="inlineStr">
        <is>
          <t xml:space="preserve">Topay </t>
        </is>
      </c>
      <c r="K1" s="146" t="inlineStr">
        <is>
          <t>Receive Amount</t>
        </is>
      </c>
      <c r="L1" s="146" t="n"/>
      <c r="M1" s="146" t="inlineStr">
        <is>
          <t>Payment Status</t>
        </is>
      </c>
      <c r="N1" s="154" t="inlineStr">
        <is>
          <t>Balance amount (MAR)-24</t>
        </is>
      </c>
      <c r="O1" s="151" t="n">
        <v>20255</v>
      </c>
      <c r="P1" s="160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 t="n">
        <v>0</v>
      </c>
      <c r="J2" s="29">
        <f>G2+H2</f>
        <v/>
      </c>
      <c r="K2" s="29" t="n">
        <v>300</v>
      </c>
      <c r="L2" s="29" t="n"/>
      <c r="M2" s="158" t="inlineStr">
        <is>
          <t>Received</t>
        </is>
      </c>
      <c r="N2" s="148" t="inlineStr">
        <is>
          <t>SUBBARAO GARU</t>
        </is>
      </c>
      <c r="O2" s="149" t="n">
        <v>0</v>
      </c>
      <c r="P2" s="160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0</v>
      </c>
      <c r="J3" s="29">
        <f>G3+H3</f>
        <v/>
      </c>
      <c r="K3" s="29" t="n">
        <v>300</v>
      </c>
      <c r="L3" s="29" t="n"/>
      <c r="M3" s="158" t="inlineStr">
        <is>
          <t>Received</t>
        </is>
      </c>
      <c r="N3" s="148" t="n"/>
      <c r="O3" s="148" t="n"/>
      <c r="P3" s="160" t="n"/>
    </row>
    <row r="4" ht="14.25" customHeight="1" s="366">
      <c r="A4" s="32" t="inlineStr">
        <is>
          <t>G1</t>
        </is>
      </c>
      <c r="B4" s="30" t="n">
        <v>86.23999999999999</v>
      </c>
      <c r="C4" s="30" t="n">
        <v>95.54000000000001</v>
      </c>
      <c r="D4" s="29">
        <f>(C4-B4)*1000</f>
        <v/>
      </c>
      <c r="E4" s="64">
        <f>ROUND(D4*D23,0)</f>
        <v/>
      </c>
      <c r="F4" s="29" t="n">
        <v>1200</v>
      </c>
      <c r="G4" s="29">
        <f>SUM(E4,F4)</f>
        <v/>
      </c>
      <c r="H4" s="29" t="n">
        <v>50</v>
      </c>
      <c r="I4" s="29" t="n">
        <v>0</v>
      </c>
      <c r="J4" s="29">
        <f>G4+H4+I4</f>
        <v/>
      </c>
      <c r="K4" s="156" t="n">
        <v>2395</v>
      </c>
      <c r="L4" s="156" t="n"/>
      <c r="M4" s="158" t="inlineStr">
        <is>
          <t>Received</t>
        </is>
      </c>
      <c r="N4" s="160" t="n"/>
      <c r="O4" s="160" t="n"/>
      <c r="P4" s="160" t="n"/>
    </row>
    <row r="5" ht="14.25" customHeight="1" s="366">
      <c r="A5" s="32" t="inlineStr">
        <is>
          <t>G2</t>
        </is>
      </c>
      <c r="B5" s="30" t="n">
        <v>188.49</v>
      </c>
      <c r="C5" s="30" t="n">
        <v>190.41</v>
      </c>
      <c r="D5" s="29">
        <f>(C5-B5)*1000</f>
        <v/>
      </c>
      <c r="E5" s="64">
        <f>ROUND(D5*D23,0)</f>
        <v/>
      </c>
      <c r="F5" s="29" t="n">
        <v>1200</v>
      </c>
      <c r="G5" s="29">
        <f>SUM(E5,F5)</f>
        <v/>
      </c>
      <c r="H5" s="29" t="n">
        <v>50</v>
      </c>
      <c r="I5" s="29" t="n">
        <v>0</v>
      </c>
      <c r="J5" s="29">
        <f>G5+H5+I5</f>
        <v/>
      </c>
      <c r="K5" s="29" t="n">
        <v>1486</v>
      </c>
      <c r="L5" s="29" t="n"/>
      <c r="M5" s="158" t="inlineStr">
        <is>
          <t>Received</t>
        </is>
      </c>
      <c r="N5" s="114" t="n"/>
      <c r="O5" s="114" t="n"/>
      <c r="P5" s="160" t="n"/>
    </row>
    <row r="6" ht="14.25" customHeight="1" s="366">
      <c r="A6" s="32" t="inlineStr">
        <is>
          <t>G3</t>
        </is>
      </c>
      <c r="B6" s="30" t="n">
        <v>381.43</v>
      </c>
      <c r="C6" s="30" t="n">
        <v>383.92</v>
      </c>
      <c r="D6" s="29">
        <f>(C6-B6)*1000</f>
        <v/>
      </c>
      <c r="E6" s="64">
        <f>ROUND(D6*D23,0)</f>
        <v/>
      </c>
      <c r="F6" s="29" t="n">
        <v>1200</v>
      </c>
      <c r="G6" s="29">
        <f>SUM(E6,F6)</f>
        <v/>
      </c>
      <c r="H6" s="29" t="n">
        <v>50</v>
      </c>
      <c r="I6" s="29" t="n">
        <v>0</v>
      </c>
      <c r="J6" s="29">
        <f>G6+H6+I6</f>
        <v/>
      </c>
      <c r="K6" s="29" t="n">
        <v>1557</v>
      </c>
      <c r="L6" s="29" t="n"/>
      <c r="M6" s="158" t="inlineStr">
        <is>
          <t>Received</t>
        </is>
      </c>
      <c r="N6" s="114" t="n"/>
      <c r="O6" s="114" t="n"/>
      <c r="P6" s="160" t="n"/>
    </row>
    <row r="7" ht="14.25" customHeight="1" s="366">
      <c r="A7" s="32" t="inlineStr">
        <is>
          <t>G4</t>
        </is>
      </c>
      <c r="B7" s="30" t="n">
        <v>296.48</v>
      </c>
      <c r="C7" s="30" t="n">
        <v>304.13</v>
      </c>
      <c r="D7" s="29">
        <f>(C7-B7)*1000</f>
        <v/>
      </c>
      <c r="E7" s="64">
        <f>ROUND(D7*D23,0)</f>
        <v/>
      </c>
      <c r="F7" s="29" t="n">
        <v>1200</v>
      </c>
      <c r="G7" s="29">
        <f>SUM(E7,F7)</f>
        <v/>
      </c>
      <c r="H7" s="29" t="n">
        <v>50</v>
      </c>
      <c r="I7" s="29" t="n">
        <v>0</v>
      </c>
      <c r="J7" s="29">
        <f>G7+H7+I7</f>
        <v/>
      </c>
      <c r="K7" s="29" t="n">
        <v>2192</v>
      </c>
      <c r="L7" s="29" t="n"/>
      <c r="M7" s="158" t="inlineStr">
        <is>
          <t>Received</t>
        </is>
      </c>
      <c r="N7" s="114" t="n"/>
      <c r="O7" s="114" t="n"/>
      <c r="P7" s="160" t="n"/>
    </row>
    <row r="8" ht="14.25" customHeight="1" s="366">
      <c r="A8" s="32" t="n">
        <v>101</v>
      </c>
      <c r="B8" s="30" t="n">
        <v>47</v>
      </c>
      <c r="C8" s="30" t="n">
        <v>51.76</v>
      </c>
      <c r="D8" s="29">
        <f>(C8-B8)*1000</f>
        <v/>
      </c>
      <c r="E8" s="64">
        <f>ROUND(D8*D23,0)</f>
        <v/>
      </c>
      <c r="F8" s="29" t="n">
        <v>1200</v>
      </c>
      <c r="G8" s="29">
        <f>SUM(E8,F8)</f>
        <v/>
      </c>
      <c r="H8" s="29" t="n">
        <v>50</v>
      </c>
      <c r="I8" s="29" t="n">
        <v>0</v>
      </c>
      <c r="J8" s="29">
        <f>G8+H8+I8</f>
        <v/>
      </c>
      <c r="K8" s="29" t="n">
        <v>1836</v>
      </c>
      <c r="L8" s="29" t="n"/>
      <c r="M8" s="158" t="inlineStr">
        <is>
          <t>Received</t>
        </is>
      </c>
      <c r="N8" s="153" t="inlineStr">
        <is>
          <t>Expenditures</t>
        </is>
      </c>
      <c r="O8" s="153" t="n"/>
      <c r="P8" s="160" t="n"/>
    </row>
    <row r="9" ht="14.25" customHeight="1" s="366">
      <c r="A9" s="32" t="n">
        <v>102</v>
      </c>
      <c r="B9" s="30" t="n">
        <v>553.83</v>
      </c>
      <c r="C9" s="30" t="n">
        <v>559.71</v>
      </c>
      <c r="D9" s="29">
        <f>(C9-B9)*1000</f>
        <v/>
      </c>
      <c r="E9" s="64">
        <f>ROUND(D9*D23,0)</f>
        <v/>
      </c>
      <c r="F9" s="29" t="n">
        <v>1200</v>
      </c>
      <c r="G9" s="29">
        <f>SUM(E9,F9)</f>
        <v/>
      </c>
      <c r="H9" s="29" t="n">
        <v>50</v>
      </c>
      <c r="I9" s="29" t="n">
        <v>0</v>
      </c>
      <c r="J9" s="29">
        <f>G9+H9+I9</f>
        <v/>
      </c>
      <c r="K9" s="29" t="n">
        <v>1974</v>
      </c>
      <c r="L9" s="29" t="n"/>
      <c r="M9" s="158" t="inlineStr">
        <is>
          <t>Received</t>
        </is>
      </c>
      <c r="N9" s="114" t="inlineStr">
        <is>
          <t>watchman salary</t>
        </is>
      </c>
      <c r="O9" s="128" t="n">
        <v>6500</v>
      </c>
      <c r="P9" s="161" t="n">
        <v>45414</v>
      </c>
    </row>
    <row r="10" ht="14.25" customHeight="1" s="366">
      <c r="A10" s="32" t="n">
        <v>103</v>
      </c>
      <c r="B10" s="30" t="n">
        <v>194.32</v>
      </c>
      <c r="C10" s="30" t="n">
        <v>195.81</v>
      </c>
      <c r="D10" s="29">
        <f>(C10-B10)*1000</f>
        <v/>
      </c>
      <c r="E10" s="64">
        <f>ROUND(D10*D23,0)</f>
        <v/>
      </c>
      <c r="F10" s="29" t="n">
        <v>1200</v>
      </c>
      <c r="G10" s="29">
        <f>SUM(E10,F10)</f>
        <v/>
      </c>
      <c r="H10" s="29" t="n">
        <v>50</v>
      </c>
      <c r="I10" s="29" t="n">
        <v>0</v>
      </c>
      <c r="J10" s="29">
        <f>G10+H10+I10</f>
        <v/>
      </c>
      <c r="K10" s="29" t="n">
        <v>1433</v>
      </c>
      <c r="L10" s="29" t="n"/>
      <c r="M10" s="158" t="inlineStr">
        <is>
          <t>Received</t>
        </is>
      </c>
      <c r="N10" s="160" t="inlineStr">
        <is>
          <t xml:space="preserve">Common water </t>
        </is>
      </c>
      <c r="O10" s="160" t="n">
        <v>2044</v>
      </c>
      <c r="P10" s="161" t="n">
        <v>45414</v>
      </c>
    </row>
    <row r="11" ht="14.25" customHeight="1" s="366">
      <c r="A11" s="32" t="n">
        <v>104</v>
      </c>
      <c r="B11" s="163" t="n">
        <v>450</v>
      </c>
      <c r="C11" s="30" t="n">
        <v>457.33</v>
      </c>
      <c r="D11" s="29">
        <f>(C11-B11)*1000</f>
        <v/>
      </c>
      <c r="E11" s="64">
        <f>ROUND(D11*D23,0)</f>
        <v/>
      </c>
      <c r="F11" s="29" t="n">
        <v>1200</v>
      </c>
      <c r="G11" s="29">
        <f>SUM(E11,F11)</f>
        <v/>
      </c>
      <c r="H11" s="29" t="n">
        <v>50</v>
      </c>
      <c r="I11" s="29" t="n">
        <v>0</v>
      </c>
      <c r="J11" s="29">
        <f>G11+H11+I11</f>
        <v/>
      </c>
      <c r="K11" s="29" t="n">
        <v>2153</v>
      </c>
      <c r="L11" s="29" t="n"/>
      <c r="M11" s="158" t="inlineStr">
        <is>
          <t>Received</t>
        </is>
      </c>
      <c r="N11" s="160" t="inlineStr">
        <is>
          <t>common power</t>
        </is>
      </c>
      <c r="O11" s="160" t="n">
        <v>1058</v>
      </c>
      <c r="P11" s="161" t="n">
        <v>45417</v>
      </c>
    </row>
    <row r="12" ht="14.25" customHeight="1" s="366">
      <c r="A12" s="32" t="n">
        <v>201</v>
      </c>
      <c r="B12" s="30" t="n">
        <v>103.53</v>
      </c>
      <c r="C12" s="30" t="n">
        <v>108.24</v>
      </c>
      <c r="D12" s="29">
        <f>(C12-B12)*1000</f>
        <v/>
      </c>
      <c r="E12" s="64">
        <f>ROUND(D12*D23,0)</f>
        <v/>
      </c>
      <c r="F12" s="29" t="n">
        <v>1200</v>
      </c>
      <c r="G12" s="29">
        <f>SUM(E12,F12)</f>
        <v/>
      </c>
      <c r="H12" s="29" t="n">
        <v>50</v>
      </c>
      <c r="I12" s="29" t="n">
        <v>0</v>
      </c>
      <c r="J12" s="29">
        <f>G12+H12+I12</f>
        <v/>
      </c>
      <c r="K12" s="29" t="n">
        <v>1830</v>
      </c>
      <c r="L12" s="29" t="n"/>
      <c r="M12" s="158" t="inlineStr">
        <is>
          <t>Received</t>
        </is>
      </c>
      <c r="N12" s="160" t="inlineStr">
        <is>
          <t>tanker</t>
        </is>
      </c>
      <c r="O12" s="160" t="n">
        <v>13000</v>
      </c>
      <c r="P12" s="161" t="n">
        <v>45417</v>
      </c>
    </row>
    <row r="13" ht="14.25" customHeight="1" s="366">
      <c r="A13" s="32" t="n">
        <v>202</v>
      </c>
      <c r="B13" s="30" t="n">
        <v>257.5</v>
      </c>
      <c r="C13" s="30" t="n">
        <v>261.68</v>
      </c>
      <c r="D13" s="29">
        <f>(C13-B13)*1000</f>
        <v/>
      </c>
      <c r="E13" s="64">
        <f>ROUND(D13*D23,0)</f>
        <v/>
      </c>
      <c r="F13" s="29" t="n">
        <v>1200</v>
      </c>
      <c r="G13" s="29">
        <f>SUM(E13,F13)</f>
        <v/>
      </c>
      <c r="H13" s="29" t="n">
        <v>50</v>
      </c>
      <c r="I13" s="29" t="n">
        <v>0</v>
      </c>
      <c r="J13" s="29">
        <f>G13+H13+I13</f>
        <v/>
      </c>
      <c r="K13" s="29" t="n">
        <v>1765</v>
      </c>
      <c r="L13" s="29" t="n"/>
      <c r="M13" s="158" t="inlineStr">
        <is>
          <t>Received</t>
        </is>
      </c>
      <c r="N13" s="114" t="inlineStr">
        <is>
          <t>tankers- cost increase</t>
        </is>
      </c>
      <c r="O13" s="114" t="n">
        <v>3250</v>
      </c>
      <c r="P13" s="161" t="n">
        <v>45417</v>
      </c>
    </row>
    <row r="14" ht="14.25" customHeight="1" s="366">
      <c r="A14" s="32" t="n">
        <v>203</v>
      </c>
      <c r="B14" s="163" t="n">
        <v>343.2</v>
      </c>
      <c r="C14" s="30" t="n">
        <v>348.4</v>
      </c>
      <c r="D14" s="29">
        <f>(C14-B14)*1000</f>
        <v/>
      </c>
      <c r="E14" s="64">
        <f>ROUND(D14*D23,0)</f>
        <v/>
      </c>
      <c r="F14" s="29" t="n">
        <v>1200</v>
      </c>
      <c r="G14" s="29">
        <f>SUM(E14,F14)</f>
        <v/>
      </c>
      <c r="H14" s="29" t="n">
        <v>50</v>
      </c>
      <c r="I14" s="29" t="n">
        <v>0</v>
      </c>
      <c r="J14" s="29">
        <f>G14+H14+I14</f>
        <v/>
      </c>
      <c r="K14" s="29" t="n">
        <v>1890</v>
      </c>
      <c r="L14" s="29" t="n"/>
      <c r="M14" s="158" t="inlineStr">
        <is>
          <t>Received</t>
        </is>
      </c>
      <c r="N14" s="114" t="inlineStr">
        <is>
          <t>garbage</t>
        </is>
      </c>
      <c r="O14" s="114" t="n">
        <v>800</v>
      </c>
      <c r="P14" s="161" t="n">
        <v>45419</v>
      </c>
    </row>
    <row r="15" ht="14.25" customHeight="1" s="366">
      <c r="A15" s="32" t="n">
        <v>204</v>
      </c>
      <c r="B15" s="30" t="n">
        <v>247.29</v>
      </c>
      <c r="C15" s="30" t="n">
        <v>251.81</v>
      </c>
      <c r="D15" s="29">
        <f>(C15-B15)*1000</f>
        <v/>
      </c>
      <c r="E15" s="64">
        <f>ROUND(D15*D23,0)</f>
        <v/>
      </c>
      <c r="F15" s="29" t="n">
        <v>1200</v>
      </c>
      <c r="G15" s="29">
        <f>SUM(E15,F15)</f>
        <v/>
      </c>
      <c r="H15" s="29" t="n">
        <v>50</v>
      </c>
      <c r="I15" s="29" t="n">
        <v>0</v>
      </c>
      <c r="J15" s="29">
        <f>G15+H15+I15</f>
        <v/>
      </c>
      <c r="K15" s="29" t="n">
        <v>1807</v>
      </c>
      <c r="L15" s="29" t="n"/>
      <c r="M15" s="158" t="inlineStr">
        <is>
          <t>Received</t>
        </is>
      </c>
      <c r="N15" s="114" t="inlineStr">
        <is>
          <t>Muggu</t>
        </is>
      </c>
      <c r="O15" s="114" t="n">
        <v>100</v>
      </c>
      <c r="P15" s="161" t="n">
        <v>45432</v>
      </c>
    </row>
    <row r="16" ht="14.25" customHeight="1" s="366">
      <c r="A16" s="32" t="n">
        <v>301</v>
      </c>
      <c r="B16" s="30" t="n">
        <v>49.13</v>
      </c>
      <c r="C16" s="30" t="n">
        <v>52.5</v>
      </c>
      <c r="D16" s="29">
        <f>(C16-B16)*1000</f>
        <v/>
      </c>
      <c r="E16" s="64">
        <f>ROUND(D16*D23,0)</f>
        <v/>
      </c>
      <c r="F16" s="29" t="n">
        <v>1200</v>
      </c>
      <c r="G16" s="29">
        <f>SUM(E16,F16)</f>
        <v/>
      </c>
      <c r="H16" s="29" t="n">
        <v>50</v>
      </c>
      <c r="I16" s="29" t="n">
        <v>0</v>
      </c>
      <c r="J16" s="29">
        <f>G16+H16+I16</f>
        <v/>
      </c>
      <c r="K16" s="29" t="n">
        <v>1665</v>
      </c>
      <c r="L16" s="29" t="n"/>
      <c r="M16" s="158" t="inlineStr">
        <is>
          <t>Received</t>
        </is>
      </c>
      <c r="N16" s="114" t="n"/>
      <c r="O16" s="114" t="n"/>
      <c r="P16" s="160" t="n"/>
    </row>
    <row r="17" ht="14.25" customHeight="1" s="366">
      <c r="A17" s="32" t="n">
        <v>302</v>
      </c>
      <c r="B17" s="163" t="n">
        <v>144.42</v>
      </c>
      <c r="C17" s="30" t="n">
        <v>149.14</v>
      </c>
      <c r="D17" s="29">
        <f>(C17-B17)*1000</f>
        <v/>
      </c>
      <c r="E17" s="64">
        <f>ROUND(D17*D23,0)</f>
        <v/>
      </c>
      <c r="F17" s="29" t="n">
        <v>1200</v>
      </c>
      <c r="G17" s="29">
        <f>SUM(E17,F17)</f>
        <v/>
      </c>
      <c r="H17" s="29" t="n">
        <v>50</v>
      </c>
      <c r="I17" s="29" t="n">
        <v>0</v>
      </c>
      <c r="J17" s="29">
        <f>G17+H17+I17</f>
        <v/>
      </c>
      <c r="K17" s="29" t="n">
        <v>1831</v>
      </c>
      <c r="L17" s="29" t="inlineStr">
        <is>
          <t>Meter Problem</t>
        </is>
      </c>
      <c r="M17" s="158" t="inlineStr">
        <is>
          <t>Received</t>
        </is>
      </c>
      <c r="N17" s="160" t="n"/>
      <c r="O17" s="114" t="n"/>
      <c r="P17" s="160" t="n"/>
    </row>
    <row r="18" ht="14.25" customHeight="1" s="366">
      <c r="A18" s="32" t="n">
        <v>303</v>
      </c>
      <c r="B18" s="30" t="n">
        <v>815.5</v>
      </c>
      <c r="C18" s="30" t="n">
        <v>831.5599999999999</v>
      </c>
      <c r="D18" s="29">
        <f>(C18-B18)*1000</f>
        <v/>
      </c>
      <c r="E18" s="64">
        <f>ROUND(D18*D23,0)</f>
        <v/>
      </c>
      <c r="F18" s="29" t="n">
        <v>1200</v>
      </c>
      <c r="G18" s="29">
        <f>SUM(E18,F18)</f>
        <v/>
      </c>
      <c r="H18" s="29" t="n">
        <v>50</v>
      </c>
      <c r="I18" s="29" t="n">
        <v>0</v>
      </c>
      <c r="J18" s="29">
        <f>G18+H18+I18</f>
        <v/>
      </c>
      <c r="K18" s="29" t="n">
        <v>3227</v>
      </c>
      <c r="L18" s="29" t="n"/>
      <c r="M18" s="158" t="inlineStr">
        <is>
          <t>Received</t>
        </is>
      </c>
      <c r="N18" s="114" t="n"/>
      <c r="O18" s="114" t="n"/>
      <c r="P18" s="160" t="n"/>
    </row>
    <row r="19" ht="14.25" customHeight="1" s="366">
      <c r="A19" s="32" t="n">
        <v>304</v>
      </c>
      <c r="B19" s="30" t="n">
        <v>251.8</v>
      </c>
      <c r="C19" s="30" t="n">
        <v>262.78</v>
      </c>
      <c r="D19" s="29">
        <f>(C19-B19)*1000</f>
        <v/>
      </c>
      <c r="E19" s="64">
        <f>ROUND(D19*D23,0)</f>
        <v/>
      </c>
      <c r="F19" s="29" t="n">
        <v>1200</v>
      </c>
      <c r="G19" s="29">
        <f>SUM(E19,F19)</f>
        <v/>
      </c>
      <c r="H19" s="29" t="n">
        <v>50</v>
      </c>
      <c r="I19" s="29" t="n">
        <v>0</v>
      </c>
      <c r="J19" s="29">
        <f>G19+H19+I19</f>
        <v/>
      </c>
      <c r="K19" s="29" t="n">
        <v>2602</v>
      </c>
      <c r="L19" s="29" t="n"/>
      <c r="M19" s="158" t="inlineStr">
        <is>
          <t>Received</t>
        </is>
      </c>
      <c r="N19" s="160" t="n"/>
      <c r="O19" s="114" t="n"/>
      <c r="P19" s="160" t="n"/>
    </row>
    <row r="20" ht="14.25" customHeight="1" s="366">
      <c r="A20" s="29" t="inlineStr">
        <is>
          <t>Common</t>
        </is>
      </c>
      <c r="B20" s="30" t="n">
        <v>272.58</v>
      </c>
      <c r="C20" s="30" t="n">
        <v>283.599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 t="n"/>
      <c r="J20" s="29">
        <f>G20+H20</f>
        <v/>
      </c>
      <c r="K20" s="29" t="n"/>
      <c r="L20" s="29" t="n"/>
      <c r="M20" s="51" t="n"/>
      <c r="N20" s="114" t="n"/>
      <c r="O20" s="114" t="n"/>
      <c r="P20" s="160" t="n"/>
    </row>
    <row r="21" ht="14.25" customHeight="1" s="366">
      <c r="A21" s="29" t="n"/>
      <c r="B21" s="29" t="n"/>
      <c r="C21" s="29" t="n"/>
      <c r="D21" s="29" t="n"/>
      <c r="E21" s="49" t="n"/>
      <c r="F21" s="49" t="n"/>
      <c r="G21" s="49" t="n"/>
      <c r="H21" s="49">
        <f>SUM(H2:H20)</f>
        <v/>
      </c>
      <c r="I21" s="49" t="n"/>
      <c r="J21" s="49">
        <f>SUM(J2:J20)</f>
        <v/>
      </c>
      <c r="K21" s="49">
        <f>SUM(K2:K19)</f>
        <v/>
      </c>
      <c r="L21" s="49" t="n"/>
      <c r="M21" s="29" t="n"/>
      <c r="N21" s="114" t="n"/>
      <c r="O21" s="114" t="n"/>
      <c r="P21" s="160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>
        <f>SUM(E4:E19)</f>
        <v/>
      </c>
      <c r="F22" s="29" t="n"/>
      <c r="G22" s="29" t="n"/>
      <c r="H22" s="29" t="n"/>
      <c r="I22" s="29" t="n"/>
      <c r="J22" s="29" t="n"/>
      <c r="K22" s="29" t="n"/>
      <c r="L22" s="29" t="n"/>
      <c r="M22" s="29" t="n"/>
      <c r="N22" s="121" t="n"/>
      <c r="O22" s="121">
        <f>SUM(O9:O20)</f>
        <v/>
      </c>
      <c r="P22" s="160" t="n"/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>
        <f>(K21+O1)-O22</f>
        <v/>
      </c>
      <c r="I23" s="29" t="n"/>
      <c r="J23" s="29" t="n"/>
      <c r="K23" s="29" t="n"/>
      <c r="L23" s="29" t="n"/>
      <c r="M23" s="29" t="n"/>
      <c r="N23" s="152" t="n"/>
      <c r="O23" s="152" t="n"/>
      <c r="P23" s="160" t="n"/>
    </row>
    <row r="24" ht="14.25" customHeight="1" s="366">
      <c r="A24" s="119" t="inlineStr">
        <is>
          <t>Total Water Bill</t>
        </is>
      </c>
      <c r="B24" s="30" t="n">
        <v>13000</v>
      </c>
      <c r="C24" s="119" t="inlineStr">
        <is>
          <t xml:space="preserve">WATER Tankers(13)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114" t="inlineStr">
        <is>
          <t xml:space="preserve">Revised Tanker cost @1250 per tanker </t>
        </is>
      </c>
      <c r="O24" s="114" t="n"/>
      <c r="P24" s="160" t="n"/>
    </row>
  </sheetData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42"/>
  <sheetViews>
    <sheetView zoomScale="79" workbookViewId="0">
      <selection activeCell="I30" sqref="I30"/>
    </sheetView>
  </sheetViews>
  <sheetFormatPr baseColWidth="8" defaultColWidth="14.42578125" defaultRowHeight="15" customHeight="1"/>
  <cols>
    <col width="9" customWidth="1" style="366" min="1" max="1"/>
    <col width="22.7109375" customWidth="1" style="366" min="2" max="2"/>
    <col width="21.7109375" customWidth="1" style="366" min="3" max="3"/>
    <col width="10.5703125" customWidth="1" style="366" min="4" max="4"/>
    <col width="9.85546875" customWidth="1" style="366" min="5" max="5"/>
    <col width="21" customWidth="1" style="366" min="6" max="6"/>
    <col width="17.85546875" customWidth="1" style="366" min="7" max="7"/>
    <col width="16.140625" customWidth="1" style="366" min="8" max="8"/>
    <col width="16.42578125" customWidth="1" style="366" min="9" max="9"/>
    <col width="6.7109375" customWidth="1" style="366" min="10" max="10"/>
    <col width="15.7109375" customWidth="1" style="366" min="11" max="11"/>
    <col width="14.5703125" customWidth="1" style="366" min="12" max="12"/>
    <col width="14.85546875" customWidth="1" style="366" min="13" max="13"/>
    <col width="49.7109375" customWidth="1" style="366" min="14" max="14"/>
    <col width="7" customWidth="1" style="366" min="15" max="15"/>
    <col width="32.7109375" customWidth="1" style="366" min="16" max="16"/>
    <col width="8.7109375" customWidth="1" style="366" min="17" max="26"/>
  </cols>
  <sheetData>
    <row r="1" ht="14.25" customHeight="1" s="366">
      <c r="A1" s="49" t="inlineStr">
        <is>
          <t>Common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>Dussera Payment</t>
        </is>
      </c>
      <c r="J1" s="146" t="inlineStr">
        <is>
          <t xml:space="preserve">Topay </t>
        </is>
      </c>
      <c r="K1" s="146" t="inlineStr">
        <is>
          <t>Receive Amount</t>
        </is>
      </c>
      <c r="L1" s="146" t="n"/>
      <c r="M1" s="146" t="inlineStr">
        <is>
          <t>Payment Status</t>
        </is>
      </c>
      <c r="N1" s="154" t="inlineStr">
        <is>
          <t>Balance amount (MAY)-24</t>
        </is>
      </c>
      <c r="O1" s="151" t="n">
        <v>25746</v>
      </c>
      <c r="P1" s="160" t="n"/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 t="n">
        <v>0</v>
      </c>
      <c r="J2" s="29">
        <f>G2+H2</f>
        <v/>
      </c>
      <c r="K2" s="29" t="n">
        <v>300</v>
      </c>
      <c r="L2" s="29" t="n"/>
      <c r="M2" s="158" t="inlineStr">
        <is>
          <t>Received</t>
        </is>
      </c>
      <c r="N2" s="160" t="n"/>
      <c r="O2" s="160" t="n"/>
      <c r="P2" s="160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0</v>
      </c>
      <c r="J3" s="29">
        <f>G3+H3</f>
        <v/>
      </c>
      <c r="K3" s="29" t="n">
        <v>300</v>
      </c>
      <c r="L3" s="29" t="n"/>
      <c r="M3" s="158" t="inlineStr">
        <is>
          <t>Received</t>
        </is>
      </c>
      <c r="N3" s="160" t="n"/>
      <c r="O3" s="160" t="n"/>
      <c r="P3" s="160" t="n"/>
    </row>
    <row r="4" ht="14.25" customHeight="1" s="366">
      <c r="A4" s="32" t="inlineStr">
        <is>
          <t>G1</t>
        </is>
      </c>
      <c r="B4" s="30" t="n">
        <v>95.54000000000001</v>
      </c>
      <c r="C4" s="30" t="n">
        <v>96.43000000000001</v>
      </c>
      <c r="D4" s="29">
        <f>(C4-B4)*1000</f>
        <v/>
      </c>
      <c r="E4" s="64">
        <f>ROUND(D4*D23,0)</f>
        <v/>
      </c>
      <c r="F4" s="29" t="n">
        <v>1200</v>
      </c>
      <c r="G4" s="29">
        <f>SUM(E4,F4)</f>
        <v/>
      </c>
      <c r="H4" s="29" t="n">
        <v>50</v>
      </c>
      <c r="I4" s="29" t="n">
        <v>0</v>
      </c>
      <c r="J4" s="29">
        <f>G4+H4+I4</f>
        <v/>
      </c>
      <c r="K4" s="29" t="n">
        <v>1322</v>
      </c>
      <c r="L4" s="156" t="n"/>
      <c r="M4" s="158" t="inlineStr">
        <is>
          <t>Received</t>
        </is>
      </c>
      <c r="N4" s="160" t="n"/>
      <c r="O4" s="160" t="n"/>
      <c r="P4" s="160" t="n"/>
    </row>
    <row r="5" ht="14.25" customHeight="1" s="366">
      <c r="A5" s="32" t="inlineStr">
        <is>
          <t>G2</t>
        </is>
      </c>
      <c r="B5" s="30" t="n">
        <v>190.41</v>
      </c>
      <c r="C5" s="30" t="n">
        <v>191.71</v>
      </c>
      <c r="D5" s="29">
        <f>(C5-B5)*1000</f>
        <v/>
      </c>
      <c r="E5" s="64">
        <f>ROUND(D5*D23,0)</f>
        <v/>
      </c>
      <c r="F5" s="29" t="n">
        <v>1200</v>
      </c>
      <c r="G5" s="29">
        <f>SUM(E5,F5)</f>
        <v/>
      </c>
      <c r="H5" s="29" t="n">
        <v>50</v>
      </c>
      <c r="I5" s="29" t="n">
        <v>0</v>
      </c>
      <c r="J5" s="29">
        <f>G5+H5+I5</f>
        <v/>
      </c>
      <c r="K5" s="29" t="n">
        <v>1355</v>
      </c>
      <c r="L5" s="29" t="n"/>
      <c r="M5" s="158" t="inlineStr">
        <is>
          <t>Received</t>
        </is>
      </c>
      <c r="N5" s="114" t="n"/>
      <c r="O5" s="114" t="n"/>
      <c r="P5" s="160" t="n"/>
    </row>
    <row r="6" ht="14.25" customHeight="1" s="366">
      <c r="A6" s="32" t="inlineStr">
        <is>
          <t>G3</t>
        </is>
      </c>
      <c r="B6" s="30" t="n">
        <v>383.92</v>
      </c>
      <c r="C6" s="30" t="n">
        <v>384.1</v>
      </c>
      <c r="D6" s="29">
        <f>(C6-B6)*1000</f>
        <v/>
      </c>
      <c r="E6" s="64">
        <f>ROUND(D6*D23,0)</f>
        <v/>
      </c>
      <c r="F6" s="29" t="n">
        <v>1200</v>
      </c>
      <c r="G6" s="29">
        <f>SUM(E6,F6)</f>
        <v/>
      </c>
      <c r="H6" s="29" t="n">
        <v>50</v>
      </c>
      <c r="I6" s="29" t="n">
        <v>0</v>
      </c>
      <c r="J6" s="29">
        <f>G6+H6+I6</f>
        <v/>
      </c>
      <c r="K6" s="29" t="n">
        <v>1265</v>
      </c>
      <c r="L6" s="29" t="n"/>
      <c r="M6" s="158" t="inlineStr">
        <is>
          <t>Received</t>
        </is>
      </c>
      <c r="N6" s="114" t="n"/>
      <c r="O6" s="114" t="n"/>
      <c r="P6" s="160" t="n"/>
    </row>
    <row r="7" ht="14.25" customHeight="1" s="366">
      <c r="A7" s="32" t="inlineStr">
        <is>
          <t>G4</t>
        </is>
      </c>
      <c r="B7" s="30" t="n">
        <v>304.13</v>
      </c>
      <c r="C7" s="30" t="n">
        <v>309.3</v>
      </c>
      <c r="D7" s="29">
        <f>(C7-B7)*1000</f>
        <v/>
      </c>
      <c r="E7" s="64">
        <f>ROUND(D7*D23,0)</f>
        <v/>
      </c>
      <c r="F7" s="29" t="n">
        <v>1200</v>
      </c>
      <c r="G7" s="29">
        <f>SUM(E7,F7)</f>
        <v/>
      </c>
      <c r="H7" s="29" t="n">
        <v>50</v>
      </c>
      <c r="I7" s="29" t="n">
        <v>0</v>
      </c>
      <c r="J7" s="29">
        <f>G7+H7+I7</f>
        <v/>
      </c>
      <c r="K7" s="29" t="n">
        <v>1667</v>
      </c>
      <c r="L7" s="29" t="n"/>
      <c r="M7" s="158" t="inlineStr">
        <is>
          <t>Received</t>
        </is>
      </c>
      <c r="N7" s="114" t="n"/>
      <c r="O7" s="114" t="n"/>
      <c r="P7" s="160" t="n"/>
    </row>
    <row r="8" ht="14.25" customHeight="1" s="366">
      <c r="A8" s="32" t="n">
        <v>101</v>
      </c>
      <c r="B8" s="30" t="n">
        <v>51.76</v>
      </c>
      <c r="C8" s="30" t="n">
        <v>56.02</v>
      </c>
      <c r="D8" s="29">
        <f>(C8-B8)*1000</f>
        <v/>
      </c>
      <c r="E8" s="64">
        <f>ROUND(D8*D23,0)</f>
        <v/>
      </c>
      <c r="F8" s="29" t="n">
        <v>1200</v>
      </c>
      <c r="G8" s="29">
        <f>SUM(E8,F8)</f>
        <v/>
      </c>
      <c r="H8" s="29" t="n">
        <v>50</v>
      </c>
      <c r="I8" s="29" t="n">
        <v>0</v>
      </c>
      <c r="J8" s="29">
        <f>G8+H8+I8</f>
        <v/>
      </c>
      <c r="K8" s="29" t="n">
        <v>1593</v>
      </c>
      <c r="L8" s="29" t="n"/>
      <c r="M8" s="158" t="inlineStr">
        <is>
          <t>Received</t>
        </is>
      </c>
      <c r="N8" s="153" t="inlineStr">
        <is>
          <t>Expenditures</t>
        </is>
      </c>
      <c r="O8" s="153" t="n"/>
      <c r="P8" s="160" t="n"/>
    </row>
    <row r="9" ht="14.25" customHeight="1" s="366">
      <c r="A9" s="32" t="n">
        <v>102</v>
      </c>
      <c r="B9" s="30" t="n">
        <v>559.71</v>
      </c>
      <c r="C9" s="30" t="n">
        <v>562.03</v>
      </c>
      <c r="D9" s="29">
        <f>(C9-B9)*1000</f>
        <v/>
      </c>
      <c r="E9" s="64">
        <f>ROUND(D9*D23,0)</f>
        <v/>
      </c>
      <c r="F9" s="29" t="n">
        <v>1200</v>
      </c>
      <c r="G9" s="29">
        <f>SUM(E9,F9)</f>
        <v/>
      </c>
      <c r="H9" s="29" t="n">
        <v>50</v>
      </c>
      <c r="I9" s="29" t="n">
        <v>0</v>
      </c>
      <c r="J9" s="29">
        <f>G9+H9+I9</f>
        <v/>
      </c>
      <c r="K9" s="29" t="n">
        <v>1437</v>
      </c>
      <c r="L9" s="29" t="n"/>
      <c r="M9" s="158" t="inlineStr">
        <is>
          <t>Received</t>
        </is>
      </c>
      <c r="N9" s="114" t="inlineStr">
        <is>
          <t>watchman salary</t>
        </is>
      </c>
      <c r="O9" s="128" t="n">
        <v>6500</v>
      </c>
      <c r="P9" s="161" t="n"/>
    </row>
    <row r="10" ht="14.25" customHeight="1" s="366">
      <c r="A10" s="32" t="n">
        <v>103</v>
      </c>
      <c r="B10" s="30" t="n">
        <v>195.81</v>
      </c>
      <c r="C10" s="30" t="n">
        <v>200.72</v>
      </c>
      <c r="D10" s="29">
        <f>(C10-B10)*1000</f>
        <v/>
      </c>
      <c r="E10" s="64">
        <f>ROUND(D10*D23,0)</f>
        <v/>
      </c>
      <c r="F10" s="29" t="n">
        <v>1200</v>
      </c>
      <c r="G10" s="29">
        <f>SUM(E10,F10)</f>
        <v/>
      </c>
      <c r="H10" s="29" t="n">
        <v>50</v>
      </c>
      <c r="I10" s="29" t="n">
        <v>0</v>
      </c>
      <c r="J10" s="29">
        <f>G10+H10+I10</f>
        <v/>
      </c>
      <c r="K10" s="29" t="n">
        <v>1646</v>
      </c>
      <c r="L10" s="29" t="n"/>
      <c r="M10" s="158" t="inlineStr">
        <is>
          <t>Received</t>
        </is>
      </c>
      <c r="N10" s="160" t="inlineStr">
        <is>
          <t>Common water (Majeera)</t>
        </is>
      </c>
      <c r="O10" s="160" t="n">
        <v>2044</v>
      </c>
      <c r="P10" s="161" t="n"/>
    </row>
    <row r="11" ht="14.25" customHeight="1" s="366">
      <c r="A11" s="32" t="n">
        <v>104</v>
      </c>
      <c r="B11" s="163" t="n">
        <v>7.33</v>
      </c>
      <c r="C11" s="30" t="n">
        <v>11.44</v>
      </c>
      <c r="D11" s="29">
        <f>(C11-B11)*1000</f>
        <v/>
      </c>
      <c r="E11" s="64">
        <f>ROUND(D11*D23,0)</f>
        <v/>
      </c>
      <c r="F11" s="29" t="n">
        <v>1200</v>
      </c>
      <c r="G11" s="29">
        <f>SUM(E11,F11)</f>
        <v/>
      </c>
      <c r="H11" s="29" t="n">
        <v>50</v>
      </c>
      <c r="I11" s="29" t="n">
        <v>0</v>
      </c>
      <c r="J11" s="29">
        <f>G11+H11+I11</f>
        <v/>
      </c>
      <c r="K11" s="29" t="n">
        <v>1581</v>
      </c>
      <c r="L11" s="29" t="n"/>
      <c r="M11" s="158" t="inlineStr">
        <is>
          <t>Received</t>
        </is>
      </c>
      <c r="N11" s="160" t="inlineStr">
        <is>
          <t>common power</t>
        </is>
      </c>
      <c r="O11" s="160" t="n">
        <v>1767</v>
      </c>
      <c r="P11" s="161" t="n"/>
    </row>
    <row r="12" ht="14.25" customHeight="1" s="366">
      <c r="A12" s="32" t="n">
        <v>201</v>
      </c>
      <c r="B12" s="30" t="n">
        <v>108.24</v>
      </c>
      <c r="C12" s="30" t="n">
        <v>112.87</v>
      </c>
      <c r="D12" s="29">
        <f>(C12-B12)*1000</f>
        <v/>
      </c>
      <c r="E12" s="64">
        <f>ROUND(D12*D23,0)</f>
        <v/>
      </c>
      <c r="F12" s="29" t="n">
        <v>1200</v>
      </c>
      <c r="G12" s="29">
        <f>SUM(E12,F12)</f>
        <v/>
      </c>
      <c r="H12" s="29" t="n">
        <v>50</v>
      </c>
      <c r="I12" s="29" t="n">
        <v>0</v>
      </c>
      <c r="J12" s="29">
        <f>G12+H12+I12</f>
        <v/>
      </c>
      <c r="K12" s="29" t="n">
        <v>1623</v>
      </c>
      <c r="L12" s="29" t="n"/>
      <c r="M12" s="158" t="inlineStr">
        <is>
          <t>Received</t>
        </is>
      </c>
      <c r="N12" s="160" t="inlineStr">
        <is>
          <t>tanker</t>
        </is>
      </c>
      <c r="O12" s="160" t="n">
        <v>11250</v>
      </c>
      <c r="P12" s="161" t="n"/>
    </row>
    <row r="13" ht="14.25" customHeight="1" s="366">
      <c r="A13" s="32" t="n">
        <v>202</v>
      </c>
      <c r="B13" s="30" t="n">
        <v>261.68</v>
      </c>
      <c r="C13" s="30" t="n">
        <v>266.2</v>
      </c>
      <c r="D13" s="29">
        <f>(C13-B13)*1000</f>
        <v/>
      </c>
      <c r="E13" s="64">
        <f>ROUND(D13*D23,0)</f>
        <v/>
      </c>
      <c r="F13" s="29" t="n">
        <v>1200</v>
      </c>
      <c r="G13" s="29">
        <f>SUM(E13,F13)</f>
        <v/>
      </c>
      <c r="H13" s="29" t="n">
        <v>50</v>
      </c>
      <c r="I13" s="29" t="n">
        <v>0</v>
      </c>
      <c r="J13" s="29">
        <f>G13+H13+I13</f>
        <v/>
      </c>
      <c r="K13" s="29" t="n">
        <v>1614</v>
      </c>
      <c r="L13" s="119" t="inlineStr">
        <is>
          <t xml:space="preserve">Meter Problem </t>
        </is>
      </c>
      <c r="M13" s="158" t="inlineStr">
        <is>
          <t>Received</t>
        </is>
      </c>
      <c r="N13" s="204" t="inlineStr">
        <is>
          <t>Generator service</t>
        </is>
      </c>
      <c r="O13" s="204" t="n">
        <v>5000</v>
      </c>
      <c r="P13" s="205" t="inlineStr">
        <is>
          <t>(from Corpus fund)</t>
        </is>
      </c>
    </row>
    <row r="14" ht="14.25" customHeight="1" s="366">
      <c r="A14" s="32" t="n">
        <v>203</v>
      </c>
      <c r="B14" s="163" t="n">
        <v>5.2</v>
      </c>
      <c r="C14" s="30" t="n">
        <v>8.859999999999999</v>
      </c>
      <c r="D14" s="29">
        <f>(C14-B14)*1000</f>
        <v/>
      </c>
      <c r="E14" s="64">
        <f>ROUND(D14*D23,0)</f>
        <v/>
      </c>
      <c r="F14" s="29" t="n">
        <v>1200</v>
      </c>
      <c r="G14" s="29">
        <f>SUM(E14,F14)</f>
        <v/>
      </c>
      <c r="H14" s="29" t="n">
        <v>50</v>
      </c>
      <c r="I14" s="29" t="n">
        <v>0</v>
      </c>
      <c r="J14" s="29">
        <f>G14+H14+I14</f>
        <v/>
      </c>
      <c r="K14" s="29" t="n">
        <v>1545</v>
      </c>
      <c r="L14" s="29" t="n"/>
      <c r="M14" s="158" t="inlineStr">
        <is>
          <t>Received</t>
        </is>
      </c>
      <c r="N14" s="114" t="inlineStr">
        <is>
          <t>garbage</t>
        </is>
      </c>
      <c r="O14" s="114" t="n">
        <v>800</v>
      </c>
      <c r="P14" s="161" t="n"/>
    </row>
    <row r="15" ht="14.25" customHeight="1" s="366">
      <c r="A15" s="32" t="n">
        <v>204</v>
      </c>
      <c r="B15" s="30" t="n">
        <v>251.81</v>
      </c>
      <c r="C15" s="30" t="n">
        <v>256.86</v>
      </c>
      <c r="D15" s="29">
        <f>(C15-B15)*1000</f>
        <v/>
      </c>
      <c r="E15" s="64">
        <f>ROUND(D15*D23,0)</f>
        <v/>
      </c>
      <c r="F15" s="29" t="n">
        <v>1200</v>
      </c>
      <c r="G15" s="29">
        <f>SUM(E15,F15)</f>
        <v/>
      </c>
      <c r="H15" s="29" t="n">
        <v>50</v>
      </c>
      <c r="I15" s="29" t="n">
        <v>0</v>
      </c>
      <c r="J15" s="29">
        <f>G15+H15+I15</f>
        <v/>
      </c>
      <c r="K15" s="29" t="n">
        <v>1657</v>
      </c>
      <c r="L15" s="29" t="n"/>
      <c r="M15" s="158" t="inlineStr">
        <is>
          <t>Received</t>
        </is>
      </c>
      <c r="N15" s="114" t="inlineStr">
        <is>
          <t>Genrator Disel</t>
        </is>
      </c>
      <c r="O15" s="114" t="n">
        <v>191</v>
      </c>
      <c r="P15" s="161" t="n"/>
    </row>
    <row r="16" ht="14.25" customHeight="1" s="366">
      <c r="A16" s="32" t="n">
        <v>301</v>
      </c>
      <c r="B16" s="30" t="n">
        <v>52.5</v>
      </c>
      <c r="C16" s="30" t="n">
        <v>54.23</v>
      </c>
      <c r="D16" s="29">
        <f>(C16-B16)*1000</f>
        <v/>
      </c>
      <c r="E16" s="64">
        <f>ROUND(D16*D23,0)</f>
        <v/>
      </c>
      <c r="F16" s="29" t="n">
        <v>1200</v>
      </c>
      <c r="G16" s="29">
        <f>SUM(E16,F16)</f>
        <v/>
      </c>
      <c r="H16" s="29" t="n">
        <v>50</v>
      </c>
      <c r="I16" s="29" t="n">
        <v>0</v>
      </c>
      <c r="J16" s="29">
        <f>G16+H16+I16</f>
        <v/>
      </c>
      <c r="K16" s="29" t="n">
        <v>1389</v>
      </c>
      <c r="L16" s="29" t="n"/>
      <c r="M16" s="158" t="inlineStr">
        <is>
          <t>Received</t>
        </is>
      </c>
      <c r="N16" s="114" t="inlineStr">
        <is>
          <t>Builb and Genetor Lock</t>
        </is>
      </c>
      <c r="O16" s="114" t="n">
        <v>640</v>
      </c>
      <c r="P16" s="160" t="n"/>
    </row>
    <row r="17" ht="14.25" customHeight="1" s="366">
      <c r="A17" s="32" t="n">
        <v>302</v>
      </c>
      <c r="B17" s="163" t="n">
        <v>149.14</v>
      </c>
      <c r="C17" s="30" t="n">
        <v>153.86</v>
      </c>
      <c r="D17" s="29">
        <f>(C17-B17)*1000</f>
        <v/>
      </c>
      <c r="E17" s="64">
        <f>ROUND(D17*D23,0)</f>
        <v/>
      </c>
      <c r="F17" s="29" t="n">
        <v>1200</v>
      </c>
      <c r="G17" s="29">
        <f>SUM(E17,F17)</f>
        <v/>
      </c>
      <c r="H17" s="29" t="n">
        <v>50</v>
      </c>
      <c r="I17" s="29" t="n">
        <v>0</v>
      </c>
      <c r="J17" s="29">
        <f>G17+H17+I17</f>
        <v/>
      </c>
      <c r="K17" s="29" t="n">
        <v>1630</v>
      </c>
      <c r="L17" s="119" t="inlineStr">
        <is>
          <t xml:space="preserve">Meter Problem </t>
        </is>
      </c>
      <c r="M17" s="158" t="inlineStr">
        <is>
          <t>Received</t>
        </is>
      </c>
      <c r="N17" s="160" t="inlineStr">
        <is>
          <t>Lizol</t>
        </is>
      </c>
      <c r="O17" s="114" t="n">
        <v>364</v>
      </c>
      <c r="P17" s="160" t="n"/>
    </row>
    <row r="18" ht="14.25" customHeight="1" s="366">
      <c r="A18" s="32" t="n">
        <v>303</v>
      </c>
      <c r="B18" s="30" t="n">
        <v>831.5599999999999</v>
      </c>
      <c r="C18" s="30" t="n">
        <v>868.4400000000001</v>
      </c>
      <c r="D18" s="29">
        <f>(C18-B18)*1000</f>
        <v/>
      </c>
      <c r="E18" s="64">
        <f>ROUND(D18*D23,0)</f>
        <v/>
      </c>
      <c r="F18" s="29" t="n">
        <v>1200</v>
      </c>
      <c r="G18" s="29">
        <f>SUM(E18,F18)</f>
        <v/>
      </c>
      <c r="H18" s="29" t="n">
        <v>50</v>
      </c>
      <c r="I18" s="29" t="n">
        <v>0</v>
      </c>
      <c r="J18" s="29">
        <f>G18+H18+I18</f>
        <v/>
      </c>
      <c r="K18" s="29" t="n">
        <v>4222</v>
      </c>
      <c r="L18" s="29" t="n"/>
      <c r="M18" s="158" t="inlineStr">
        <is>
          <t>Received</t>
        </is>
      </c>
      <c r="N18" s="114" t="inlineStr">
        <is>
          <t xml:space="preserve">Bleeching </t>
        </is>
      </c>
      <c r="O18" s="114" t="n">
        <v>70</v>
      </c>
      <c r="P18" s="160" t="n"/>
    </row>
    <row r="19" ht="14.25" customHeight="1" s="366">
      <c r="A19" s="32" t="n">
        <v>304</v>
      </c>
      <c r="B19" s="30" t="n">
        <v>262.78</v>
      </c>
      <c r="C19" s="30" t="n">
        <v>277.31</v>
      </c>
      <c r="D19" s="29">
        <f>(C19-B19)*1000</f>
        <v/>
      </c>
      <c r="E19" s="64">
        <f>ROUND(D19*D23,0)</f>
        <v/>
      </c>
      <c r="F19" s="29" t="n">
        <v>1200</v>
      </c>
      <c r="G19" s="29">
        <f>SUM(E19,F19)</f>
        <v/>
      </c>
      <c r="H19" s="29" t="n">
        <v>50</v>
      </c>
      <c r="I19" s="29" t="n">
        <v>0</v>
      </c>
      <c r="J19" s="29">
        <f>G19+H19+I19</f>
        <v/>
      </c>
      <c r="K19" s="29" t="n">
        <v>2421</v>
      </c>
      <c r="L19" s="29" t="n"/>
      <c r="M19" s="158" t="inlineStr">
        <is>
          <t>Received</t>
        </is>
      </c>
      <c r="N19" s="160" t="inlineStr">
        <is>
          <t>Cleaning Acid</t>
        </is>
      </c>
      <c r="O19" s="114" t="n">
        <v>105</v>
      </c>
      <c r="P19" s="160" t="n"/>
    </row>
    <row r="20" ht="14.25" customHeight="1" s="366">
      <c r="A20" s="29" t="inlineStr">
        <is>
          <t>Common</t>
        </is>
      </c>
      <c r="B20" s="30" t="n">
        <v>283.6</v>
      </c>
      <c r="C20" s="30" t="n">
        <v>296.44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 t="n"/>
      <c r="J20" s="29">
        <f>G20+H20</f>
        <v/>
      </c>
      <c r="K20" s="29" t="n"/>
      <c r="L20" s="29" t="n"/>
      <c r="M20" s="51" t="n"/>
      <c r="N20" s="114" t="inlineStr">
        <is>
          <t>Teflon Tape &amp; Castic Soda for pipe clean</t>
        </is>
      </c>
      <c r="O20" s="114" t="n">
        <v>250</v>
      </c>
      <c r="P20" s="160" t="n"/>
    </row>
    <row r="21" ht="14.25" customHeight="1" s="366">
      <c r="A21" s="29" t="n"/>
      <c r="B21" s="29" t="n"/>
      <c r="C21" s="29" t="n"/>
      <c r="D21" s="29" t="n"/>
      <c r="E21" s="29" t="n"/>
      <c r="F21" s="49" t="n"/>
      <c r="G21" s="49" t="n"/>
      <c r="H21" s="49">
        <f>SUM(H2:H20)</f>
        <v/>
      </c>
      <c r="I21" s="49" t="n"/>
      <c r="J21" s="49">
        <f>SUM(J2:J20)</f>
        <v/>
      </c>
      <c r="K21" s="49">
        <f>SUM(K2:K19)</f>
        <v/>
      </c>
      <c r="L21" s="49" t="n"/>
      <c r="M21" s="29" t="n"/>
      <c r="N21" s="114" t="inlineStr">
        <is>
          <t>Lift Maintanance</t>
        </is>
      </c>
      <c r="O21" s="114" t="n">
        <v>6000</v>
      </c>
      <c r="P21" s="160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9">
        <f>SUM(E4:E19)</f>
        <v/>
      </c>
      <c r="F22" s="29" t="n"/>
      <c r="G22" s="29" t="n"/>
      <c r="H22" s="29" t="n"/>
      <c r="I22" s="29" t="n"/>
      <c r="J22" s="29" t="n"/>
      <c r="K22" s="29" t="n"/>
      <c r="L22" s="29" t="n"/>
      <c r="M22" s="29" t="n"/>
      <c r="N22" s="114" t="inlineStr">
        <is>
          <t xml:space="preserve">Watch man door repair </t>
        </is>
      </c>
      <c r="O22" s="121" t="n">
        <v>608</v>
      </c>
      <c r="P22" s="160" t="n"/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>
        <f>(K21+O1)-O22</f>
        <v/>
      </c>
      <c r="I23" s="29" t="n"/>
      <c r="J23" s="29" t="n"/>
      <c r="K23" s="29" t="n"/>
      <c r="L23" s="29" t="n"/>
      <c r="M23" s="29" t="n"/>
      <c r="N23" s="152" t="inlineStr">
        <is>
          <t xml:space="preserve">Water tanker cleaning </t>
        </is>
      </c>
      <c r="O23" s="152" t="n">
        <v>400</v>
      </c>
      <c r="P23" s="160" t="n"/>
    </row>
    <row r="24" ht="14.25" customHeight="1" s="366">
      <c r="A24" s="119" t="inlineStr">
        <is>
          <t>Total Water Bill</t>
        </is>
      </c>
      <c r="B24" s="30" t="n">
        <v>9000</v>
      </c>
      <c r="C24" s="119" t="inlineStr">
        <is>
          <t xml:space="preserve">WATER Tankers(9)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114" t="inlineStr">
        <is>
          <t xml:space="preserve">Bleaching powder, hand gloves and dustbin covers </t>
        </is>
      </c>
      <c r="O24" s="114" t="n">
        <v>1235</v>
      </c>
      <c r="P24" s="160" t="n"/>
    </row>
    <row r="25" ht="14.25" customHeight="1" s="366">
      <c r="N25" s="1" t="inlineStr">
        <is>
          <t>Grabase collector ( Cleaning beside wall)</t>
        </is>
      </c>
      <c r="O25" s="1" t="n">
        <v>400</v>
      </c>
    </row>
    <row r="26" ht="14.25" customHeight="1" s="366">
      <c r="N26" s="1" t="inlineStr">
        <is>
          <t>Chipurulu</t>
        </is>
      </c>
      <c r="O26" s="1" t="n">
        <v>180</v>
      </c>
    </row>
    <row r="27" ht="14.25" customHeight="1" s="366"/>
    <row r="28" ht="14.25" customHeight="1" s="366">
      <c r="O28" s="1">
        <f>SUM(O9:O26)</f>
        <v/>
      </c>
      <c r="P28" s="1">
        <f>O22-K21-25476</f>
        <v/>
      </c>
    </row>
    <row r="29" ht="14.25" customHeight="1" s="366">
      <c r="P29" s="1">
        <f>P28+10650</f>
        <v/>
      </c>
    </row>
    <row r="30" ht="14.25" customHeight="1" s="366"/>
    <row r="31" ht="14.25" customHeight="1" s="366">
      <c r="N31" s="1" t="inlineStr">
        <is>
          <t>Balance</t>
        </is>
      </c>
      <c r="O31" s="1">
        <f>J21+O1-O28</f>
        <v/>
      </c>
    </row>
    <row r="33" ht="14.25" customHeight="1" s="366">
      <c r="H33" s="1">
        <f>6000-350</f>
        <v/>
      </c>
      <c r="I33" s="1">
        <f>5650+5000</f>
        <v/>
      </c>
    </row>
    <row r="34" ht="14.25" customHeight="1" s="366"/>
    <row r="35" ht="14.25" customHeight="1" s="366"/>
    <row r="36" ht="14.25" customHeight="1" s="366"/>
    <row r="37" ht="14.25" customHeight="1" s="366"/>
    <row r="38" ht="14.25" customHeight="1" s="366"/>
    <row r="39" ht="14.25" customHeight="1" s="366">
      <c r="L39" s="160" t="n"/>
      <c r="M39" s="160" t="n"/>
      <c r="N39" s="160" t="n"/>
    </row>
    <row r="40" ht="14.25" customHeight="1" s="366">
      <c r="L40" s="160" t="n">
        <v>203</v>
      </c>
      <c r="M40" s="160" t="inlineStr">
        <is>
          <t xml:space="preserve">Total reading </t>
        </is>
      </c>
      <c r="N40" s="160" t="n">
        <v>8.859999999999999</v>
      </c>
    </row>
    <row r="41" ht="14.25" customHeight="1" s="366">
      <c r="L41" s="160" t="n">
        <v>104</v>
      </c>
      <c r="M41" s="160" t="inlineStr">
        <is>
          <t xml:space="preserve">Total reading </t>
        </is>
      </c>
      <c r="N41" s="160" t="n">
        <v>11.4</v>
      </c>
    </row>
    <row r="42" ht="14.25" customHeight="1" s="366">
      <c r="L42" s="160" t="n">
        <v>302</v>
      </c>
      <c r="M42" s="160" t="inlineStr">
        <is>
          <t>stuck at 144.42 from their previous meter reading is considered</t>
        </is>
      </c>
      <c r="N42" s="160" t="n">
        <v>4.72</v>
      </c>
    </row>
  </sheetData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>
  <sheetPr>
    <outlinePr summaryBelow="0" summaryRight="0"/>
    <pageSetUpPr/>
  </sheetPr>
  <dimension ref="A1:P42"/>
  <sheetViews>
    <sheetView zoomScale="79" workbookViewId="0">
      <selection activeCell="P15" sqref="P15"/>
    </sheetView>
  </sheetViews>
  <sheetFormatPr baseColWidth="8" defaultColWidth="14.42578125" defaultRowHeight="15" customHeight="1"/>
  <cols>
    <col width="9" customWidth="1" style="366" min="1" max="1"/>
    <col width="22.7109375" customWidth="1" style="366" min="2" max="2"/>
    <col width="21.7109375" customWidth="1" style="366" min="3" max="3"/>
    <col width="10.5703125" customWidth="1" style="366" min="4" max="4"/>
    <col width="9.85546875" customWidth="1" style="366" min="5" max="5"/>
    <col width="21" customWidth="1" style="366" min="6" max="6"/>
    <col width="17.85546875" customWidth="1" style="366" min="7" max="7"/>
    <col width="16.140625" customWidth="1" style="366" min="8" max="8"/>
    <col width="16.42578125" customWidth="1" style="366" min="9" max="9"/>
    <col width="6.7109375" customWidth="1" style="366" min="10" max="10"/>
    <col width="15.7109375" customWidth="1" style="366" min="11" max="11"/>
    <col width="4" bestFit="1" customWidth="1" style="366" min="12" max="12"/>
    <col width="14.85546875" customWidth="1" style="366" min="13" max="13"/>
    <col width="30.28515625" bestFit="1" customWidth="1" style="366" min="14" max="14"/>
    <col width="7" customWidth="1" style="366" min="15" max="15"/>
    <col width="32.7109375" customWidth="1" style="366" min="16" max="16"/>
    <col width="8.7109375" customWidth="1" style="366" min="17" max="26"/>
  </cols>
  <sheetData>
    <row r="1" ht="14.25" customHeight="1" s="366">
      <c r="A1" s="49" t="inlineStr">
        <is>
          <t>`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>Dussera Payment</t>
        </is>
      </c>
      <c r="J1" s="146" t="inlineStr">
        <is>
          <t xml:space="preserve">Topay </t>
        </is>
      </c>
      <c r="K1" s="146" t="inlineStr">
        <is>
          <t>Receive Amount</t>
        </is>
      </c>
      <c r="L1" s="146" t="n"/>
      <c r="M1" s="146" t="inlineStr">
        <is>
          <t>Payment Status</t>
        </is>
      </c>
      <c r="N1" s="154" t="inlineStr">
        <is>
          <t>Balance amount (June)-24</t>
        </is>
      </c>
      <c r="O1" s="151" t="n">
        <v>21509</v>
      </c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 t="n">
        <v>0</v>
      </c>
      <c r="J2" s="29">
        <f>G2+H2</f>
        <v/>
      </c>
      <c r="K2" s="29" t="n">
        <v>300</v>
      </c>
      <c r="L2" s="29" t="n"/>
      <c r="M2" s="158" t="n"/>
      <c r="N2" s="148" t="n"/>
      <c r="O2" s="149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30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0</v>
      </c>
      <c r="J3" s="29">
        <f>G3+H3</f>
        <v/>
      </c>
      <c r="K3" s="29" t="n">
        <v>300</v>
      </c>
      <c r="L3" s="29" t="n"/>
      <c r="M3" s="158" t="n"/>
      <c r="N3" s="148" t="n"/>
      <c r="O3" s="148" t="n"/>
    </row>
    <row r="4" ht="14.25" customHeight="1" s="366">
      <c r="A4" s="32" t="inlineStr">
        <is>
          <t>G1</t>
        </is>
      </c>
      <c r="B4" s="30" t="n">
        <v>96.43000000000001</v>
      </c>
      <c r="C4" s="30" t="n">
        <v>112.7</v>
      </c>
      <c r="D4" s="29">
        <f>(C4-B4)*1000</f>
        <v/>
      </c>
      <c r="E4" s="64">
        <f>ROUND(D4*D23,0)</f>
        <v/>
      </c>
      <c r="F4" s="29" t="n">
        <v>1200</v>
      </c>
      <c r="G4" s="29">
        <f>SUM(E4,F4)</f>
        <v/>
      </c>
      <c r="H4" s="29" t="n">
        <v>50</v>
      </c>
      <c r="I4" s="29" t="n">
        <v>0</v>
      </c>
      <c r="J4" s="29">
        <f>G4+H4+I4</f>
        <v/>
      </c>
      <c r="K4" s="29" t="n">
        <v>2884</v>
      </c>
      <c r="L4" s="156" t="n"/>
      <c r="M4" s="158" t="n"/>
      <c r="N4" s="160" t="n"/>
      <c r="O4" s="160" t="n"/>
    </row>
    <row r="5" ht="14.25" customHeight="1" s="366">
      <c r="A5" s="32" t="inlineStr">
        <is>
          <t>G2</t>
        </is>
      </c>
      <c r="B5" s="30" t="n">
        <v>191.71</v>
      </c>
      <c r="C5" s="30" t="n">
        <v>196.27</v>
      </c>
      <c r="D5" s="29">
        <f>(C5-B5)*1000</f>
        <v/>
      </c>
      <c r="E5" s="64">
        <f>ROUND(D5*D23,0)</f>
        <v/>
      </c>
      <c r="F5" s="29" t="n">
        <v>1200</v>
      </c>
      <c r="G5" s="29">
        <f>SUM(E5,F5)</f>
        <v/>
      </c>
      <c r="H5" s="29" t="n">
        <v>50</v>
      </c>
      <c r="I5" s="29" t="n">
        <v>0</v>
      </c>
      <c r="J5" s="29">
        <f>G5+H5+I5</f>
        <v/>
      </c>
      <c r="K5" s="29" t="n">
        <v>1708</v>
      </c>
      <c r="L5" s="29" t="n"/>
      <c r="M5" s="158" t="n"/>
      <c r="N5" s="114" t="n"/>
      <c r="O5" s="114" t="n"/>
    </row>
    <row r="6" ht="14.25" customHeight="1" s="366">
      <c r="A6" s="32" t="inlineStr">
        <is>
          <t>G3</t>
        </is>
      </c>
      <c r="B6" s="30" t="n">
        <v>384.1</v>
      </c>
      <c r="C6" s="30" t="n">
        <v>391.65</v>
      </c>
      <c r="D6" s="29">
        <f>(C6-B6)*1000</f>
        <v/>
      </c>
      <c r="E6" s="64">
        <f>ROUND(D6*D23,0)</f>
        <v/>
      </c>
      <c r="F6" s="29" t="n">
        <v>1200</v>
      </c>
      <c r="G6" s="29">
        <f>SUM(E6,F6)</f>
        <v/>
      </c>
      <c r="H6" s="29" t="n">
        <v>50</v>
      </c>
      <c r="I6" s="29" t="n">
        <v>0</v>
      </c>
      <c r="J6" s="29">
        <f>G6+H6+I6</f>
        <v/>
      </c>
      <c r="K6" s="29" t="n">
        <v>2008</v>
      </c>
      <c r="L6" s="29" t="n"/>
      <c r="M6" s="158" t="n"/>
      <c r="N6" s="114" t="n"/>
      <c r="O6" s="114" t="n"/>
    </row>
    <row r="7" ht="14.25" customHeight="1" s="366">
      <c r="A7" s="32" t="inlineStr">
        <is>
          <t>G4</t>
        </is>
      </c>
      <c r="B7" s="30" t="n">
        <v>309.3</v>
      </c>
      <c r="C7" s="30" t="n">
        <v>315.78</v>
      </c>
      <c r="D7" s="29">
        <f>(C7-B7)*1000</f>
        <v/>
      </c>
      <c r="E7" s="64">
        <f>ROUND(D7*D23,0)</f>
        <v/>
      </c>
      <c r="F7" s="29" t="n">
        <v>1200</v>
      </c>
      <c r="G7" s="29">
        <f>SUM(E7,F7)</f>
        <v/>
      </c>
      <c r="H7" s="29" t="n">
        <v>50</v>
      </c>
      <c r="I7" s="29" t="n">
        <v>0</v>
      </c>
      <c r="J7" s="29">
        <f>G7+H7+I7</f>
        <v/>
      </c>
      <c r="K7" s="29" t="n">
        <v>1901</v>
      </c>
      <c r="L7" s="29" t="n"/>
      <c r="M7" s="158" t="n"/>
      <c r="N7" s="114" t="n"/>
      <c r="O7" s="114" t="n"/>
    </row>
    <row r="8" ht="14.25" customHeight="1" s="366">
      <c r="A8" s="32" t="n">
        <v>101</v>
      </c>
      <c r="B8" s="30" t="n">
        <v>56.02</v>
      </c>
      <c r="C8" s="30" t="n">
        <v>60.51</v>
      </c>
      <c r="D8" s="29">
        <f>(C8-B8)*1000</f>
        <v/>
      </c>
      <c r="E8" s="64">
        <f>ROUND(D8*D23,0)</f>
        <v/>
      </c>
      <c r="F8" s="29" t="n">
        <v>1200</v>
      </c>
      <c r="G8" s="29">
        <f>SUM(E8,F8)</f>
        <v/>
      </c>
      <c r="H8" s="29" t="n">
        <v>50</v>
      </c>
      <c r="I8" s="29" t="n">
        <v>0</v>
      </c>
      <c r="J8" s="29">
        <f>G8+H8+I8</f>
        <v/>
      </c>
      <c r="K8" s="29" t="n">
        <v>1701</v>
      </c>
      <c r="L8" s="29" t="n"/>
      <c r="M8" s="158" t="n"/>
      <c r="N8" s="153" t="inlineStr">
        <is>
          <t>Expenditures</t>
        </is>
      </c>
      <c r="O8" s="153" t="n"/>
    </row>
    <row r="9" ht="14.25" customHeight="1" s="366">
      <c r="A9" s="32" t="n">
        <v>102</v>
      </c>
      <c r="B9" s="30" t="n">
        <v>562.03</v>
      </c>
      <c r="C9" s="30" t="n">
        <v>572.8200000000001</v>
      </c>
      <c r="D9" s="29">
        <f>(C9-B9)*1000</f>
        <v/>
      </c>
      <c r="E9" s="64">
        <f>ROUND(D9*D23,0)</f>
        <v/>
      </c>
      <c r="F9" s="29" t="n">
        <v>1200</v>
      </c>
      <c r="G9" s="29">
        <f>SUM(E9,F9)</f>
        <v/>
      </c>
      <c r="H9" s="29" t="n">
        <v>50</v>
      </c>
      <c r="I9" s="29" t="n">
        <v>0</v>
      </c>
      <c r="J9" s="29">
        <f>G9+H9+I9</f>
        <v/>
      </c>
      <c r="K9" s="29" t="n">
        <v>2333</v>
      </c>
      <c r="L9" s="29" t="n"/>
      <c r="M9" s="158" t="n"/>
      <c r="N9" s="114" t="inlineStr">
        <is>
          <t>watchman salary</t>
        </is>
      </c>
      <c r="O9" s="160" t="n">
        <v>6500</v>
      </c>
    </row>
    <row r="10" ht="14.25" customHeight="1" s="366">
      <c r="A10" s="32" t="n">
        <v>103</v>
      </c>
      <c r="B10" s="30" t="n">
        <v>200.72</v>
      </c>
      <c r="C10" s="29" t="n">
        <v>204.86</v>
      </c>
      <c r="D10" s="29">
        <f>(C10-B10)*1000</f>
        <v/>
      </c>
      <c r="E10" s="64">
        <f>ROUND(D10*D23,0)</f>
        <v/>
      </c>
      <c r="F10" s="29" t="n">
        <v>1200</v>
      </c>
      <c r="G10" s="29">
        <f>SUM(E10,F10)</f>
        <v/>
      </c>
      <c r="H10" s="29" t="n">
        <v>50</v>
      </c>
      <c r="I10" s="29" t="n">
        <v>0</v>
      </c>
      <c r="J10" s="29">
        <f>G10+H10+I10</f>
        <v/>
      </c>
      <c r="K10" s="29" t="n">
        <v>1666</v>
      </c>
      <c r="L10" s="29" t="n"/>
      <c r="M10" s="158" t="n"/>
      <c r="N10" s="160" t="inlineStr">
        <is>
          <t>Common water (Majeera)</t>
        </is>
      </c>
      <c r="O10" s="160" t="n">
        <v>2044</v>
      </c>
    </row>
    <row r="11" ht="14.25" customHeight="1" s="366">
      <c r="A11" s="32" t="n">
        <v>104</v>
      </c>
      <c r="B11" s="30" t="n">
        <v>11.44</v>
      </c>
      <c r="C11" s="30" t="n">
        <v>19.23</v>
      </c>
      <c r="D11" s="29">
        <f>(C11-B11)*1000</f>
        <v/>
      </c>
      <c r="E11" s="64">
        <f>ROUND(D11*D23,0)</f>
        <v/>
      </c>
      <c r="F11" s="29" t="n">
        <v>1200</v>
      </c>
      <c r="G11" s="29">
        <f>SUM(E11,F11)</f>
        <v/>
      </c>
      <c r="H11" s="29" t="n">
        <v>50</v>
      </c>
      <c r="I11" s="29" t="n">
        <v>0</v>
      </c>
      <c r="J11" s="29">
        <f>G11+H11+I11</f>
        <v/>
      </c>
      <c r="K11" s="29" t="n">
        <v>2032</v>
      </c>
      <c r="L11" s="29" t="n"/>
      <c r="M11" s="158" t="n"/>
      <c r="N11" s="160" t="inlineStr">
        <is>
          <t>common power</t>
        </is>
      </c>
      <c r="O11" s="160" t="n">
        <v>2414</v>
      </c>
    </row>
    <row r="12" ht="14.25" customHeight="1" s="366">
      <c r="A12" s="32" t="n">
        <v>201</v>
      </c>
      <c r="B12" s="30" t="n">
        <v>112.87</v>
      </c>
      <c r="C12" s="30" t="n">
        <v>117.94</v>
      </c>
      <c r="D12" s="29">
        <f>(C12-B12)*1000</f>
        <v/>
      </c>
      <c r="E12" s="64">
        <f>ROUND(D12*D23,0)</f>
        <v/>
      </c>
      <c r="F12" s="29" t="n">
        <v>1200</v>
      </c>
      <c r="G12" s="29">
        <f>SUM(E12,F12)</f>
        <v/>
      </c>
      <c r="H12" s="29" t="n">
        <v>50</v>
      </c>
      <c r="I12" s="29" t="n">
        <v>0</v>
      </c>
      <c r="J12" s="29">
        <f>G12+H12+I12</f>
        <v/>
      </c>
      <c r="K12" s="29" t="n">
        <v>1759</v>
      </c>
      <c r="L12" s="29" t="n"/>
      <c r="M12" s="158" t="n"/>
      <c r="N12" s="160" t="inlineStr">
        <is>
          <t>tanker</t>
        </is>
      </c>
      <c r="O12" s="160" t="n">
        <v>15000</v>
      </c>
    </row>
    <row r="13" ht="14.25" customHeight="1" s="366">
      <c r="A13" s="32" t="n">
        <v>202</v>
      </c>
      <c r="B13" s="163" t="n">
        <v>264.6</v>
      </c>
      <c r="C13" s="30" t="n">
        <v>270.13</v>
      </c>
      <c r="D13" s="29">
        <f>(C13-B13)*1000</f>
        <v/>
      </c>
      <c r="E13" s="64">
        <f>ROUND(D13*D23,0)</f>
        <v/>
      </c>
      <c r="F13" s="29" t="n">
        <v>1200</v>
      </c>
      <c r="G13" s="29">
        <f>SUM(E13,F13)</f>
        <v/>
      </c>
      <c r="H13" s="29" t="n">
        <v>50</v>
      </c>
      <c r="I13" s="29" t="n">
        <v>0</v>
      </c>
      <c r="J13" s="29">
        <f>G13+H13+I13</f>
        <v/>
      </c>
      <c r="K13" s="29" t="n">
        <v>1805</v>
      </c>
      <c r="L13" s="29" t="n"/>
      <c r="M13" s="158" t="n"/>
      <c r="N13" s="114" t="inlineStr">
        <is>
          <t>garbage</t>
        </is>
      </c>
      <c r="O13" s="114" t="n">
        <v>800</v>
      </c>
    </row>
    <row r="14" ht="14.25" customHeight="1" s="366">
      <c r="A14" s="32" t="n">
        <v>203</v>
      </c>
      <c r="B14" s="30" t="n">
        <v>8.859999999999999</v>
      </c>
      <c r="C14" s="30" t="n">
        <v>15.49</v>
      </c>
      <c r="D14" s="29">
        <f>(C14-B14)*1000</f>
        <v/>
      </c>
      <c r="E14" s="64">
        <f>ROUND(D14*D23,0)</f>
        <v/>
      </c>
      <c r="F14" s="29" t="n">
        <v>1200</v>
      </c>
      <c r="G14" s="29">
        <f>SUM(E14,F14)</f>
        <v/>
      </c>
      <c r="H14" s="29" t="n">
        <v>50</v>
      </c>
      <c r="I14" s="29" t="n">
        <v>0</v>
      </c>
      <c r="J14" s="29">
        <f>G14+H14+I14</f>
        <v/>
      </c>
      <c r="K14" s="29" t="n">
        <v>1916</v>
      </c>
      <c r="L14" s="29" t="n"/>
      <c r="M14" s="158" t="n"/>
      <c r="N14" s="114" t="inlineStr">
        <is>
          <t>CC Camera repair (PowerBox Issue)</t>
        </is>
      </c>
      <c r="O14" s="114" t="n">
        <v>0</v>
      </c>
      <c r="P14" s="331" t="inlineStr">
        <is>
          <t>1500 Send from Curpus</t>
        </is>
      </c>
    </row>
    <row r="15" ht="14.25" customHeight="1" s="366">
      <c r="A15" s="32" t="n">
        <v>204</v>
      </c>
      <c r="B15" s="30" t="n">
        <v>256.86</v>
      </c>
      <c r="C15" s="30" t="n">
        <v>262.84</v>
      </c>
      <c r="D15" s="29">
        <f>(C15-B15)*1000</f>
        <v/>
      </c>
      <c r="E15" s="64">
        <f>ROUND(D15*D23,0)</f>
        <v/>
      </c>
      <c r="F15" s="29" t="n">
        <v>1200</v>
      </c>
      <c r="G15" s="29">
        <f>SUM(E15,F15)</f>
        <v/>
      </c>
      <c r="H15" s="29" t="n">
        <v>50</v>
      </c>
      <c r="I15" s="29" t="n">
        <v>0</v>
      </c>
      <c r="J15" s="29">
        <f>G15+H15+I15</f>
        <v/>
      </c>
      <c r="K15" s="29" t="n">
        <v>1850</v>
      </c>
      <c r="L15" s="29" t="n"/>
      <c r="M15" s="158" t="n"/>
      <c r="N15" s="114" t="inlineStr">
        <is>
          <t>Generater Batary</t>
        </is>
      </c>
      <c r="O15" s="114" t="n">
        <v>7500</v>
      </c>
    </row>
    <row r="16" ht="14.25" customHeight="1" s="366">
      <c r="A16" s="32" t="n">
        <v>301</v>
      </c>
      <c r="B16" s="30" t="n">
        <v>54.23</v>
      </c>
      <c r="C16" s="30" t="n">
        <v>59.35</v>
      </c>
      <c r="D16" s="29">
        <f>(C16-B16)*1000</f>
        <v/>
      </c>
      <c r="E16" s="64">
        <f>ROUND(D16*D23,0)</f>
        <v/>
      </c>
      <c r="F16" s="29" t="n">
        <v>1200</v>
      </c>
      <c r="G16" s="29">
        <f>SUM(E16,F16)</f>
        <v/>
      </c>
      <c r="H16" s="29" t="n">
        <v>50</v>
      </c>
      <c r="I16" s="29" t="n">
        <v>0</v>
      </c>
      <c r="J16" s="29">
        <f>G16+H16+I16</f>
        <v/>
      </c>
      <c r="K16" s="29" t="n">
        <v>1764</v>
      </c>
      <c r="L16" s="29" t="n"/>
      <c r="M16" s="158" t="n"/>
      <c r="N16" s="160" t="n"/>
      <c r="O16" s="114" t="n"/>
    </row>
    <row r="17" ht="14.25" customHeight="1" s="366">
      <c r="A17" s="32" t="n">
        <v>302</v>
      </c>
      <c r="B17" s="163" t="n">
        <v>144.5</v>
      </c>
      <c r="C17" s="30" t="n">
        <v>150.53</v>
      </c>
      <c r="D17" s="29">
        <f>(C17-B17)*1000</f>
        <v/>
      </c>
      <c r="E17" s="64">
        <f>ROUND(D17*D23,0)</f>
        <v/>
      </c>
      <c r="F17" s="29" t="n">
        <v>1200</v>
      </c>
      <c r="G17" s="29">
        <f>SUM(E17,F17)</f>
        <v/>
      </c>
      <c r="H17" s="29" t="n">
        <v>50</v>
      </c>
      <c r="I17" s="29" t="n">
        <v>0</v>
      </c>
      <c r="J17" s="29">
        <f>G17+H17+I17</f>
        <v/>
      </c>
      <c r="K17" s="29" t="n">
        <v>1856</v>
      </c>
      <c r="L17" s="119" t="n"/>
      <c r="M17" s="158" t="n"/>
      <c r="N17" s="114" t="n"/>
      <c r="O17" s="114" t="n"/>
      <c r="P17" s="160" t="n"/>
    </row>
    <row r="18" ht="14.25" customHeight="1" s="366">
      <c r="A18" s="32" t="n">
        <v>303</v>
      </c>
      <c r="B18" s="30" t="n">
        <v>868.4400000000001</v>
      </c>
      <c r="C18" s="29" t="n">
        <v>893.45</v>
      </c>
      <c r="D18" s="29">
        <f>(C18-B18)*1000</f>
        <v/>
      </c>
      <c r="E18" s="64">
        <f>ROUND(D18*D23,0)</f>
        <v/>
      </c>
      <c r="F18" s="29" t="n">
        <v>1200</v>
      </c>
      <c r="G18" s="29">
        <f>SUM(E18,F18)</f>
        <v/>
      </c>
      <c r="H18" s="29" t="n">
        <v>50</v>
      </c>
      <c r="I18" s="29" t="n">
        <v>0</v>
      </c>
      <c r="J18" s="29">
        <f>G18+H18+I18</f>
        <v/>
      </c>
      <c r="K18" s="29" t="n">
        <v>3761</v>
      </c>
      <c r="L18" s="29" t="n"/>
      <c r="M18" s="158" t="n"/>
      <c r="N18" s="160" t="n"/>
      <c r="O18" s="114" t="n"/>
      <c r="P18" s="160" t="n"/>
    </row>
    <row r="19" ht="14.25" customHeight="1" s="366">
      <c r="A19" s="32" t="n">
        <v>304</v>
      </c>
      <c r="B19" s="30" t="n">
        <v>277.31</v>
      </c>
      <c r="C19" s="30" t="n">
        <v>291.97</v>
      </c>
      <c r="D19" s="29">
        <f>(C19-B19)*1000</f>
        <v/>
      </c>
      <c r="E19" s="64">
        <f>ROUND(D19*D23,0)</f>
        <v/>
      </c>
      <c r="F19" s="29" t="n">
        <v>1200</v>
      </c>
      <c r="G19" s="29">
        <f>SUM(E19,F19)</f>
        <v/>
      </c>
      <c r="H19" s="29" t="n">
        <v>50</v>
      </c>
      <c r="I19" s="29" t="n">
        <v>0</v>
      </c>
      <c r="J19" s="29">
        <f>G19+H19+I19</f>
        <v/>
      </c>
      <c r="K19" s="29" t="n">
        <v>2722</v>
      </c>
      <c r="L19" s="29" t="n"/>
      <c r="M19" s="158" t="n"/>
      <c r="N19" s="114" t="n"/>
      <c r="O19" s="114" t="n"/>
      <c r="P19" s="160" t="n"/>
    </row>
    <row r="20" ht="14.25" customHeight="1" s="366">
      <c r="A20" s="29" t="inlineStr">
        <is>
          <t>Common</t>
        </is>
      </c>
      <c r="B20" s="30" t="n">
        <v>296.44</v>
      </c>
      <c r="C20" s="30" t="n">
        <v>309.72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 t="n"/>
      <c r="J20" s="29">
        <f>G20+H20</f>
        <v/>
      </c>
      <c r="K20" s="29" t="n"/>
      <c r="L20" s="29" t="n"/>
      <c r="M20" s="51" t="n"/>
      <c r="N20" s="114" t="n"/>
      <c r="O20" s="114" t="n"/>
      <c r="P20" s="160" t="n"/>
    </row>
    <row r="21" ht="14.25" customHeight="1" s="366">
      <c r="A21" s="29" t="n"/>
      <c r="B21" s="29" t="n"/>
      <c r="C21" s="29" t="n"/>
      <c r="D21" s="29" t="n"/>
      <c r="E21" s="29" t="n"/>
      <c r="F21" s="49" t="n"/>
      <c r="G21" s="49" t="n"/>
      <c r="H21" s="49">
        <f>SUM(H2:H20)</f>
        <v/>
      </c>
      <c r="I21" s="49" t="n"/>
      <c r="J21" s="49">
        <f>SUM(J2:J20)</f>
        <v/>
      </c>
      <c r="K21" s="49">
        <f>SUM(K2:K19)</f>
        <v/>
      </c>
      <c r="L21" s="49" t="n"/>
      <c r="M21" s="29" t="n"/>
      <c r="N21" s="114" t="n"/>
      <c r="O21" s="121" t="n"/>
      <c r="P21" s="160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02">
        <f>SUM(E4:E19)</f>
        <v/>
      </c>
      <c r="F22" s="29" t="n"/>
      <c r="G22" s="29" t="n"/>
      <c r="H22" s="29" t="n"/>
      <c r="I22" s="29" t="n"/>
      <c r="J22" s="29" t="n"/>
      <c r="K22" s="29" t="n"/>
      <c r="L22" s="29" t="n"/>
      <c r="M22" s="29" t="n"/>
      <c r="N22" s="152" t="n"/>
      <c r="O22" s="152" t="n"/>
      <c r="P22" s="160" t="n"/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06">
        <f>(K21+O1)-O28</f>
        <v/>
      </c>
      <c r="I23" s="29" t="n"/>
      <c r="J23" s="29" t="n"/>
      <c r="K23" s="29" t="n"/>
      <c r="L23" s="29" t="n"/>
      <c r="M23" s="29" t="n"/>
      <c r="N23" s="114" t="n"/>
      <c r="O23" s="114" t="n"/>
      <c r="P23" s="160" t="n"/>
    </row>
    <row r="24" ht="14.25" customHeight="1" s="366">
      <c r="A24" s="119" t="inlineStr">
        <is>
          <t>Total Water Bill</t>
        </is>
      </c>
      <c r="B24" s="30">
        <f>12*1250</f>
        <v/>
      </c>
      <c r="C24" s="119" t="inlineStr">
        <is>
          <t xml:space="preserve">WATER Tankers(12)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P24" s="160" t="n"/>
    </row>
    <row r="25" ht="14.25" customHeight="1" s="366"/>
    <row r="26" ht="14.25" customHeight="1" s="366"/>
    <row r="27" ht="14.25" customHeight="1" s="366"/>
    <row r="28" ht="14.25" customHeight="1" s="366">
      <c r="O28" s="1">
        <f>SUM(O9:O25)</f>
        <v/>
      </c>
      <c r="P28" s="1">
        <f>O21-K21-25476</f>
        <v/>
      </c>
    </row>
    <row r="29" ht="14.25" customHeight="1" s="366">
      <c r="P29" s="1">
        <f>P28+10650</f>
        <v/>
      </c>
    </row>
    <row r="30" ht="14.25" customHeight="1" s="366">
      <c r="E30" s="1" t="n">
        <v>202</v>
      </c>
      <c r="F30" s="203" t="n">
        <v>266.2</v>
      </c>
    </row>
    <row r="31" ht="14.25" customHeight="1" s="366">
      <c r="E31" s="1" t="n">
        <v>302</v>
      </c>
      <c r="F31" s="1" t="n">
        <v>153.86</v>
      </c>
    </row>
    <row r="33" ht="14.25" customHeight="1" s="366">
      <c r="H33" s="1" t="n"/>
      <c r="I33" s="1" t="n"/>
    </row>
    <row r="34" ht="14.25" customHeight="1" s="366"/>
    <row r="35" ht="14.25" customHeight="1" s="366"/>
    <row r="36" ht="14.25" customHeight="1" s="366"/>
    <row r="37" ht="14.25" customHeight="1" s="366"/>
    <row r="38" ht="14.25" customHeight="1" s="366"/>
    <row r="39" ht="14.25" customHeight="1" s="366">
      <c r="L39" s="160" t="n"/>
      <c r="M39" s="160" t="n"/>
      <c r="N39" s="160" t="n"/>
    </row>
    <row r="40" ht="14.25" customHeight="1" s="366">
      <c r="L40" s="160" t="n">
        <v>203</v>
      </c>
      <c r="M40" s="160" t="inlineStr">
        <is>
          <t xml:space="preserve">Total reading </t>
        </is>
      </c>
      <c r="N40" s="160" t="n">
        <v>8.859999999999999</v>
      </c>
    </row>
    <row r="41" ht="14.25" customHeight="1" s="366">
      <c r="L41" s="160" t="n">
        <v>104</v>
      </c>
      <c r="M41" s="160" t="inlineStr">
        <is>
          <t xml:space="preserve">Total reading </t>
        </is>
      </c>
      <c r="N41" s="160" t="n">
        <v>11.4</v>
      </c>
    </row>
    <row r="42" ht="14.25" customHeight="1" s="366">
      <c r="L42" s="160" t="n">
        <v>302</v>
      </c>
      <c r="M42" s="160" t="inlineStr">
        <is>
          <t>stuck at 144.42 from their previous meter reading is considered</t>
        </is>
      </c>
      <c r="N42" s="160" t="n">
        <v>4.72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42"/>
  <sheetViews>
    <sheetView zoomScale="85" workbookViewId="0">
      <selection activeCell="O28" sqref="O28"/>
    </sheetView>
  </sheetViews>
  <sheetFormatPr baseColWidth="8" defaultColWidth="14.42578125" defaultRowHeight="15"/>
  <cols>
    <col width="9" customWidth="1" style="366" min="1" max="1"/>
    <col width="22.7109375" customWidth="1" style="366" min="2" max="2"/>
    <col width="21.7109375" customWidth="1" style="366" min="3" max="3"/>
    <col width="10.5703125" customWidth="1" style="366" min="4" max="4"/>
    <col width="9.85546875" customWidth="1" style="366" min="5" max="5"/>
    <col width="21" customWidth="1" style="366" min="6" max="6"/>
    <col width="17.85546875" customWidth="1" style="366" min="7" max="7"/>
    <col width="16.140625" customWidth="1" style="366" min="8" max="8"/>
    <col width="16.42578125" customWidth="1" style="366" min="9" max="9"/>
    <col width="6.7109375" customWidth="1" style="366" min="10" max="10"/>
    <col width="15.7109375" customWidth="1" style="366" min="11" max="11"/>
    <col width="4" bestFit="1" customWidth="1" style="366" min="12" max="12"/>
    <col width="14.85546875" customWidth="1" style="366" min="13" max="13"/>
    <col width="30.28515625" bestFit="1" customWidth="1" style="366" min="14" max="14"/>
    <col width="7" customWidth="1" style="366" min="15" max="15"/>
    <col width="32.7109375" customWidth="1" style="366" min="16" max="16"/>
    <col width="8.7109375" customWidth="1" style="366" min="17" max="26"/>
  </cols>
  <sheetData>
    <row r="1" ht="14.25" customHeight="1" s="366">
      <c r="A1" s="49" t="inlineStr">
        <is>
          <t>`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>Dussera Payment</t>
        </is>
      </c>
      <c r="J1" s="146" t="inlineStr">
        <is>
          <t xml:space="preserve">Topay </t>
        </is>
      </c>
      <c r="K1" s="146" t="inlineStr">
        <is>
          <t>Receive Amount</t>
        </is>
      </c>
      <c r="L1" s="146" t="n"/>
      <c r="M1" s="146" t="inlineStr">
        <is>
          <t>Payment Status</t>
        </is>
      </c>
      <c r="N1" s="154" t="inlineStr">
        <is>
          <t>Balance amount (July)-24</t>
        </is>
      </c>
      <c r="O1" s="151" t="n">
        <v>21517</v>
      </c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 t="n">
        <v>0</v>
      </c>
      <c r="J2" s="29">
        <f>G2+H2</f>
        <v/>
      </c>
      <c r="K2" s="29" t="n"/>
      <c r="L2" s="29" t="n"/>
      <c r="M2" s="158" t="n"/>
      <c r="N2" s="148" t="n"/>
      <c r="O2" s="149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30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0</v>
      </c>
      <c r="J3" s="29">
        <f>G3+H3</f>
        <v/>
      </c>
      <c r="K3" s="29" t="n"/>
      <c r="L3" s="29" t="n"/>
      <c r="M3" s="158" t="n"/>
      <c r="N3" s="148" t="n"/>
      <c r="O3" s="148" t="n"/>
    </row>
    <row r="4" ht="14.25" customHeight="1" s="366">
      <c r="A4" s="32" t="inlineStr">
        <is>
          <t>G1</t>
        </is>
      </c>
      <c r="B4" s="30" t="n">
        <v>112.7</v>
      </c>
      <c r="C4" s="30" t="n">
        <v>117.23</v>
      </c>
      <c r="D4" s="29">
        <f>(C4-B4)*1000</f>
        <v/>
      </c>
      <c r="E4" s="64">
        <f>ROUND(D4*D23,0)</f>
        <v/>
      </c>
      <c r="F4" s="29" t="n">
        <v>1200</v>
      </c>
      <c r="G4" s="29">
        <f>SUM(E4,F4)</f>
        <v/>
      </c>
      <c r="H4" s="29" t="n">
        <v>50</v>
      </c>
      <c r="I4" s="29" t="n">
        <v>0</v>
      </c>
      <c r="J4" s="29">
        <f>G4+H4+I4</f>
        <v/>
      </c>
      <c r="K4" s="29" t="n"/>
      <c r="L4" s="156" t="n"/>
      <c r="M4" s="158" t="n"/>
      <c r="N4" s="160" t="n"/>
      <c r="O4" s="160" t="n"/>
    </row>
    <row r="5" ht="14.25" customHeight="1" s="366">
      <c r="A5" s="32" t="inlineStr">
        <is>
          <t>G2</t>
        </is>
      </c>
      <c r="B5" s="30" t="n">
        <v>196.27</v>
      </c>
      <c r="C5" s="30" t="n">
        <v>201.81</v>
      </c>
      <c r="D5" s="29">
        <f>(C5-B5)*1000</f>
        <v/>
      </c>
      <c r="E5" s="64">
        <f>ROUND(D5*D23,0)</f>
        <v/>
      </c>
      <c r="F5" s="29" t="n">
        <v>1200</v>
      </c>
      <c r="G5" s="29">
        <f>SUM(E5,F5)</f>
        <v/>
      </c>
      <c r="H5" s="29" t="n">
        <v>50</v>
      </c>
      <c r="I5" s="29" t="n">
        <v>0</v>
      </c>
      <c r="J5" s="29">
        <f>G5+H5+I5</f>
        <v/>
      </c>
      <c r="K5" s="29" t="n"/>
      <c r="L5" s="29" t="n"/>
      <c r="M5" s="158" t="n"/>
      <c r="N5" s="114" t="n"/>
      <c r="O5" s="114" t="n"/>
    </row>
    <row r="6" ht="14.25" customHeight="1" s="366">
      <c r="A6" s="32" t="inlineStr">
        <is>
          <t>G3</t>
        </is>
      </c>
      <c r="B6" s="30" t="n">
        <v>391.65</v>
      </c>
      <c r="C6" s="30" t="n">
        <v>399.65</v>
      </c>
      <c r="D6" s="29">
        <f>(C6-B6)*1000</f>
        <v/>
      </c>
      <c r="E6" s="64">
        <f>ROUND(D6*D23,0)</f>
        <v/>
      </c>
      <c r="F6" s="29" t="n">
        <v>1200</v>
      </c>
      <c r="G6" s="29">
        <f>SUM(E6,F6)</f>
        <v/>
      </c>
      <c r="H6" s="29" t="n">
        <v>50</v>
      </c>
      <c r="I6" s="29" t="n">
        <v>0</v>
      </c>
      <c r="J6" s="29">
        <f>G6+H6+I6</f>
        <v/>
      </c>
      <c r="K6" s="29" t="n"/>
      <c r="L6" s="29" t="n"/>
      <c r="M6" s="158" t="n"/>
      <c r="N6" s="114" t="n"/>
      <c r="O6" s="114" t="n"/>
    </row>
    <row r="7" ht="14.25" customHeight="1" s="366">
      <c r="A7" s="32" t="inlineStr">
        <is>
          <t>G4</t>
        </is>
      </c>
      <c r="B7" s="30" t="n">
        <v>315.78</v>
      </c>
      <c r="C7" s="30" t="n">
        <v>326.35</v>
      </c>
      <c r="D7" s="29">
        <f>(C7-B7)*1000</f>
        <v/>
      </c>
      <c r="E7" s="64">
        <f>ROUND(D7*D23,0)</f>
        <v/>
      </c>
      <c r="F7" s="29" t="n">
        <v>1200</v>
      </c>
      <c r="G7" s="29">
        <f>SUM(E7,F7)</f>
        <v/>
      </c>
      <c r="H7" s="29" t="n">
        <v>50</v>
      </c>
      <c r="I7" s="29" t="n">
        <v>0</v>
      </c>
      <c r="J7" s="29">
        <f>G7+H7+I7</f>
        <v/>
      </c>
      <c r="K7" s="29" t="n"/>
      <c r="L7" s="29" t="n"/>
      <c r="M7" s="158" t="n"/>
      <c r="N7" s="114" t="n"/>
      <c r="O7" s="114" t="n"/>
    </row>
    <row r="8" ht="14.25" customHeight="1" s="366">
      <c r="A8" s="32" t="n">
        <v>101</v>
      </c>
      <c r="B8" s="30" t="n">
        <v>60.51</v>
      </c>
      <c r="C8" s="30" t="n">
        <v>64.40000000000001</v>
      </c>
      <c r="D8" s="29">
        <f>(C8-B8)*1000</f>
        <v/>
      </c>
      <c r="E8" s="64">
        <f>ROUND(D8*D23,0)</f>
        <v/>
      </c>
      <c r="F8" s="29" t="n">
        <v>1200</v>
      </c>
      <c r="G8" s="29">
        <f>SUM(E8,F8)</f>
        <v/>
      </c>
      <c r="H8" s="29" t="n">
        <v>50</v>
      </c>
      <c r="I8" s="29" t="n">
        <v>0</v>
      </c>
      <c r="J8" s="29">
        <f>G8+H8+I8</f>
        <v/>
      </c>
      <c r="K8" s="29" t="n"/>
      <c r="L8" s="29" t="n"/>
      <c r="M8" s="158" t="n"/>
      <c r="N8" s="153" t="inlineStr">
        <is>
          <t>Expenditures</t>
        </is>
      </c>
      <c r="O8" s="153" t="n"/>
    </row>
    <row r="9" ht="14.25" customHeight="1" s="366">
      <c r="A9" s="32" t="n">
        <v>102</v>
      </c>
      <c r="B9" s="30" t="n">
        <v>572.8200000000001</v>
      </c>
      <c r="C9" s="30" t="n">
        <v>587.53</v>
      </c>
      <c r="D9" s="29">
        <f>(C9-B9)*1000</f>
        <v/>
      </c>
      <c r="E9" s="64">
        <f>ROUND(D9*D23,0)</f>
        <v/>
      </c>
      <c r="F9" s="29" t="n">
        <v>1200</v>
      </c>
      <c r="G9" s="29">
        <f>SUM(E9,F9)</f>
        <v/>
      </c>
      <c r="H9" s="29" t="n">
        <v>50</v>
      </c>
      <c r="I9" s="29" t="n">
        <v>0</v>
      </c>
      <c r="J9" s="29">
        <f>G9+H9+I9</f>
        <v/>
      </c>
      <c r="K9" s="29" t="n"/>
      <c r="L9" s="29" t="n"/>
      <c r="M9" s="158" t="n"/>
      <c r="N9" s="114" t="inlineStr">
        <is>
          <t>watchman salary</t>
        </is>
      </c>
      <c r="O9" s="160" t="n">
        <v>6500</v>
      </c>
    </row>
    <row r="10" ht="14.25" customHeight="1" s="366">
      <c r="A10" s="32" t="n">
        <v>103</v>
      </c>
      <c r="B10" s="29" t="n">
        <v>204.86</v>
      </c>
      <c r="C10" s="29" t="n">
        <v>218.43</v>
      </c>
      <c r="D10" s="29">
        <f>(C10-B10)*1000</f>
        <v/>
      </c>
      <c r="E10" s="64">
        <f>ROUND(D10*D23,0)</f>
        <v/>
      </c>
      <c r="F10" s="29" t="n">
        <v>1200</v>
      </c>
      <c r="G10" s="29">
        <f>SUM(E10,F10)</f>
        <v/>
      </c>
      <c r="H10" s="29" t="n">
        <v>50</v>
      </c>
      <c r="I10" s="29" t="n">
        <v>0</v>
      </c>
      <c r="J10" s="29">
        <f>G10+H10+I10</f>
        <v/>
      </c>
      <c r="K10" s="29" t="n"/>
      <c r="L10" s="29" t="n"/>
      <c r="M10" s="158" t="n"/>
      <c r="N10" s="160" t="inlineStr">
        <is>
          <t>Common water (Majeera)</t>
        </is>
      </c>
      <c r="O10" s="160" t="n">
        <v>2044</v>
      </c>
    </row>
    <row r="11" ht="14.25" customHeight="1" s="366">
      <c r="A11" s="32" t="n">
        <v>104</v>
      </c>
      <c r="B11" s="30" t="n">
        <v>19.23</v>
      </c>
      <c r="C11" s="30" t="n">
        <v>33.84</v>
      </c>
      <c r="D11" s="29">
        <f>(C11-B11)*1000</f>
        <v/>
      </c>
      <c r="E11" s="64">
        <f>ROUND(D11*D23,0)</f>
        <v/>
      </c>
      <c r="F11" s="29" t="n">
        <v>1200</v>
      </c>
      <c r="G11" s="29">
        <f>SUM(E11,F11)</f>
        <v/>
      </c>
      <c r="H11" s="29" t="n">
        <v>50</v>
      </c>
      <c r="I11" s="29" t="n">
        <v>0</v>
      </c>
      <c r="J11" s="29">
        <f>G11+H11+I11</f>
        <v/>
      </c>
      <c r="K11" s="29" t="n"/>
      <c r="L11" s="29" t="n"/>
      <c r="M11" s="158" t="n"/>
      <c r="N11" s="160" t="inlineStr">
        <is>
          <t>common power</t>
        </is>
      </c>
      <c r="O11" s="160" t="n">
        <v>2595</v>
      </c>
    </row>
    <row r="12" ht="14.25" customHeight="1" s="366">
      <c r="A12" s="32" t="n">
        <v>201</v>
      </c>
      <c r="B12" s="30" t="n">
        <v>117.94</v>
      </c>
      <c r="C12" s="30" t="n">
        <v>123.95</v>
      </c>
      <c r="D12" s="29">
        <f>(C12-B12)*1000</f>
        <v/>
      </c>
      <c r="E12" s="64">
        <f>ROUND(D12*D23,0)</f>
        <v/>
      </c>
      <c r="F12" s="29" t="n">
        <v>1200</v>
      </c>
      <c r="G12" s="29">
        <f>SUM(E12,F12)</f>
        <v/>
      </c>
      <c r="H12" s="29" t="n">
        <v>50</v>
      </c>
      <c r="I12" s="29" t="n">
        <v>0</v>
      </c>
      <c r="J12" s="29">
        <f>G12+H12+I12</f>
        <v/>
      </c>
      <c r="K12" s="29" t="n"/>
      <c r="L12" s="29" t="n"/>
      <c r="M12" s="158" t="n"/>
      <c r="N12" s="160" t="inlineStr">
        <is>
          <t>tankers Last Month (17)</t>
        </is>
      </c>
      <c r="O12" s="160" t="n">
        <v>17000</v>
      </c>
    </row>
    <row r="13" ht="14.25" customHeight="1" s="366">
      <c r="A13" s="32" t="n">
        <v>202</v>
      </c>
      <c r="B13" s="30" t="n">
        <v>270.13</v>
      </c>
      <c r="C13" s="30" t="n">
        <v>276.36</v>
      </c>
      <c r="D13" s="29">
        <f>(C13-B13)*1000</f>
        <v/>
      </c>
      <c r="E13" s="64">
        <f>ROUND(D13*D23,0)</f>
        <v/>
      </c>
      <c r="F13" s="29" t="n">
        <v>1200</v>
      </c>
      <c r="G13" s="29">
        <f>SUM(E13,F13)</f>
        <v/>
      </c>
      <c r="H13" s="29" t="n">
        <v>50</v>
      </c>
      <c r="I13" s="29" t="n">
        <v>0</v>
      </c>
      <c r="J13" s="29">
        <f>G13+H13+I13</f>
        <v/>
      </c>
      <c r="K13" s="29" t="n"/>
      <c r="L13" s="29" t="n"/>
      <c r="M13" s="158" t="n"/>
      <c r="N13" s="114" t="inlineStr">
        <is>
          <t>garbage</t>
        </is>
      </c>
      <c r="O13" s="114" t="n">
        <v>800</v>
      </c>
    </row>
    <row r="14" ht="14.25" customHeight="1" s="366">
      <c r="A14" s="32" t="n">
        <v>203</v>
      </c>
      <c r="B14" s="30" t="n">
        <v>15.49</v>
      </c>
      <c r="C14" s="30" t="n">
        <v>22.06</v>
      </c>
      <c r="D14" s="29">
        <f>(C14-B14)*1000</f>
        <v/>
      </c>
      <c r="E14" s="64">
        <f>ROUND(D14*D23,0)</f>
        <v/>
      </c>
      <c r="F14" s="29" t="n">
        <v>1200</v>
      </c>
      <c r="G14" s="29">
        <f>SUM(E14,F14)</f>
        <v/>
      </c>
      <c r="H14" s="29" t="n">
        <v>50</v>
      </c>
      <c r="I14" s="29" t="n">
        <v>0</v>
      </c>
      <c r="J14" s="29">
        <f>G14+H14+I14</f>
        <v/>
      </c>
      <c r="K14" s="29" t="n"/>
      <c r="L14" s="29" t="n"/>
      <c r="M14" s="158" t="n"/>
      <c r="N14" s="114" t="inlineStr">
        <is>
          <t>Muggu</t>
        </is>
      </c>
      <c r="O14" s="114" t="n">
        <v>100</v>
      </c>
    </row>
    <row r="15" ht="14.25" customHeight="1" s="366">
      <c r="A15" s="32" t="n">
        <v>204</v>
      </c>
      <c r="B15" s="30" t="n">
        <v>262.84</v>
      </c>
      <c r="C15" s="30" t="n">
        <v>269.61</v>
      </c>
      <c r="D15" s="29">
        <f>(C15-B15)*1000</f>
        <v/>
      </c>
      <c r="E15" s="64">
        <f>ROUND(D15*D23,0)</f>
        <v/>
      </c>
      <c r="F15" s="29" t="n">
        <v>1200</v>
      </c>
      <c r="G15" s="29">
        <f>SUM(E15,F15)</f>
        <v/>
      </c>
      <c r="H15" s="29" t="n">
        <v>50</v>
      </c>
      <c r="I15" s="29" t="n">
        <v>0</v>
      </c>
      <c r="J15" s="29">
        <f>G15+H15+I15</f>
        <v/>
      </c>
      <c r="K15" s="29" t="n"/>
      <c r="L15" s="29" t="n"/>
      <c r="M15" s="158" t="n"/>
      <c r="N15" s="114" t="inlineStr">
        <is>
          <t>Lizol</t>
        </is>
      </c>
      <c r="O15" s="114" t="n">
        <v>363</v>
      </c>
    </row>
    <row r="16" ht="14.25" customHeight="1" s="366">
      <c r="A16" s="32" t="n">
        <v>301</v>
      </c>
      <c r="B16" s="30" t="n">
        <v>59.35</v>
      </c>
      <c r="C16" s="30" t="n">
        <v>63.99</v>
      </c>
      <c r="D16" s="29">
        <f>(C16-B16)*1000</f>
        <v/>
      </c>
      <c r="E16" s="64">
        <f>ROUND(D16*D23,0)</f>
        <v/>
      </c>
      <c r="F16" s="29" t="n">
        <v>1200</v>
      </c>
      <c r="G16" s="29">
        <f>SUM(E16,F16)</f>
        <v/>
      </c>
      <c r="H16" s="29" t="n">
        <v>50</v>
      </c>
      <c r="I16" s="29" t="n">
        <v>0</v>
      </c>
      <c r="J16" s="29">
        <f>G16+H16+I16</f>
        <v/>
      </c>
      <c r="K16" s="29" t="n"/>
      <c r="L16" s="29" t="n"/>
      <c r="M16" s="158" t="n"/>
      <c r="N16" s="160" t="inlineStr">
        <is>
          <t>List Door Open Buzzer</t>
        </is>
      </c>
      <c r="O16" s="114" t="n">
        <v>850</v>
      </c>
    </row>
    <row r="17" ht="14.25" customHeight="1" s="366">
      <c r="A17" s="32" t="n">
        <v>302</v>
      </c>
      <c r="B17" s="30" t="n">
        <v>150.53</v>
      </c>
      <c r="C17" s="30" t="n">
        <v>160.17</v>
      </c>
      <c r="D17" s="29">
        <f>(C17-B17)*1000</f>
        <v/>
      </c>
      <c r="E17" s="64">
        <f>ROUND(D17*D23,0)</f>
        <v/>
      </c>
      <c r="F17" s="29" t="n">
        <v>1200</v>
      </c>
      <c r="G17" s="29">
        <f>SUM(E17,F17)</f>
        <v/>
      </c>
      <c r="H17" s="29" t="n">
        <v>50</v>
      </c>
      <c r="I17" s="29" t="n">
        <v>0</v>
      </c>
      <c r="J17" s="29">
        <f>G17+H17+I17</f>
        <v/>
      </c>
      <c r="K17" s="29" t="n"/>
      <c r="L17" s="119" t="n"/>
      <c r="M17" s="158" t="n"/>
      <c r="N17" s="114" t="n"/>
      <c r="O17" s="114" t="n"/>
      <c r="P17" s="160" t="n"/>
    </row>
    <row r="18" ht="14.25" customHeight="1" s="366">
      <c r="A18" s="32" t="n">
        <v>303</v>
      </c>
      <c r="B18" s="29" t="n">
        <v>893.45</v>
      </c>
      <c r="C18" s="29" t="n">
        <v>917.05</v>
      </c>
      <c r="D18" s="29">
        <f>(C18-B18)*1000</f>
        <v/>
      </c>
      <c r="E18" s="64">
        <f>ROUND(D18*D23,0)</f>
        <v/>
      </c>
      <c r="F18" s="29" t="n">
        <v>1200</v>
      </c>
      <c r="G18" s="29">
        <f>SUM(E18,F18)</f>
        <v/>
      </c>
      <c r="H18" s="29" t="n">
        <v>50</v>
      </c>
      <c r="I18" s="29" t="n">
        <v>0</v>
      </c>
      <c r="J18" s="29">
        <f>G18+H18+I18</f>
        <v/>
      </c>
      <c r="K18" s="29" t="n"/>
      <c r="L18" s="29" t="n"/>
      <c r="M18" s="158" t="n"/>
      <c r="N18" s="160" t="n"/>
      <c r="O18" s="114" t="n"/>
      <c r="P18" s="160" t="n"/>
    </row>
    <row r="19" ht="14.25" customHeight="1" s="366">
      <c r="A19" s="32" t="n">
        <v>304</v>
      </c>
      <c r="B19" s="30" t="n">
        <v>291.97</v>
      </c>
      <c r="C19" s="30" t="n">
        <v>305.27</v>
      </c>
      <c r="D19" s="29">
        <f>(C19-B19)*1000</f>
        <v/>
      </c>
      <c r="E19" s="64">
        <f>ROUND(D19*D23,0)</f>
        <v/>
      </c>
      <c r="F19" s="29" t="n">
        <v>1200</v>
      </c>
      <c r="G19" s="29">
        <f>SUM(E19,F19)</f>
        <v/>
      </c>
      <c r="H19" s="29" t="n">
        <v>50</v>
      </c>
      <c r="I19" s="29" t="n">
        <v>0</v>
      </c>
      <c r="J19" s="29">
        <f>G19+H19+I19</f>
        <v/>
      </c>
      <c r="K19" s="29" t="n"/>
      <c r="L19" s="29" t="n"/>
      <c r="M19" s="158" t="n"/>
      <c r="N19" s="114" t="n"/>
      <c r="O19" s="114" t="n"/>
      <c r="P19" s="160" t="n"/>
    </row>
    <row r="20" ht="14.25" customHeight="1" s="366">
      <c r="A20" s="29" t="inlineStr">
        <is>
          <t>Common</t>
        </is>
      </c>
      <c r="B20" s="30" t="n">
        <v>309.72</v>
      </c>
      <c r="C20" s="30" t="n">
        <v>322.41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 t="n"/>
      <c r="J20" s="29">
        <f>G20+H20</f>
        <v/>
      </c>
      <c r="K20" s="29" t="n"/>
      <c r="L20" s="29" t="n"/>
      <c r="M20" s="51" t="n"/>
      <c r="N20" s="114" t="n"/>
      <c r="O20" s="114" t="n"/>
      <c r="P20" s="160" t="n"/>
    </row>
    <row r="21" ht="14.25" customHeight="1" s="366">
      <c r="A21" s="29" t="n"/>
      <c r="B21" s="29" t="n"/>
      <c r="C21" s="29" t="n"/>
      <c r="D21" s="29" t="n"/>
      <c r="E21" s="29" t="n"/>
      <c r="F21" s="49" t="n"/>
      <c r="G21" s="49" t="n"/>
      <c r="H21" s="49">
        <f>SUM(H2:H20)</f>
        <v/>
      </c>
      <c r="I21" s="49" t="n"/>
      <c r="J21" s="49">
        <f>SUM(J2:J20)</f>
        <v/>
      </c>
      <c r="K21" s="49">
        <f>SUM(K2:K19)</f>
        <v/>
      </c>
      <c r="L21" s="49" t="n"/>
      <c r="M21" s="29" t="n"/>
      <c r="N21" s="114" t="n"/>
      <c r="O21" s="121" t="n"/>
      <c r="P21" s="160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02">
        <f>SUM(E4:E19)</f>
        <v/>
      </c>
      <c r="F22" s="29" t="n"/>
      <c r="G22" s="29" t="n"/>
      <c r="H22" s="29" t="n"/>
      <c r="I22" s="29" t="n"/>
      <c r="J22" s="29" t="n"/>
      <c r="K22" s="29" t="n"/>
      <c r="L22" s="29" t="n"/>
      <c r="M22" s="29" t="n"/>
      <c r="N22" s="152" t="n"/>
      <c r="O22" s="152" t="n"/>
      <c r="P22" s="160" t="n"/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 t="n"/>
      <c r="I23" s="29" t="n"/>
      <c r="J23" s="29" t="n"/>
      <c r="K23" s="29" t="n"/>
      <c r="L23" s="29" t="n"/>
      <c r="M23" s="29" t="n"/>
      <c r="N23" s="114" t="n"/>
      <c r="O23" s="114" t="n"/>
      <c r="P23" s="160" t="n"/>
    </row>
    <row r="24" ht="14.25" customHeight="1" s="366">
      <c r="A24" s="119" t="inlineStr">
        <is>
          <t>Total Water Bill</t>
        </is>
      </c>
      <c r="B24" s="30">
        <f>17*1000</f>
        <v/>
      </c>
      <c r="C24" s="119" t="inlineStr">
        <is>
          <t xml:space="preserve">WATER Tankers(17)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P24" s="160" t="n"/>
    </row>
    <row r="25" ht="14.25" customHeight="1" s="366"/>
    <row r="26" ht="14.25" customHeight="1" s="366"/>
    <row r="27" ht="14.25" customHeight="1" s="366"/>
    <row r="28" ht="14.25" customHeight="1" s="366">
      <c r="O28" s="1">
        <f>SUM(O9:O25)</f>
        <v/>
      </c>
      <c r="P28" s="1" t="n"/>
    </row>
    <row r="29" ht="14.25" customHeight="1" s="366">
      <c r="P29" s="1" t="n"/>
    </row>
    <row r="30" ht="14.25" customHeight="1" s="366">
      <c r="E30" s="1" t="n"/>
      <c r="F30" s="203" t="n"/>
    </row>
    <row r="31" ht="14.25" customHeight="1" s="366">
      <c r="E31" s="1" t="n"/>
      <c r="F31" s="1" t="n"/>
    </row>
    <row r="33" ht="14.25" customHeight="1" s="366">
      <c r="H33" s="1" t="n"/>
      <c r="I33" s="1" t="n"/>
    </row>
    <row r="34" ht="14.25" customHeight="1" s="366"/>
    <row r="35" ht="14.25" customHeight="1" s="366"/>
    <row r="36" ht="14.25" customHeight="1" s="366"/>
    <row r="37" ht="14.25" customHeight="1" s="366"/>
    <row r="38" ht="14.25" customHeight="1" s="366"/>
    <row r="39" ht="14.25" customHeight="1" s="366">
      <c r="L39" s="160" t="n"/>
      <c r="M39" s="160" t="n"/>
      <c r="N39" s="160" t="n"/>
    </row>
    <row r="40" ht="14.25" customHeight="1" s="366">
      <c r="L40" s="160" t="n">
        <v>203</v>
      </c>
      <c r="M40" s="160" t="inlineStr">
        <is>
          <t xml:space="preserve">Total reading </t>
        </is>
      </c>
      <c r="N40" s="160" t="n">
        <v>8.859999999999999</v>
      </c>
    </row>
    <row r="41" ht="14.25" customHeight="1" s="366">
      <c r="L41" s="160" t="n">
        <v>104</v>
      </c>
      <c r="M41" s="160" t="inlineStr">
        <is>
          <t xml:space="preserve">Total reading </t>
        </is>
      </c>
      <c r="N41" s="160" t="n">
        <v>11.4</v>
      </c>
    </row>
    <row r="42" ht="14.25" customHeight="1" s="366">
      <c r="L42" s="160" t="n">
        <v>302</v>
      </c>
      <c r="M42" s="160" t="inlineStr">
        <is>
          <t>stuck at 144.42 from their previous meter reading is considered</t>
        </is>
      </c>
      <c r="N42" s="160" t="n">
        <v>4.72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42"/>
  <sheetViews>
    <sheetView zoomScale="78" workbookViewId="0">
      <selection activeCell="K21" sqref="K21"/>
    </sheetView>
  </sheetViews>
  <sheetFormatPr baseColWidth="8" defaultColWidth="14.42578125" defaultRowHeight="15"/>
  <cols>
    <col width="9" customWidth="1" style="366" min="1" max="1"/>
    <col width="22.7109375" customWidth="1" style="366" min="2" max="2"/>
    <col width="21.7109375" customWidth="1" style="366" min="3" max="3"/>
    <col width="10.5703125" customWidth="1" style="366" min="4" max="4"/>
    <col width="9.85546875" customWidth="1" style="366" min="5" max="5"/>
    <col width="21" customWidth="1" style="366" min="6" max="6"/>
    <col width="17.85546875" customWidth="1" style="366" min="7" max="7"/>
    <col width="16.140625" customWidth="1" style="366" min="8" max="8"/>
    <col width="16.42578125" customWidth="1" style="366" min="9" max="9"/>
    <col width="6.7109375" customWidth="1" style="366" min="10" max="10"/>
    <col width="15.7109375" customWidth="1" style="366" min="11" max="11"/>
    <col width="4" bestFit="1" customWidth="1" style="366" min="12" max="12"/>
    <col width="14.85546875" customWidth="1" style="366" min="13" max="13"/>
    <col width="30.28515625" bestFit="1" customWidth="1" style="366" min="14" max="14"/>
    <col width="7" customWidth="1" style="366" min="15" max="15"/>
    <col width="32.7109375" customWidth="1" style="366" min="16" max="16"/>
    <col width="8.7109375" customWidth="1" style="366" min="17" max="26"/>
  </cols>
  <sheetData>
    <row r="1" ht="14.25" customHeight="1" s="366">
      <c r="A1" s="49" t="inlineStr">
        <is>
          <t>`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>Dussera Payment</t>
        </is>
      </c>
      <c r="J1" s="146" t="inlineStr">
        <is>
          <t xml:space="preserve">Topay </t>
        </is>
      </c>
      <c r="K1" s="146" t="inlineStr">
        <is>
          <t>Receive Amount</t>
        </is>
      </c>
      <c r="L1" s="146" t="n"/>
      <c r="M1" s="146" t="inlineStr">
        <is>
          <t>Payment Status</t>
        </is>
      </c>
      <c r="N1" s="154" t="inlineStr">
        <is>
          <t>Balance amount (Aug)-24</t>
        </is>
      </c>
      <c r="O1" s="151" t="n">
        <v>27554</v>
      </c>
    </row>
    <row r="2" ht="14.25" customHeight="1" s="366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 t="n">
        <v>0</v>
      </c>
      <c r="J2" s="29">
        <f>G2+H2</f>
        <v/>
      </c>
      <c r="K2" s="29">
        <f>J2</f>
        <v/>
      </c>
      <c r="L2" s="29" t="n"/>
      <c r="M2" s="158" t="n"/>
      <c r="N2" s="148" t="n"/>
      <c r="O2" s="149" t="n"/>
    </row>
    <row r="3" ht="14.25" customHeight="1" s="366">
      <c r="A3" s="72" t="inlineStr">
        <is>
          <t>Shop-2</t>
        </is>
      </c>
      <c r="B3" s="29" t="inlineStr">
        <is>
          <t>NA</t>
        </is>
      </c>
      <c r="C3" s="30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0</v>
      </c>
      <c r="J3" s="29">
        <f>G3+H3</f>
        <v/>
      </c>
      <c r="K3" s="29">
        <f>J3</f>
        <v/>
      </c>
      <c r="L3" s="29" t="n"/>
      <c r="M3" s="158" t="n"/>
      <c r="N3" s="148" t="n"/>
      <c r="O3" s="148" t="n"/>
    </row>
    <row r="4" ht="14.25" customHeight="1" s="366">
      <c r="A4" s="32" t="inlineStr">
        <is>
          <t>G1</t>
        </is>
      </c>
      <c r="B4" s="30" t="n">
        <v>117.23</v>
      </c>
      <c r="C4" s="30" t="n">
        <v>122.27</v>
      </c>
      <c r="D4" s="29">
        <f>(C4-B4)*1000</f>
        <v/>
      </c>
      <c r="E4" s="64">
        <f>ROUND(D4*D23,0)</f>
        <v/>
      </c>
      <c r="F4" s="29" t="n">
        <v>1200</v>
      </c>
      <c r="G4" s="29">
        <f>SUM(E4,F4)</f>
        <v/>
      </c>
      <c r="H4" s="29" t="n">
        <v>50</v>
      </c>
      <c r="I4" s="29" t="n">
        <v>0</v>
      </c>
      <c r="J4" s="29">
        <f>G4+H4+I4</f>
        <v/>
      </c>
      <c r="K4" s="29">
        <f>J4</f>
        <v/>
      </c>
      <c r="L4" s="156" t="n"/>
      <c r="M4" s="158" t="n"/>
      <c r="N4" s="160" t="n"/>
      <c r="O4" s="160" t="n"/>
    </row>
    <row r="5" ht="14.25" customHeight="1" s="366">
      <c r="A5" s="32" t="inlineStr">
        <is>
          <t>G2</t>
        </is>
      </c>
      <c r="B5" s="30" t="n">
        <v>201.81</v>
      </c>
      <c r="C5" s="30" t="n">
        <v>208.65</v>
      </c>
      <c r="D5" s="29">
        <f>(C5-B5)*1000</f>
        <v/>
      </c>
      <c r="E5" s="64">
        <f>ROUND(D5*D23,0)</f>
        <v/>
      </c>
      <c r="F5" s="29" t="n">
        <v>1200</v>
      </c>
      <c r="G5" s="29">
        <f>SUM(E5,F5)</f>
        <v/>
      </c>
      <c r="H5" s="29" t="n">
        <v>50</v>
      </c>
      <c r="I5" s="29" t="n">
        <v>0</v>
      </c>
      <c r="J5" s="29">
        <f>G5+H5+I5</f>
        <v/>
      </c>
      <c r="K5" s="29">
        <f>J5</f>
        <v/>
      </c>
      <c r="L5" s="29" t="n"/>
      <c r="M5" s="158" t="n"/>
      <c r="N5" s="114" t="n"/>
      <c r="O5" s="114" t="n"/>
    </row>
    <row r="6" ht="14.25" customHeight="1" s="366">
      <c r="A6" s="32" t="inlineStr">
        <is>
          <t>G3</t>
        </is>
      </c>
      <c r="B6" s="30" t="n">
        <v>399.65</v>
      </c>
      <c r="C6" s="30" t="n">
        <v>412.3</v>
      </c>
      <c r="D6" s="29">
        <f>(C6-B6)*1000</f>
        <v/>
      </c>
      <c r="E6" s="64">
        <f>ROUND(D6*D23,0)</f>
        <v/>
      </c>
      <c r="F6" s="29" t="n">
        <v>1200</v>
      </c>
      <c r="G6" s="29">
        <f>SUM(E6,F6)</f>
        <v/>
      </c>
      <c r="H6" s="29" t="n">
        <v>50</v>
      </c>
      <c r="I6" s="29" t="n">
        <v>0</v>
      </c>
      <c r="J6" s="29">
        <f>G6+H6+I6</f>
        <v/>
      </c>
      <c r="K6" s="29">
        <f>J6</f>
        <v/>
      </c>
      <c r="L6" s="29" t="n"/>
      <c r="M6" s="158" t="n"/>
      <c r="N6" s="114" t="n"/>
      <c r="O6" s="114" t="n"/>
    </row>
    <row r="7" ht="14.25" customHeight="1" s="366">
      <c r="A7" s="32" t="inlineStr">
        <is>
          <t>G4</t>
        </is>
      </c>
      <c r="B7" s="30" t="n">
        <v>326.35</v>
      </c>
      <c r="C7" s="30" t="n">
        <v>336.32</v>
      </c>
      <c r="D7" s="29">
        <f>(C7-B7)*1000</f>
        <v/>
      </c>
      <c r="E7" s="64">
        <f>ROUND(D7*D23,0)</f>
        <v/>
      </c>
      <c r="F7" s="29" t="n">
        <v>1200</v>
      </c>
      <c r="G7" s="29">
        <f>SUM(E7,F7)</f>
        <v/>
      </c>
      <c r="H7" s="29" t="n">
        <v>50</v>
      </c>
      <c r="I7" s="29" t="n">
        <v>0</v>
      </c>
      <c r="J7" s="29">
        <f>G7+H7+I7</f>
        <v/>
      </c>
      <c r="K7" s="29">
        <f>J7</f>
        <v/>
      </c>
      <c r="L7" s="29" t="n"/>
      <c r="M7" s="158" t="n"/>
      <c r="N7" s="114" t="n"/>
      <c r="O7" s="114" t="n"/>
    </row>
    <row r="8" ht="14.25" customHeight="1" s="366">
      <c r="A8" s="32" t="n">
        <v>101</v>
      </c>
      <c r="B8" s="30" t="n">
        <v>64.40000000000001</v>
      </c>
      <c r="C8" s="30" t="n">
        <v>68.73999999999999</v>
      </c>
      <c r="D8" s="29">
        <f>(C8-B8)*1000</f>
        <v/>
      </c>
      <c r="E8" s="64">
        <f>ROUND(D8*D23,0)</f>
        <v/>
      </c>
      <c r="F8" s="29" t="n">
        <v>1200</v>
      </c>
      <c r="G8" s="29">
        <f>SUM(E8,F8)</f>
        <v/>
      </c>
      <c r="H8" s="29" t="n">
        <v>50</v>
      </c>
      <c r="I8" s="29" t="n">
        <v>0</v>
      </c>
      <c r="J8" s="29">
        <f>G8+H8+I8</f>
        <v/>
      </c>
      <c r="K8" s="29">
        <f>J8</f>
        <v/>
      </c>
      <c r="L8" s="29" t="n"/>
      <c r="M8" s="158" t="n"/>
      <c r="N8" s="153" t="inlineStr">
        <is>
          <t>Expenditures</t>
        </is>
      </c>
      <c r="O8" s="153" t="n"/>
    </row>
    <row r="9" ht="14.25" customHeight="1" s="366">
      <c r="A9" s="32" t="n">
        <v>102</v>
      </c>
      <c r="B9" s="30" t="n">
        <v>587.53</v>
      </c>
      <c r="C9" s="30" t="n">
        <v>597.64</v>
      </c>
      <c r="D9" s="29">
        <f>(C9-B9)*1000</f>
        <v/>
      </c>
      <c r="E9" s="64">
        <f>ROUND(D9*D23,0)</f>
        <v/>
      </c>
      <c r="F9" s="29" t="n">
        <v>1200</v>
      </c>
      <c r="G9" s="29">
        <f>SUM(E9,F9)</f>
        <v/>
      </c>
      <c r="H9" s="29" t="n">
        <v>50</v>
      </c>
      <c r="I9" s="29" t="n">
        <v>0</v>
      </c>
      <c r="J9" s="29">
        <f>G9+H9+I9</f>
        <v/>
      </c>
      <c r="K9" s="29">
        <f>J9</f>
        <v/>
      </c>
      <c r="L9" s="29" t="n"/>
      <c r="M9" s="158" t="n"/>
      <c r="N9" s="114" t="inlineStr">
        <is>
          <t>watchman salary</t>
        </is>
      </c>
      <c r="O9" s="160" t="n">
        <v>6500</v>
      </c>
    </row>
    <row r="10" ht="14.25" customHeight="1" s="366">
      <c r="A10" s="32" t="n">
        <v>103</v>
      </c>
      <c r="B10" s="29" t="n">
        <v>218.43</v>
      </c>
      <c r="C10" s="29" t="n">
        <v>231.42</v>
      </c>
      <c r="D10" s="29">
        <f>(C10-B10)*1000</f>
        <v/>
      </c>
      <c r="E10" s="64">
        <f>ROUND(D10*D23,0)</f>
        <v/>
      </c>
      <c r="F10" s="29" t="n">
        <v>1200</v>
      </c>
      <c r="G10" s="29">
        <f>SUM(E10,F10)</f>
        <v/>
      </c>
      <c r="H10" s="29" t="n">
        <v>50</v>
      </c>
      <c r="I10" s="29" t="n">
        <v>0</v>
      </c>
      <c r="J10" s="29">
        <f>G10+H10+I10</f>
        <v/>
      </c>
      <c r="K10" s="29">
        <f>J10</f>
        <v/>
      </c>
      <c r="L10" s="29" t="n"/>
      <c r="M10" s="158" t="n"/>
      <c r="N10" s="160" t="inlineStr">
        <is>
          <t>Common water (Majeera)</t>
        </is>
      </c>
      <c r="O10" s="160" t="n">
        <v>2044</v>
      </c>
    </row>
    <row r="11" ht="14.25" customHeight="1" s="366">
      <c r="A11" s="32" t="n">
        <v>104</v>
      </c>
      <c r="B11" s="30" t="n">
        <v>33.84</v>
      </c>
      <c r="C11" s="30" t="n">
        <v>43.78</v>
      </c>
      <c r="D11" s="29">
        <f>(C11-B11)*1000</f>
        <v/>
      </c>
      <c r="E11" s="64">
        <f>ROUND(D11*D23,0)</f>
        <v/>
      </c>
      <c r="F11" s="29" t="n">
        <v>1200</v>
      </c>
      <c r="G11" s="29">
        <f>SUM(E11,F11)</f>
        <v/>
      </c>
      <c r="H11" s="29" t="n">
        <v>50</v>
      </c>
      <c r="I11" s="29" t="n">
        <v>0</v>
      </c>
      <c r="J11" s="29">
        <f>G11+H11+I11</f>
        <v/>
      </c>
      <c r="K11" s="29">
        <f>J11</f>
        <v/>
      </c>
      <c r="L11" s="29" t="n"/>
      <c r="M11" s="158" t="n"/>
      <c r="N11" s="160" t="inlineStr">
        <is>
          <t>common power</t>
        </is>
      </c>
      <c r="O11" s="160" t="n">
        <v>2597</v>
      </c>
    </row>
    <row r="12" ht="14.25" customHeight="1" s="366">
      <c r="A12" s="32" t="n">
        <v>201</v>
      </c>
      <c r="B12" s="30" t="n">
        <v>123.95</v>
      </c>
      <c r="C12" s="30" t="n">
        <v>131</v>
      </c>
      <c r="D12" s="29">
        <f>(C12-B12)*1000</f>
        <v/>
      </c>
      <c r="E12" s="64">
        <f>ROUND(D12*D23,0)</f>
        <v/>
      </c>
      <c r="F12" s="29" t="n">
        <v>1200</v>
      </c>
      <c r="G12" s="29">
        <f>SUM(E12,F12)</f>
        <v/>
      </c>
      <c r="H12" s="29" t="n">
        <v>50</v>
      </c>
      <c r="I12" s="29" t="n">
        <v>0</v>
      </c>
      <c r="J12" s="29">
        <f>G12+H12+I12</f>
        <v/>
      </c>
      <c r="K12" s="29">
        <f>J12</f>
        <v/>
      </c>
      <c r="L12" s="29" t="n"/>
      <c r="M12" s="158" t="n"/>
      <c r="N12" s="160" t="inlineStr">
        <is>
          <t>tanker</t>
        </is>
      </c>
      <c r="O12" s="160" t="n">
        <v>15000</v>
      </c>
    </row>
    <row r="13" ht="14.25" customHeight="1" s="366">
      <c r="A13" s="32" t="n">
        <v>202</v>
      </c>
      <c r="B13" s="30" t="n">
        <v>276.36</v>
      </c>
      <c r="C13" s="30" t="n">
        <v>282.22</v>
      </c>
      <c r="D13" s="29">
        <f>(C13-B13)*1000</f>
        <v/>
      </c>
      <c r="E13" s="64">
        <f>ROUND(D13*D23,0)</f>
        <v/>
      </c>
      <c r="F13" s="29" t="n">
        <v>1200</v>
      </c>
      <c r="G13" s="29">
        <f>SUM(E13,F13)</f>
        <v/>
      </c>
      <c r="H13" s="29" t="n">
        <v>50</v>
      </c>
      <c r="I13" s="29" t="n">
        <v>0</v>
      </c>
      <c r="J13" s="29">
        <f>G13+H13+I13</f>
        <v/>
      </c>
      <c r="K13" s="29">
        <f>J13</f>
        <v/>
      </c>
      <c r="L13" s="29" t="n"/>
      <c r="M13" s="158" t="n"/>
      <c r="N13" s="114" t="inlineStr">
        <is>
          <t>garbage</t>
        </is>
      </c>
      <c r="O13" s="114" t="n">
        <v>1000</v>
      </c>
    </row>
    <row r="14" ht="14.25" customHeight="1" s="366">
      <c r="A14" s="32" t="n">
        <v>203</v>
      </c>
      <c r="B14" s="30" t="n">
        <v>22.06</v>
      </c>
      <c r="C14" s="30" t="n">
        <v>30.05</v>
      </c>
      <c r="D14" s="29">
        <f>(C14-B14)*1000</f>
        <v/>
      </c>
      <c r="E14" s="64">
        <f>ROUND(D14*D23,0)</f>
        <v/>
      </c>
      <c r="F14" s="29" t="n">
        <v>1200</v>
      </c>
      <c r="G14" s="29">
        <f>SUM(E14,F14)</f>
        <v/>
      </c>
      <c r="H14" s="29" t="n">
        <v>50</v>
      </c>
      <c r="I14" s="29" t="n">
        <v>0</v>
      </c>
      <c r="J14" s="29">
        <f>G14+H14+I14</f>
        <v/>
      </c>
      <c r="K14" s="29">
        <f>J14</f>
        <v/>
      </c>
      <c r="L14" s="29" t="n"/>
      <c r="M14" s="158" t="n"/>
      <c r="N14" s="114" t="inlineStr">
        <is>
          <t>Vinakaya Chavithi Flowers</t>
        </is>
      </c>
      <c r="O14" s="114" t="n">
        <v>770</v>
      </c>
    </row>
    <row r="15" ht="14.25" customHeight="1" s="366">
      <c r="A15" s="32" t="n">
        <v>204</v>
      </c>
      <c r="B15" s="30" t="n">
        <v>269.61</v>
      </c>
      <c r="C15" s="30" t="n">
        <v>276.12</v>
      </c>
      <c r="D15" s="29">
        <f>(C15-B15)*1000</f>
        <v/>
      </c>
      <c r="E15" s="64">
        <f>ROUND(D15*D23,0)</f>
        <v/>
      </c>
      <c r="F15" s="29" t="n">
        <v>1200</v>
      </c>
      <c r="G15" s="29">
        <f>SUM(E15,F15)</f>
        <v/>
      </c>
      <c r="H15" s="29" t="n">
        <v>50</v>
      </c>
      <c r="I15" s="29" t="n">
        <v>0</v>
      </c>
      <c r="J15" s="29">
        <f>G15+H15+I15</f>
        <v/>
      </c>
      <c r="K15" s="29">
        <f>J15</f>
        <v/>
      </c>
      <c r="L15" s="29" t="n"/>
      <c r="M15" s="158" t="n"/>
      <c r="N15" s="114" t="inlineStr">
        <is>
          <t>Muggu color</t>
        </is>
      </c>
      <c r="O15" s="114" t="n">
        <v>20</v>
      </c>
    </row>
    <row r="16" ht="14.25" customHeight="1" s="366">
      <c r="A16" s="32" t="n">
        <v>301</v>
      </c>
      <c r="B16" s="30" t="n">
        <v>63.99</v>
      </c>
      <c r="C16" s="30" t="n">
        <v>70.14</v>
      </c>
      <c r="D16" s="29">
        <f>(C16-B16)*1000</f>
        <v/>
      </c>
      <c r="E16" s="64">
        <f>ROUND(D16*D23,0)</f>
        <v/>
      </c>
      <c r="F16" s="29" t="n">
        <v>1200</v>
      </c>
      <c r="G16" s="29">
        <f>SUM(E16,F16)</f>
        <v/>
      </c>
      <c r="H16" s="29" t="n">
        <v>50</v>
      </c>
      <c r="I16" s="29" t="n">
        <v>0</v>
      </c>
      <c r="J16" s="29">
        <f>G16+H16+I16</f>
        <v/>
      </c>
      <c r="K16" s="29">
        <f>J16</f>
        <v/>
      </c>
      <c r="L16" s="29" t="n"/>
      <c r="M16" s="158" t="n"/>
      <c r="N16" s="160" t="inlineStr">
        <is>
          <t>Prasadam Cups/Glasses</t>
        </is>
      </c>
      <c r="O16" s="114" t="n">
        <v>235</v>
      </c>
    </row>
    <row r="17" ht="14.25" customHeight="1" s="366">
      <c r="A17" s="32" t="n">
        <v>302</v>
      </c>
      <c r="B17" s="30" t="n">
        <v>160.17</v>
      </c>
      <c r="C17" s="30" t="n">
        <v>169.62</v>
      </c>
      <c r="D17" s="29">
        <f>(C17-B17)*1000</f>
        <v/>
      </c>
      <c r="E17" s="64">
        <f>ROUND(D17*D23,0)</f>
        <v/>
      </c>
      <c r="F17" s="29" t="n">
        <v>1200</v>
      </c>
      <c r="G17" s="29">
        <f>SUM(E17,F17)</f>
        <v/>
      </c>
      <c r="H17" s="29" t="n">
        <v>50</v>
      </c>
      <c r="I17" s="29" t="n">
        <v>0</v>
      </c>
      <c r="J17" s="29">
        <f>G17+H17+I17</f>
        <v/>
      </c>
      <c r="K17" s="29">
        <f>J17</f>
        <v/>
      </c>
      <c r="L17" s="119" t="n"/>
      <c r="M17" s="158" t="n"/>
      <c r="N17" s="114" t="inlineStr">
        <is>
          <t>Bulbs (8)</t>
        </is>
      </c>
      <c r="O17" s="114">
        <f>523+249</f>
        <v/>
      </c>
      <c r="P17" s="160" t="n"/>
    </row>
    <row r="18" ht="14.25" customHeight="1" s="366">
      <c r="A18" s="32" t="n">
        <v>303</v>
      </c>
      <c r="B18" s="29" t="n">
        <v>917.05</v>
      </c>
      <c r="C18" s="29" t="n">
        <v>927.17</v>
      </c>
      <c r="D18" s="29">
        <f>(C18-B18)*1000</f>
        <v/>
      </c>
      <c r="E18" s="64">
        <f>ROUND(D18*D23,0)</f>
        <v/>
      </c>
      <c r="F18" s="29" t="n">
        <v>1200</v>
      </c>
      <c r="G18" s="29">
        <f>SUM(E18,F18)</f>
        <v/>
      </c>
      <c r="H18" s="29" t="n">
        <v>50</v>
      </c>
      <c r="I18" s="29" t="n">
        <v>0</v>
      </c>
      <c r="J18" s="29">
        <f>G18+H18+I18</f>
        <v/>
      </c>
      <c r="K18" s="29">
        <f>J18</f>
        <v/>
      </c>
      <c r="L18" s="29" t="n"/>
      <c r="M18" s="158" t="n"/>
      <c r="N18" s="160" t="inlineStr">
        <is>
          <t xml:space="preserve">Softner Electrical board </t>
        </is>
      </c>
      <c r="O18" s="114" t="n">
        <v>220</v>
      </c>
      <c r="P18" s="160" t="n"/>
    </row>
    <row r="19" ht="14.25" customHeight="1" s="366">
      <c r="A19" s="32" t="n">
        <v>304</v>
      </c>
      <c r="B19" s="30" t="n">
        <v>305.27</v>
      </c>
      <c r="C19" s="30" t="n">
        <v>316.71</v>
      </c>
      <c r="D19" s="29">
        <f>(C19-B19)*1000</f>
        <v/>
      </c>
      <c r="E19" s="64">
        <f>ROUND(D19*D23,0)</f>
        <v/>
      </c>
      <c r="F19" s="29" t="n">
        <v>1200</v>
      </c>
      <c r="G19" s="29">
        <f>SUM(E19,F19)</f>
        <v/>
      </c>
      <c r="H19" s="29" t="n">
        <v>50</v>
      </c>
      <c r="I19" s="29" t="n">
        <v>0</v>
      </c>
      <c r="J19" s="29">
        <f>G19+H19+I19</f>
        <v/>
      </c>
      <c r="K19" s="29">
        <f>J19</f>
        <v/>
      </c>
      <c r="L19" s="29" t="n"/>
      <c r="M19" s="158" t="n"/>
      <c r="N19" s="114" t="inlineStr">
        <is>
          <t>Electri</t>
        </is>
      </c>
      <c r="O19" s="114" t="n">
        <v>500</v>
      </c>
      <c r="P19" s="160" t="n"/>
    </row>
    <row r="20" ht="14.25" customHeight="1" s="366">
      <c r="A20" s="29" t="inlineStr">
        <is>
          <t>Common</t>
        </is>
      </c>
      <c r="B20" s="30" t="n">
        <v>322.41</v>
      </c>
      <c r="C20" s="30" t="n">
        <v>332.08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 t="n"/>
      <c r="J20" s="29">
        <f>G20+H20</f>
        <v/>
      </c>
      <c r="K20" s="29">
        <f>J20</f>
        <v/>
      </c>
      <c r="L20" s="29" t="n"/>
      <c r="M20" s="51" t="n"/>
      <c r="N20" s="114" t="n"/>
      <c r="O20" s="114" t="n"/>
      <c r="P20" s="160" t="n"/>
    </row>
    <row r="21" ht="14.25" customHeight="1" s="366">
      <c r="A21" s="29" t="n"/>
      <c r="B21" s="29" t="n"/>
      <c r="C21" s="29" t="n"/>
      <c r="D21" s="29" t="n"/>
      <c r="E21" s="29" t="n"/>
      <c r="F21" s="49" t="n"/>
      <c r="G21" s="49" t="n"/>
      <c r="H21" s="49">
        <f>SUM(H2:H20)</f>
        <v/>
      </c>
      <c r="I21" s="49" t="n"/>
      <c r="J21" s="49">
        <f>SUM(J2:J20)</f>
        <v/>
      </c>
      <c r="K21" s="49">
        <f>SUM(K2:K19)</f>
        <v/>
      </c>
      <c r="L21" s="49" t="n"/>
      <c r="M21" s="29" t="n"/>
      <c r="N21" s="114" t="n"/>
      <c r="O21" s="121" t="n"/>
      <c r="P21" s="160" t="n"/>
    </row>
    <row r="22" ht="14.25" customHeight="1" s="366">
      <c r="A22" s="29" t="n"/>
      <c r="B22" s="29" t="inlineStr">
        <is>
          <t>Total Usage Units</t>
        </is>
      </c>
      <c r="C22" s="29" t="n"/>
      <c r="D22" s="30">
        <f>SUM(D4:D20)</f>
        <v/>
      </c>
      <c r="E22" s="202">
        <f>SUM(E4:E19)</f>
        <v/>
      </c>
      <c r="F22" s="29" t="n"/>
      <c r="G22" s="29" t="n"/>
      <c r="H22" s="29" t="n"/>
      <c r="I22" s="29" t="n"/>
      <c r="J22" s="29" t="n"/>
      <c r="K22" s="29" t="n"/>
      <c r="L22" s="29" t="n"/>
      <c r="M22" s="29" t="n"/>
      <c r="N22" s="152" t="n"/>
      <c r="O22" s="152" t="n"/>
      <c r="P22" s="160" t="n"/>
    </row>
    <row r="23" ht="14.2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 t="n"/>
      <c r="I23" s="29" t="n"/>
      <c r="J23" s="29" t="n"/>
      <c r="K23" s="29" t="n"/>
      <c r="L23" s="29" t="n"/>
      <c r="M23" s="29" t="n"/>
      <c r="N23" s="114" t="n"/>
      <c r="O23" s="114" t="n"/>
      <c r="P23" s="160" t="n"/>
    </row>
    <row r="24" ht="14.25" customHeight="1" s="366">
      <c r="A24" s="119" t="inlineStr">
        <is>
          <t>Total Water Bill</t>
        </is>
      </c>
      <c r="B24" s="30">
        <f>15*1000</f>
        <v/>
      </c>
      <c r="C24" s="119" t="inlineStr">
        <is>
          <t xml:space="preserve">WATER Tankers(15)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P24" s="160" t="n"/>
    </row>
    <row r="25" ht="14.25" customHeight="1" s="366"/>
    <row r="26" ht="14.25" customHeight="1" s="366"/>
    <row r="27" ht="14.25" customHeight="1" s="366"/>
    <row r="28" ht="14.25" customHeight="1" s="366">
      <c r="O28" s="1">
        <f>SUM(O9:O25)</f>
        <v/>
      </c>
      <c r="P28" s="1" t="n"/>
    </row>
    <row r="29" ht="14.25" customHeight="1" s="366">
      <c r="P29" s="1" t="n"/>
    </row>
    <row r="30" ht="14.25" customHeight="1" s="366">
      <c r="E30" s="1" t="n"/>
      <c r="F30" s="203" t="n"/>
    </row>
    <row r="31" ht="14.25" customHeight="1" s="366">
      <c r="E31" s="1" t="n"/>
      <c r="F31" s="1" t="n"/>
    </row>
    <row r="33" ht="14.25" customHeight="1" s="366">
      <c r="H33" s="1" t="n"/>
      <c r="I33" s="1" t="n"/>
      <c r="M33" s="331">
        <f>K21+O1-O28</f>
        <v/>
      </c>
    </row>
    <row r="34" ht="14.25" customHeight="1" s="366"/>
    <row r="35" ht="14.25" customHeight="1" s="366"/>
    <row r="36" ht="14.25" customHeight="1" s="366"/>
    <row r="37" ht="14.25" customHeight="1" s="366"/>
    <row r="38" ht="14.25" customHeight="1" s="366"/>
    <row r="39" ht="14.25" customHeight="1" s="366">
      <c r="L39" s="160" t="n"/>
      <c r="M39" s="160" t="n"/>
      <c r="N39" s="160" t="n"/>
    </row>
    <row r="40" ht="14.25" customHeight="1" s="366">
      <c r="L40" s="160" t="n">
        <v>203</v>
      </c>
      <c r="M40" s="160" t="inlineStr">
        <is>
          <t xml:space="preserve">Total reading </t>
        </is>
      </c>
      <c r="N40" s="160" t="n">
        <v>8.859999999999999</v>
      </c>
    </row>
    <row r="41" ht="14.25" customHeight="1" s="366">
      <c r="L41" s="160" t="n">
        <v>104</v>
      </c>
      <c r="M41" s="160" t="inlineStr">
        <is>
          <t xml:space="preserve">Total reading </t>
        </is>
      </c>
      <c r="N41" s="160" t="n">
        <v>11.4</v>
      </c>
    </row>
    <row r="42" ht="14.25" customHeight="1" s="366">
      <c r="L42" s="160" t="n">
        <v>302</v>
      </c>
      <c r="M42" s="160" t="inlineStr">
        <is>
          <t>stuck at 144.42 from their previous meter reading is considered</t>
        </is>
      </c>
      <c r="N42" s="160" t="n">
        <v>4.72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8"/>
  <sheetViews>
    <sheetView zoomScale="85" workbookViewId="0">
      <selection activeCell="K18" sqref="K18"/>
    </sheetView>
  </sheetViews>
  <sheetFormatPr baseColWidth="8" defaultRowHeight="15"/>
  <cols>
    <col width="8.42578125" bestFit="1" customWidth="1" style="366" min="1" max="1"/>
    <col width="22.7109375" bestFit="1" customWidth="1" style="366" min="2" max="2"/>
    <col width="21.7109375" bestFit="1" customWidth="1" style="366" min="3" max="3"/>
    <col width="10.5703125" bestFit="1" customWidth="1" style="366" min="4" max="4"/>
    <col width="9.7109375" bestFit="1" customWidth="1" style="366" min="5" max="5"/>
    <col width="20.85546875" bestFit="1" customWidth="1" style="366" min="6" max="6"/>
    <col width="18" bestFit="1" customWidth="1" style="366" min="7" max="7"/>
    <col width="16.28515625" bestFit="1" customWidth="1" style="366" min="8" max="8"/>
    <col width="16.42578125" bestFit="1" customWidth="1" style="366" min="9" max="9"/>
    <col width="6.85546875" bestFit="1" customWidth="1" style="366" min="10" max="10"/>
    <col width="15.7109375" bestFit="1" customWidth="1" style="366" min="11" max="11"/>
    <col width="15.140625" bestFit="1" customWidth="1" style="366" min="13" max="13"/>
    <col width="23.85546875" bestFit="1" customWidth="1" style="366" min="14" max="14"/>
  </cols>
  <sheetData>
    <row r="1">
      <c r="A1" s="49" t="inlineStr">
        <is>
          <t>`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>Dussera Payment</t>
        </is>
      </c>
      <c r="J1" s="146" t="inlineStr">
        <is>
          <t xml:space="preserve">Topay </t>
        </is>
      </c>
      <c r="K1" s="146" t="inlineStr">
        <is>
          <t>Receive Amount</t>
        </is>
      </c>
      <c r="L1" s="146" t="n"/>
      <c r="M1" s="146" t="inlineStr">
        <is>
          <t>Payment Status</t>
        </is>
      </c>
      <c r="N1" s="154" t="inlineStr">
        <is>
          <t>Balance amount (Sep)-24</t>
        </is>
      </c>
      <c r="O1" s="151" t="n">
        <v>32502</v>
      </c>
    </row>
    <row r="2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 t="n">
        <v>0</v>
      </c>
      <c r="J2" s="29">
        <f>G2+H2</f>
        <v/>
      </c>
      <c r="K2" s="29" t="n"/>
      <c r="L2" s="29" t="n"/>
      <c r="M2" s="158" t="n"/>
      <c r="N2" s="148" t="n"/>
      <c r="O2" s="149" t="n"/>
    </row>
    <row r="3">
      <c r="A3" s="72" t="inlineStr">
        <is>
          <t>Shop-2</t>
        </is>
      </c>
      <c r="B3" s="29" t="inlineStr">
        <is>
          <t>NA</t>
        </is>
      </c>
      <c r="C3" s="30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0</v>
      </c>
      <c r="J3" s="29">
        <f>G3+H3</f>
        <v/>
      </c>
      <c r="K3" s="29" t="n"/>
      <c r="L3" s="29" t="n"/>
      <c r="M3" s="158" t="n"/>
      <c r="N3" s="148" t="n"/>
      <c r="O3" s="148" t="n"/>
    </row>
    <row r="4">
      <c r="A4" s="32" t="inlineStr">
        <is>
          <t>G1</t>
        </is>
      </c>
      <c r="B4" s="30" t="n">
        <v>122.27</v>
      </c>
      <c r="C4" s="30" t="n">
        <v>127.39</v>
      </c>
      <c r="D4" s="29">
        <f>(C4-B4)*1000</f>
        <v/>
      </c>
      <c r="E4" s="64">
        <f>ROUND(D4*D23,0)</f>
        <v/>
      </c>
      <c r="F4" s="29" t="n">
        <v>1200</v>
      </c>
      <c r="G4" s="29">
        <f>SUM(E4,F4)</f>
        <v/>
      </c>
      <c r="H4" s="29" t="n">
        <v>50</v>
      </c>
      <c r="I4" s="29" t="n">
        <v>0</v>
      </c>
      <c r="J4" s="29">
        <f>G4+H4+I4</f>
        <v/>
      </c>
      <c r="K4" s="29" t="n"/>
      <c r="L4" s="156" t="n"/>
      <c r="M4" s="158" t="n"/>
      <c r="N4" s="160" t="n"/>
      <c r="O4" s="160" t="n"/>
    </row>
    <row r="5">
      <c r="A5" s="32" t="inlineStr">
        <is>
          <t>G2</t>
        </is>
      </c>
      <c r="B5" s="30" t="n">
        <v>208.65</v>
      </c>
      <c r="C5" s="30" t="n">
        <v>214.05</v>
      </c>
      <c r="D5" s="29">
        <f>(C5-B5)*1000</f>
        <v/>
      </c>
      <c r="E5" s="64">
        <f>ROUND(D5*D23,0)</f>
        <v/>
      </c>
      <c r="F5" s="29" t="n">
        <v>1200</v>
      </c>
      <c r="G5" s="29">
        <f>SUM(E5,F5)</f>
        <v/>
      </c>
      <c r="H5" s="29" t="n">
        <v>50</v>
      </c>
      <c r="I5" s="29" t="n">
        <v>0</v>
      </c>
      <c r="J5" s="29">
        <f>G5+H5+I5</f>
        <v/>
      </c>
      <c r="K5" s="29" t="n"/>
      <c r="L5" s="29" t="n"/>
      <c r="M5" s="158" t="n"/>
      <c r="N5" s="114" t="n"/>
      <c r="O5" s="114" t="n"/>
    </row>
    <row r="6">
      <c r="A6" s="32" t="inlineStr">
        <is>
          <t>G3</t>
        </is>
      </c>
      <c r="B6" s="30" t="n">
        <v>412.3</v>
      </c>
      <c r="C6" s="30" t="n">
        <v>421.95</v>
      </c>
      <c r="D6" s="29">
        <f>(C6-B6)*1000</f>
        <v/>
      </c>
      <c r="E6" s="64">
        <f>ROUND(D6*D23,0)</f>
        <v/>
      </c>
      <c r="F6" s="29" t="n">
        <v>1200</v>
      </c>
      <c r="G6" s="29">
        <f>SUM(E6,F6)</f>
        <v/>
      </c>
      <c r="H6" s="29" t="n">
        <v>50</v>
      </c>
      <c r="I6" s="29" t="n">
        <v>0</v>
      </c>
      <c r="J6" s="29">
        <f>G6+H6+I6</f>
        <v/>
      </c>
      <c r="K6" s="29" t="n"/>
      <c r="L6" s="29" t="n"/>
      <c r="M6" s="158" t="n"/>
      <c r="N6" s="114" t="n"/>
      <c r="O6" s="114" t="n"/>
    </row>
    <row r="7">
      <c r="A7" s="32" t="inlineStr">
        <is>
          <t>G4</t>
        </is>
      </c>
      <c r="B7" s="30" t="n">
        <v>336.32</v>
      </c>
      <c r="C7" s="30" t="n">
        <v>344.35</v>
      </c>
      <c r="D7" s="29">
        <f>(C7-B7)*1000</f>
        <v/>
      </c>
      <c r="E7" s="64">
        <f>ROUND(D7*D23,0)</f>
        <v/>
      </c>
      <c r="F7" s="29" t="n">
        <v>1200</v>
      </c>
      <c r="G7" s="29">
        <f>SUM(E7,F7)</f>
        <v/>
      </c>
      <c r="H7" s="29" t="n">
        <v>50</v>
      </c>
      <c r="I7" s="29" t="n">
        <v>0</v>
      </c>
      <c r="J7" s="29">
        <f>G7+H7+I7</f>
        <v/>
      </c>
      <c r="K7" s="29" t="n"/>
      <c r="L7" s="29" t="n"/>
      <c r="M7" s="158" t="n"/>
      <c r="N7" s="114" t="n"/>
      <c r="O7" s="114" t="n"/>
    </row>
    <row r="8">
      <c r="A8" s="32" t="n">
        <v>101</v>
      </c>
      <c r="B8" s="30" t="n">
        <v>68.73999999999999</v>
      </c>
      <c r="C8" s="30" t="n">
        <v>72.78</v>
      </c>
      <c r="D8" s="29">
        <f>(C8-B8)*1000</f>
        <v/>
      </c>
      <c r="E8" s="64">
        <f>ROUND(D8*D23,0)</f>
        <v/>
      </c>
      <c r="F8" s="29" t="n">
        <v>1200</v>
      </c>
      <c r="G8" s="29">
        <f>SUM(E8,F8)</f>
        <v/>
      </c>
      <c r="H8" s="29" t="n">
        <v>50</v>
      </c>
      <c r="I8" s="29" t="n">
        <v>0</v>
      </c>
      <c r="J8" s="29">
        <f>G8+H8+I8</f>
        <v/>
      </c>
      <c r="K8" s="29" t="n"/>
      <c r="L8" s="29" t="n"/>
      <c r="M8" s="158" t="n"/>
      <c r="N8" s="153" t="inlineStr">
        <is>
          <t>Expenditures</t>
        </is>
      </c>
      <c r="O8" s="153" t="n"/>
    </row>
    <row r="9">
      <c r="A9" s="32" t="n">
        <v>102</v>
      </c>
      <c r="B9" s="30" t="n">
        <v>597.64</v>
      </c>
      <c r="C9" s="30" t="n">
        <v>610.25</v>
      </c>
      <c r="D9" s="29">
        <f>(C9-B9)*1000</f>
        <v/>
      </c>
      <c r="E9" s="64">
        <f>ROUND(D9*D23,0)</f>
        <v/>
      </c>
      <c r="F9" s="29" t="n">
        <v>1200</v>
      </c>
      <c r="G9" s="29">
        <f>SUM(E9,F9)</f>
        <v/>
      </c>
      <c r="H9" s="29" t="n">
        <v>50</v>
      </c>
      <c r="I9" s="29" t="n">
        <v>0</v>
      </c>
      <c r="J9" s="29">
        <f>G9+H9+I9</f>
        <v/>
      </c>
      <c r="K9" s="29" t="n"/>
      <c r="L9" s="29" t="n"/>
      <c r="M9" s="158" t="n"/>
      <c r="N9" s="114" t="inlineStr">
        <is>
          <t>watchman salary</t>
        </is>
      </c>
      <c r="O9" s="160" t="n">
        <v>6500</v>
      </c>
    </row>
    <row r="10">
      <c r="A10" s="32" t="n">
        <v>103</v>
      </c>
      <c r="B10" s="29" t="n">
        <v>231.42</v>
      </c>
      <c r="C10" s="29" t="n">
        <v>241.89</v>
      </c>
      <c r="D10" s="29">
        <f>(C10-B10)*1000</f>
        <v/>
      </c>
      <c r="E10" s="64">
        <f>ROUND(D10*D23,0)</f>
        <v/>
      </c>
      <c r="F10" s="29" t="n">
        <v>1200</v>
      </c>
      <c r="G10" s="29">
        <f>SUM(E10,F10)</f>
        <v/>
      </c>
      <c r="H10" s="29" t="n">
        <v>50</v>
      </c>
      <c r="I10" s="29" t="n">
        <v>0</v>
      </c>
      <c r="J10" s="29">
        <f>G10+H10+I10</f>
        <v/>
      </c>
      <c r="K10" s="29" t="n"/>
      <c r="L10" s="29" t="n"/>
      <c r="M10" s="158" t="n"/>
      <c r="N10" s="160" t="inlineStr">
        <is>
          <t>Common water (Majeera)</t>
        </is>
      </c>
      <c r="O10" s="160" t="n">
        <v>2044</v>
      </c>
    </row>
    <row r="11">
      <c r="A11" s="32" t="n">
        <v>104</v>
      </c>
      <c r="B11" s="30" t="n">
        <v>43.78</v>
      </c>
      <c r="C11" s="30" t="n">
        <v>54.17</v>
      </c>
      <c r="D11" s="29">
        <f>(C11-B11)*1000</f>
        <v/>
      </c>
      <c r="E11" s="64">
        <f>ROUND(D11*D23,0)</f>
        <v/>
      </c>
      <c r="F11" s="29" t="n">
        <v>1200</v>
      </c>
      <c r="G11" s="29">
        <f>SUM(E11,F11)</f>
        <v/>
      </c>
      <c r="H11" s="29" t="n">
        <v>50</v>
      </c>
      <c r="I11" s="29" t="n">
        <v>0</v>
      </c>
      <c r="J11" s="29">
        <f>G11+H11+I11</f>
        <v/>
      </c>
      <c r="K11" s="29" t="n"/>
      <c r="L11" s="29" t="n"/>
      <c r="M11" s="158" t="n"/>
      <c r="N11" s="160" t="inlineStr">
        <is>
          <t>common power</t>
        </is>
      </c>
      <c r="O11" s="160" t="n"/>
    </row>
    <row r="12">
      <c r="A12" s="32" t="n">
        <v>201</v>
      </c>
      <c r="B12" s="30" t="n">
        <v>131</v>
      </c>
      <c r="C12" s="30" t="n">
        <v>136.65</v>
      </c>
      <c r="D12" s="29">
        <f>(C12-B12)*1000</f>
        <v/>
      </c>
      <c r="E12" s="64">
        <f>ROUND(D12*D23,0)</f>
        <v/>
      </c>
      <c r="F12" s="29" t="n">
        <v>1200</v>
      </c>
      <c r="G12" s="29">
        <f>SUM(E12,F12)</f>
        <v/>
      </c>
      <c r="H12" s="29" t="n">
        <v>50</v>
      </c>
      <c r="I12" s="29" t="n">
        <v>0</v>
      </c>
      <c r="J12" s="29">
        <f>G12+H12+I12</f>
        <v/>
      </c>
      <c r="K12" s="29" t="n"/>
      <c r="L12" s="29" t="n"/>
      <c r="M12" s="158" t="n"/>
      <c r="N12" s="160" t="inlineStr">
        <is>
          <t>tanker</t>
        </is>
      </c>
      <c r="O12" s="160" t="n"/>
    </row>
    <row r="13">
      <c r="A13" s="32" t="n">
        <v>202</v>
      </c>
      <c r="B13" s="30" t="n">
        <v>282.22</v>
      </c>
      <c r="C13" s="30" t="n">
        <v>287.27</v>
      </c>
      <c r="D13" s="29">
        <f>(C13-B13)*1000</f>
        <v/>
      </c>
      <c r="E13" s="64">
        <f>ROUND(D13*D23,0)</f>
        <v/>
      </c>
      <c r="F13" s="29" t="n">
        <v>1200</v>
      </c>
      <c r="G13" s="29">
        <f>SUM(E13,F13)</f>
        <v/>
      </c>
      <c r="H13" s="29" t="n">
        <v>50</v>
      </c>
      <c r="I13" s="29" t="n">
        <v>0</v>
      </c>
      <c r="J13" s="29">
        <f>G13+H13+I13</f>
        <v/>
      </c>
      <c r="K13" s="29" t="n"/>
      <c r="L13" s="29" t="n"/>
      <c r="M13" s="158" t="n"/>
      <c r="N13" s="114" t="inlineStr">
        <is>
          <t>garbage</t>
        </is>
      </c>
      <c r="O13" s="114" t="n"/>
    </row>
    <row r="14">
      <c r="A14" s="32" t="n">
        <v>203</v>
      </c>
      <c r="B14" s="30" t="n">
        <v>30.05</v>
      </c>
      <c r="C14" s="30" t="n">
        <v>37.49</v>
      </c>
      <c r="D14" s="29">
        <f>(C14-B14)*1000</f>
        <v/>
      </c>
      <c r="E14" s="64">
        <f>ROUND(D14*D23,0)</f>
        <v/>
      </c>
      <c r="F14" s="29" t="n">
        <v>1200</v>
      </c>
      <c r="G14" s="29">
        <f>SUM(E14,F14)</f>
        <v/>
      </c>
      <c r="H14" s="29" t="n">
        <v>50</v>
      </c>
      <c r="I14" s="29" t="n">
        <v>0</v>
      </c>
      <c r="J14" s="29">
        <f>G14+H14+I14</f>
        <v/>
      </c>
      <c r="K14" s="29" t="n"/>
      <c r="L14" s="29" t="n"/>
      <c r="M14" s="158" t="n"/>
      <c r="N14" s="114" t="inlineStr">
        <is>
          <t>Dasurra Amounts</t>
        </is>
      </c>
      <c r="O14" s="114" t="n"/>
    </row>
    <row r="15">
      <c r="A15" s="32" t="n">
        <v>204</v>
      </c>
      <c r="B15" s="30" t="n">
        <v>276.12</v>
      </c>
      <c r="C15" s="30" t="n">
        <v>283.61</v>
      </c>
      <c r="D15" s="29">
        <f>(C15-B15)*1000</f>
        <v/>
      </c>
      <c r="E15" s="64">
        <f>ROUND(D15*D23,0)</f>
        <v/>
      </c>
      <c r="F15" s="29" t="n">
        <v>1200</v>
      </c>
      <c r="G15" s="29">
        <f>SUM(E15,F15)</f>
        <v/>
      </c>
      <c r="H15" s="29" t="n">
        <v>50</v>
      </c>
      <c r="I15" s="29" t="n">
        <v>0</v>
      </c>
      <c r="J15" s="29">
        <f>G15+H15+I15</f>
        <v/>
      </c>
      <c r="K15" s="29" t="n"/>
      <c r="L15" s="29" t="n"/>
      <c r="M15" s="158" t="n"/>
      <c r="N15" s="114" t="n"/>
      <c r="O15" s="114" t="n"/>
    </row>
    <row r="16">
      <c r="A16" s="32" t="n">
        <v>301</v>
      </c>
      <c r="B16" s="30" t="n">
        <v>70.14</v>
      </c>
      <c r="C16" s="30" t="n">
        <v>75.67</v>
      </c>
      <c r="D16" s="29">
        <f>(C16-B16)*1000</f>
        <v/>
      </c>
      <c r="E16" s="64">
        <f>ROUND(D16*D23,0)</f>
        <v/>
      </c>
      <c r="F16" s="29" t="n">
        <v>1200</v>
      </c>
      <c r="G16" s="29">
        <f>SUM(E16,F16)</f>
        <v/>
      </c>
      <c r="H16" s="29" t="n">
        <v>50</v>
      </c>
      <c r="I16" s="29" t="n">
        <v>0</v>
      </c>
      <c r="J16" s="29">
        <f>G16+H16+I16</f>
        <v/>
      </c>
      <c r="K16" s="29" t="n"/>
      <c r="L16" s="29" t="n"/>
      <c r="M16" s="158" t="n"/>
      <c r="N16" s="160" t="n"/>
      <c r="O16" s="114" t="n"/>
    </row>
    <row r="17">
      <c r="A17" s="32" t="n">
        <v>302</v>
      </c>
      <c r="B17" s="30" t="n">
        <v>169.62</v>
      </c>
      <c r="C17" s="30" t="n">
        <v>178.84</v>
      </c>
      <c r="D17" s="29">
        <f>(C17-B17)*1000</f>
        <v/>
      </c>
      <c r="E17" s="64">
        <f>ROUND(D17*D23,0)</f>
        <v/>
      </c>
      <c r="F17" s="29" t="n">
        <v>1200</v>
      </c>
      <c r="G17" s="29">
        <f>SUM(E17,F17)</f>
        <v/>
      </c>
      <c r="H17" s="29" t="n">
        <v>50</v>
      </c>
      <c r="I17" s="29" t="n">
        <v>0</v>
      </c>
      <c r="J17" s="29">
        <f>G17+H17+I17</f>
        <v/>
      </c>
      <c r="K17" s="29" t="n"/>
      <c r="L17" s="119" t="n"/>
      <c r="M17" s="158" t="n"/>
      <c r="N17" s="114" t="n"/>
      <c r="O17" s="114" t="n"/>
    </row>
    <row r="18">
      <c r="A18" s="32" t="n">
        <v>303</v>
      </c>
      <c r="B18" s="29" t="n">
        <v>917.05</v>
      </c>
      <c r="C18" s="29" t="n">
        <v>927.17</v>
      </c>
      <c r="D18" s="29">
        <f>(C18-B18)*1000</f>
        <v/>
      </c>
      <c r="E18" s="64">
        <f>ROUND(D18*D23,0)</f>
        <v/>
      </c>
      <c r="F18" s="29" t="n">
        <v>1200</v>
      </c>
      <c r="G18" s="29">
        <f>SUM(E18,F18)</f>
        <v/>
      </c>
      <c r="H18" s="29" t="n">
        <v>50</v>
      </c>
      <c r="I18" s="29" t="n">
        <v>0</v>
      </c>
      <c r="J18" s="29">
        <f>G18+H18+I18</f>
        <v/>
      </c>
      <c r="K18" s="29" t="n"/>
      <c r="L18" s="29" t="n"/>
      <c r="M18" s="158" t="n"/>
      <c r="N18" s="160" t="n"/>
      <c r="O18" s="114" t="n"/>
    </row>
    <row r="19">
      <c r="A19" s="32" t="n">
        <v>304</v>
      </c>
      <c r="B19" s="30" t="n">
        <v>316.71</v>
      </c>
      <c r="C19" s="30" t="n">
        <v>330.18</v>
      </c>
      <c r="D19" s="29">
        <f>(C19-B19)*1000</f>
        <v/>
      </c>
      <c r="E19" s="64">
        <f>ROUND(D19*D23,0)</f>
        <v/>
      </c>
      <c r="F19" s="29" t="n">
        <v>1200</v>
      </c>
      <c r="G19" s="29">
        <f>SUM(E19,F19)</f>
        <v/>
      </c>
      <c r="H19" s="29" t="n">
        <v>50</v>
      </c>
      <c r="I19" s="29" t="n">
        <v>0</v>
      </c>
      <c r="J19" s="29">
        <f>G19+H19+I19</f>
        <v/>
      </c>
      <c r="K19" s="29" t="n"/>
      <c r="L19" s="29" t="n"/>
      <c r="M19" s="158" t="n"/>
      <c r="N19" s="114" t="n"/>
      <c r="O19" s="114" t="n"/>
    </row>
    <row r="20">
      <c r="A20" s="29" t="inlineStr">
        <is>
          <t>Common</t>
        </is>
      </c>
      <c r="B20" s="30" t="n">
        <v>332.08</v>
      </c>
      <c r="C20" s="30" t="n">
        <v>344.41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 t="n"/>
      <c r="J20" s="29">
        <f>G20+H20</f>
        <v/>
      </c>
      <c r="K20" s="29" t="n"/>
      <c r="L20" s="29" t="n"/>
      <c r="M20" s="51" t="n"/>
      <c r="N20" s="114" t="n"/>
      <c r="O20" s="114" t="n"/>
    </row>
    <row r="21">
      <c r="A21" s="29" t="n"/>
      <c r="B21" s="29" t="n"/>
      <c r="C21" s="29" t="n"/>
      <c r="D21" s="29" t="n"/>
      <c r="E21" s="29" t="n"/>
      <c r="F21" s="49" t="n"/>
      <c r="G21" s="49" t="n"/>
      <c r="H21" s="49">
        <f>SUM(H2:H20)</f>
        <v/>
      </c>
      <c r="I21" s="49" t="n"/>
      <c r="J21" s="49">
        <f>SUM(J2:J20)</f>
        <v/>
      </c>
      <c r="K21" s="49">
        <f>SUM(K2:K19)</f>
        <v/>
      </c>
      <c r="L21" s="49" t="n"/>
      <c r="M21" s="29" t="n"/>
      <c r="N21" s="114" t="n"/>
      <c r="O21" s="121" t="n"/>
    </row>
    <row r="22">
      <c r="A22" s="29" t="n"/>
      <c r="B22" s="29" t="inlineStr">
        <is>
          <t>Total Usage Units</t>
        </is>
      </c>
      <c r="C22" s="29" t="n"/>
      <c r="D22" s="30">
        <f>SUM(D4:D20)</f>
        <v/>
      </c>
      <c r="E22" s="202">
        <f>SUM(E4:E19)</f>
        <v/>
      </c>
      <c r="F22" s="29" t="n"/>
      <c r="G22" s="29" t="n"/>
      <c r="H22" s="29" t="n"/>
      <c r="I22" s="29" t="n"/>
      <c r="J22" s="29" t="n"/>
      <c r="K22" s="29" t="n"/>
      <c r="L22" s="29" t="n"/>
      <c r="M22" s="29" t="n"/>
      <c r="N22" s="152" t="n"/>
      <c r="O22" s="152" t="n"/>
    </row>
    <row r="23" ht="4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 t="n"/>
      <c r="I23" s="29" t="n"/>
      <c r="J23" s="29" t="n"/>
      <c r="K23" s="29" t="n"/>
      <c r="L23" s="29" t="n"/>
      <c r="M23" s="29" t="n"/>
      <c r="N23" s="114" t="n"/>
      <c r="O23" s="114" t="n"/>
    </row>
    <row r="24" ht="45" customHeight="1" s="366">
      <c r="A24" s="119" t="inlineStr">
        <is>
          <t>Total Water Bill</t>
        </is>
      </c>
      <c r="B24" s="30">
        <f>15*1000</f>
        <v/>
      </c>
      <c r="C24" s="119" t="inlineStr">
        <is>
          <t xml:space="preserve">WATER Tankers(15)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</row>
    <row r="28">
      <c r="O28" s="1">
        <f>SUM(O9:O25)</f>
        <v/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24"/>
  <sheetViews>
    <sheetView zoomScale="89" workbookViewId="0">
      <selection activeCell="N1" sqref="N1"/>
    </sheetView>
  </sheetViews>
  <sheetFormatPr baseColWidth="8" defaultRowHeight="15"/>
  <cols>
    <col width="15.7109375" customWidth="1" style="366" min="1" max="1"/>
    <col width="21.28515625" bestFit="1" customWidth="1" style="366" min="2" max="2"/>
    <col width="20.28515625" bestFit="1" customWidth="1" style="366" min="3" max="3"/>
    <col width="10" bestFit="1" customWidth="1" style="366" min="4" max="4"/>
    <col width="9" bestFit="1" customWidth="1" style="366" min="5" max="5"/>
    <col width="20.140625" bestFit="1" customWidth="1" style="366" min="6" max="6"/>
    <col width="16.85546875" bestFit="1" customWidth="1" style="366" min="7" max="7"/>
    <col width="22.5703125" bestFit="1" customWidth="1" style="366" min="13" max="13"/>
    <col width="6.42578125" bestFit="1" customWidth="1" style="366" min="14" max="14"/>
  </cols>
  <sheetData>
    <row r="1">
      <c r="A1" s="49" t="inlineStr">
        <is>
          <t>`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>Dussera Payment</t>
        </is>
      </c>
      <c r="J1" s="146" t="inlineStr">
        <is>
          <t xml:space="preserve">Topay </t>
        </is>
      </c>
      <c r="K1" s="146" t="inlineStr">
        <is>
          <t>Receive Amount</t>
        </is>
      </c>
      <c r="L1" s="146" t="n"/>
      <c r="M1" s="154" t="inlineStr">
        <is>
          <t>Balance amount (Nov)-24</t>
        </is>
      </c>
      <c r="N1" s="151" t="n">
        <v>31742</v>
      </c>
    </row>
    <row r="2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 t="n">
        <v>0</v>
      </c>
      <c r="J2" s="29">
        <f>G2+H2</f>
        <v/>
      </c>
      <c r="K2" s="29" t="inlineStr">
        <is>
          <t>Received</t>
        </is>
      </c>
      <c r="L2" s="29" t="n"/>
      <c r="M2" s="148" t="n"/>
      <c r="N2" s="149" t="n"/>
    </row>
    <row r="3">
      <c r="A3" s="72" t="inlineStr">
        <is>
          <t>Shop-2</t>
        </is>
      </c>
      <c r="B3" s="29" t="inlineStr">
        <is>
          <t>NA</t>
        </is>
      </c>
      <c r="C3" s="30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0</v>
      </c>
      <c r="J3" s="29" t="n">
        <v>300</v>
      </c>
      <c r="K3" s="29" t="inlineStr">
        <is>
          <t>Pending</t>
        </is>
      </c>
      <c r="L3" s="29" t="n"/>
      <c r="M3" s="148" t="n"/>
      <c r="N3" s="148" t="n"/>
    </row>
    <row r="4">
      <c r="A4" s="32" t="inlineStr">
        <is>
          <t>G1</t>
        </is>
      </c>
      <c r="B4" s="30" t="n">
        <v>135.39</v>
      </c>
      <c r="C4" s="30" t="n">
        <v>142.24</v>
      </c>
      <c r="D4" s="29">
        <f>(C4-B4)*1000</f>
        <v/>
      </c>
      <c r="E4" s="64">
        <f>ROUND(D4*D23,0)</f>
        <v/>
      </c>
      <c r="F4" s="29" t="n">
        <v>1200</v>
      </c>
      <c r="G4" s="29">
        <f>SUM(E4,F4)</f>
        <v/>
      </c>
      <c r="H4" s="29" t="n">
        <v>50</v>
      </c>
      <c r="I4" s="29" t="n">
        <v>0</v>
      </c>
      <c r="J4" s="29">
        <f>G4+H4+I4</f>
        <v/>
      </c>
      <c r="K4" s="29" t="inlineStr">
        <is>
          <t>Received</t>
        </is>
      </c>
      <c r="L4" s="156" t="n"/>
      <c r="M4" s="160" t="n"/>
      <c r="N4" s="160" t="n"/>
    </row>
    <row r="5">
      <c r="A5" s="32" t="inlineStr">
        <is>
          <t>G2</t>
        </is>
      </c>
      <c r="B5" s="30" t="n">
        <v>217.8</v>
      </c>
      <c r="C5" s="30" t="n">
        <v>223.7</v>
      </c>
      <c r="D5" s="29">
        <f>(C5-B5)*1000</f>
        <v/>
      </c>
      <c r="E5" s="64">
        <f>ROUND(D5*D23,0)</f>
        <v/>
      </c>
      <c r="F5" s="29" t="n">
        <v>1200</v>
      </c>
      <c r="G5" s="29">
        <f>SUM(E5,F5)</f>
        <v/>
      </c>
      <c r="H5" s="29" t="n">
        <v>50</v>
      </c>
      <c r="I5" s="29" t="n">
        <v>0</v>
      </c>
      <c r="J5" s="29">
        <f>G5+H5+I5</f>
        <v/>
      </c>
      <c r="K5" s="29" t="inlineStr">
        <is>
          <t>Received</t>
        </is>
      </c>
      <c r="L5" s="29" t="n"/>
      <c r="M5" s="114" t="n"/>
      <c r="N5" s="114" t="n"/>
    </row>
    <row r="6">
      <c r="A6" s="32" t="inlineStr">
        <is>
          <t>G3</t>
        </is>
      </c>
      <c r="B6" s="30" t="n">
        <v>432.97</v>
      </c>
      <c r="C6" s="30" t="n">
        <v>443.14</v>
      </c>
      <c r="D6" s="29">
        <f>(C6-B6)*1000</f>
        <v/>
      </c>
      <c r="E6" s="64">
        <f>ROUND(D6*D23,0)</f>
        <v/>
      </c>
      <c r="F6" s="29" t="n">
        <v>1200</v>
      </c>
      <c r="G6" s="29">
        <f>SUM(E6,F6)</f>
        <v/>
      </c>
      <c r="H6" s="29" t="n">
        <v>50</v>
      </c>
      <c r="I6" s="29" t="n">
        <v>0</v>
      </c>
      <c r="J6" s="29">
        <f>G6+H6+I6</f>
        <v/>
      </c>
      <c r="K6" s="29" t="inlineStr">
        <is>
          <t>Received</t>
        </is>
      </c>
      <c r="L6" s="29" t="n"/>
      <c r="M6" s="114" t="n"/>
      <c r="N6" s="114" t="n"/>
    </row>
    <row r="7">
      <c r="A7" s="32" t="inlineStr">
        <is>
          <t>G4</t>
        </is>
      </c>
      <c r="B7" s="30" t="n">
        <v>352.17</v>
      </c>
      <c r="C7" s="30" t="n">
        <v>364.87</v>
      </c>
      <c r="D7" s="29">
        <f>(C7-B7)*1000</f>
        <v/>
      </c>
      <c r="E7" s="64">
        <f>ROUND(D7*D23,0)</f>
        <v/>
      </c>
      <c r="F7" s="29" t="n">
        <v>1200</v>
      </c>
      <c r="G7" s="29">
        <f>SUM(E7,F7)</f>
        <v/>
      </c>
      <c r="H7" s="29" t="n">
        <v>50</v>
      </c>
      <c r="I7" s="29" t="n">
        <v>0</v>
      </c>
      <c r="J7" s="29">
        <f>G7+H7+I7</f>
        <v/>
      </c>
      <c r="K7" s="29" t="inlineStr">
        <is>
          <t>Received</t>
        </is>
      </c>
      <c r="L7" s="29" t="n"/>
      <c r="M7" s="114" t="n"/>
      <c r="N7" s="114" t="n"/>
    </row>
    <row r="8">
      <c r="A8" s="32" t="n">
        <v>101</v>
      </c>
      <c r="B8" s="30" t="n">
        <v>77.31</v>
      </c>
      <c r="C8" s="30" t="n">
        <v>85.73999999999999</v>
      </c>
      <c r="D8" s="29">
        <f>(C8-B8)*1000</f>
        <v/>
      </c>
      <c r="E8" s="64">
        <f>ROUND(D8*D23,0)</f>
        <v/>
      </c>
      <c r="F8" s="29" t="n">
        <v>1200</v>
      </c>
      <c r="G8" s="29">
        <f>SUM(E8,F8)</f>
        <v/>
      </c>
      <c r="H8" s="29" t="n">
        <v>50</v>
      </c>
      <c r="I8" s="29" t="n">
        <v>0</v>
      </c>
      <c r="J8" s="29">
        <f>G8+H8+I8</f>
        <v/>
      </c>
      <c r="K8" s="29" t="inlineStr">
        <is>
          <t>Received</t>
        </is>
      </c>
      <c r="L8" s="29" t="n"/>
      <c r="M8" s="153" t="inlineStr">
        <is>
          <t>Expenditures</t>
        </is>
      </c>
      <c r="N8" s="153" t="n"/>
    </row>
    <row r="9">
      <c r="A9" s="32" t="n">
        <v>102</v>
      </c>
      <c r="B9" s="30" t="n">
        <v>624.89</v>
      </c>
      <c r="C9" s="30" t="n">
        <v>637.12</v>
      </c>
      <c r="D9" s="29">
        <f>(C9-B9)*1000</f>
        <v/>
      </c>
      <c r="E9" s="64">
        <f>ROUND(D9*D23,0)</f>
        <v/>
      </c>
      <c r="F9" s="29" t="n">
        <v>1200</v>
      </c>
      <c r="G9" s="29">
        <f>SUM(E9,F9)</f>
        <v/>
      </c>
      <c r="H9" s="29" t="n">
        <v>50</v>
      </c>
      <c r="I9" s="29" t="n">
        <v>0</v>
      </c>
      <c r="J9" s="29">
        <f>G9+H9+I9</f>
        <v/>
      </c>
      <c r="K9" s="29" t="inlineStr">
        <is>
          <t>Received</t>
        </is>
      </c>
      <c r="L9" s="29" t="n"/>
      <c r="M9" s="114" t="inlineStr">
        <is>
          <t>watchman salary</t>
        </is>
      </c>
      <c r="N9" s="160" t="n">
        <v>6500</v>
      </c>
    </row>
    <row r="10">
      <c r="A10" s="32" t="n">
        <v>103</v>
      </c>
      <c r="B10" s="29" t="n">
        <v>246.5</v>
      </c>
      <c r="C10" s="29" t="n">
        <v>252.85</v>
      </c>
      <c r="D10" s="29">
        <f>(C10-B10)*1000</f>
        <v/>
      </c>
      <c r="E10" s="64">
        <f>ROUND(D10*D23,0)</f>
        <v/>
      </c>
      <c r="F10" s="29" t="n">
        <v>1200</v>
      </c>
      <c r="G10" s="29">
        <f>SUM(E10,F10)</f>
        <v/>
      </c>
      <c r="H10" s="29" t="n">
        <v>50</v>
      </c>
      <c r="I10" s="29" t="n">
        <v>0</v>
      </c>
      <c r="J10" s="29">
        <f>G10+H10+I10</f>
        <v/>
      </c>
      <c r="K10" s="29" t="inlineStr">
        <is>
          <t>Received</t>
        </is>
      </c>
      <c r="L10" s="29" t="n"/>
      <c r="M10" s="160" t="inlineStr">
        <is>
          <t>Common water (Majeera)</t>
        </is>
      </c>
      <c r="N10" s="160" t="n">
        <v>2044</v>
      </c>
    </row>
    <row r="11">
      <c r="A11" s="32" t="n">
        <v>104</v>
      </c>
      <c r="B11" s="30" t="n">
        <v>65.09999999999999</v>
      </c>
      <c r="C11" s="30" t="n">
        <v>85.3</v>
      </c>
      <c r="D11" s="29">
        <f>(C11-B11)*1000</f>
        <v/>
      </c>
      <c r="E11" s="64">
        <f>ROUND(D11*D23,0)</f>
        <v/>
      </c>
      <c r="F11" s="29" t="n">
        <v>1200</v>
      </c>
      <c r="G11" s="29">
        <f>SUM(E11,F11)</f>
        <v/>
      </c>
      <c r="H11" s="29" t="n">
        <v>50</v>
      </c>
      <c r="I11" s="29" t="n">
        <v>0</v>
      </c>
      <c r="J11" s="29">
        <f>G11+H11+I11</f>
        <v/>
      </c>
      <c r="K11" s="29" t="inlineStr">
        <is>
          <t>Received</t>
        </is>
      </c>
      <c r="L11" s="29" t="n"/>
      <c r="M11" s="160" t="inlineStr">
        <is>
          <t>common power</t>
        </is>
      </c>
      <c r="N11" s="160" t="n">
        <v>2937</v>
      </c>
    </row>
    <row r="12">
      <c r="A12" s="32" t="n">
        <v>201</v>
      </c>
      <c r="B12" s="30" t="n">
        <v>142.73</v>
      </c>
      <c r="C12" s="30" t="n">
        <v>147.6</v>
      </c>
      <c r="D12" s="29">
        <f>(C12-B12)*1000</f>
        <v/>
      </c>
      <c r="E12" s="64">
        <f>ROUND(D12*D23,0)</f>
        <v/>
      </c>
      <c r="F12" s="29" t="n">
        <v>1200</v>
      </c>
      <c r="G12" s="29">
        <f>SUM(E12,F12)</f>
        <v/>
      </c>
      <c r="H12" s="29" t="n">
        <v>50</v>
      </c>
      <c r="I12" s="29" t="n">
        <v>0</v>
      </c>
      <c r="J12" s="29">
        <f>G12+H12+I12</f>
        <v/>
      </c>
      <c r="K12" s="29" t="inlineStr">
        <is>
          <t>Received</t>
        </is>
      </c>
      <c r="L12" s="29" t="n"/>
      <c r="M12" s="160" t="inlineStr">
        <is>
          <t>tanker</t>
        </is>
      </c>
      <c r="N12" s="160" t="n">
        <v>14000</v>
      </c>
    </row>
    <row r="13">
      <c r="A13" s="32" t="n">
        <v>202</v>
      </c>
      <c r="B13" s="30" t="n">
        <v>299.41</v>
      </c>
      <c r="C13" s="30" t="n">
        <v>309.01</v>
      </c>
      <c r="D13" s="29">
        <f>(C13-B13)*1000</f>
        <v/>
      </c>
      <c r="E13" s="64">
        <f>ROUND(D13*D23,0)</f>
        <v/>
      </c>
      <c r="F13" s="29" t="n">
        <v>1200</v>
      </c>
      <c r="G13" s="29">
        <f>SUM(E13,F13)</f>
        <v/>
      </c>
      <c r="H13" s="29" t="n">
        <v>50</v>
      </c>
      <c r="I13" s="29" t="n">
        <v>0</v>
      </c>
      <c r="J13" s="29">
        <f>G13+H13+I13</f>
        <v/>
      </c>
      <c r="K13" s="29" t="inlineStr">
        <is>
          <t>Received</t>
        </is>
      </c>
      <c r="L13" s="29" t="n"/>
      <c r="M13" s="114" t="inlineStr">
        <is>
          <t>garbage</t>
        </is>
      </c>
      <c r="N13" s="114" t="n">
        <v>800</v>
      </c>
    </row>
    <row r="14">
      <c r="A14" s="32" t="n">
        <v>203</v>
      </c>
      <c r="B14" s="30" t="n">
        <v>42.56</v>
      </c>
      <c r="C14" s="30" t="n">
        <v>50.12</v>
      </c>
      <c r="D14" s="29">
        <f>(C14-B14)*1000</f>
        <v/>
      </c>
      <c r="E14" s="64">
        <f>ROUND(D14*D23,0)</f>
        <v/>
      </c>
      <c r="F14" s="29" t="n">
        <v>1200</v>
      </c>
      <c r="G14" s="29">
        <f>SUM(E14,F14)</f>
        <v/>
      </c>
      <c r="H14" s="29" t="n">
        <v>50</v>
      </c>
      <c r="I14" s="29" t="n">
        <v>0</v>
      </c>
      <c r="J14" s="29">
        <f>G14+H14+I14</f>
        <v/>
      </c>
      <c r="K14" s="29" t="inlineStr">
        <is>
          <t>Received</t>
        </is>
      </c>
      <c r="L14" s="29" t="n"/>
      <c r="M14" s="114" t="inlineStr">
        <is>
          <t>light</t>
        </is>
      </c>
      <c r="N14" s="114" t="n">
        <v>75</v>
      </c>
    </row>
    <row r="15">
      <c r="A15" s="32" t="n">
        <v>204</v>
      </c>
      <c r="B15" s="30" t="n">
        <v>293.5</v>
      </c>
      <c r="C15" s="30" t="n">
        <v>299.85</v>
      </c>
      <c r="D15" s="29">
        <f>(C15-B15)*1000</f>
        <v/>
      </c>
      <c r="E15" s="64">
        <f>ROUND(D15*D23,0)</f>
        <v/>
      </c>
      <c r="F15" s="29" t="n">
        <v>1200</v>
      </c>
      <c r="G15" s="29">
        <f>SUM(E15,F15)</f>
        <v/>
      </c>
      <c r="H15" s="29" t="n">
        <v>50</v>
      </c>
      <c r="I15" s="29" t="n">
        <v>0</v>
      </c>
      <c r="J15" s="29">
        <f>G15+H15+I15</f>
        <v/>
      </c>
      <c r="K15" s="29" t="inlineStr">
        <is>
          <t>Received</t>
        </is>
      </c>
      <c r="L15" s="29" t="n"/>
      <c r="M15" s="114" t="inlineStr">
        <is>
          <t>Bleaching powder</t>
        </is>
      </c>
      <c r="N15" s="114" t="n">
        <v>160</v>
      </c>
    </row>
    <row r="16">
      <c r="A16" s="32" t="n">
        <v>301</v>
      </c>
      <c r="B16" s="30" t="n">
        <v>80.62</v>
      </c>
      <c r="C16" s="30" t="n">
        <v>86.63</v>
      </c>
      <c r="D16" s="29">
        <f>(C16-B16)*1000</f>
        <v/>
      </c>
      <c r="E16" s="64">
        <f>ROUND(D16*D23,0)</f>
        <v/>
      </c>
      <c r="F16" s="29" t="n">
        <v>1200</v>
      </c>
      <c r="G16" s="29">
        <f>SUM(E16,F16)</f>
        <v/>
      </c>
      <c r="H16" s="29" t="n">
        <v>50</v>
      </c>
      <c r="I16" s="29" t="n">
        <v>0</v>
      </c>
      <c r="J16" s="29">
        <f>G16+H16+I16</f>
        <v/>
      </c>
      <c r="K16" s="29" t="inlineStr">
        <is>
          <t>Received</t>
        </is>
      </c>
      <c r="L16" s="29" t="n"/>
      <c r="M16" s="160" t="inlineStr">
        <is>
          <t>Broom Stick</t>
        </is>
      </c>
      <c r="N16" s="114" t="n">
        <v>100</v>
      </c>
    </row>
    <row r="17">
      <c r="A17" s="32" t="n">
        <v>302</v>
      </c>
      <c r="B17" s="30" t="n">
        <v>189.2</v>
      </c>
      <c r="C17" s="30" t="n">
        <v>197.73</v>
      </c>
      <c r="D17" s="29">
        <f>(C17-B17)*1000</f>
        <v/>
      </c>
      <c r="E17" s="64">
        <f>ROUND(D17*D23,0)</f>
        <v/>
      </c>
      <c r="F17" s="29" t="n">
        <v>1200</v>
      </c>
      <c r="G17" s="29">
        <f>SUM(E17,F17)</f>
        <v/>
      </c>
      <c r="H17" s="29" t="n">
        <v>50</v>
      </c>
      <c r="I17" s="29" t="n">
        <v>0</v>
      </c>
      <c r="J17" s="29">
        <f>G17+H17+I17</f>
        <v/>
      </c>
      <c r="K17" s="29" t="inlineStr">
        <is>
          <t>Received</t>
        </is>
      </c>
      <c r="L17" s="119" t="n"/>
      <c r="M17" s="114" t="inlineStr">
        <is>
          <t>Tank Cleaning</t>
        </is>
      </c>
      <c r="N17" s="114" t="n">
        <v>1600</v>
      </c>
    </row>
    <row r="18">
      <c r="A18" s="32" t="n">
        <v>303</v>
      </c>
      <c r="B18" s="29" t="n">
        <v>0</v>
      </c>
      <c r="C18" s="29" t="n">
        <v>8.99</v>
      </c>
      <c r="D18" s="29">
        <f>(C18-B18)*1000</f>
        <v/>
      </c>
      <c r="E18" s="64">
        <f>ROUND(D18*D23,0)</f>
        <v/>
      </c>
      <c r="F18" s="29" t="n">
        <v>1200</v>
      </c>
      <c r="G18" s="29">
        <f>SUM(E18,F18)</f>
        <v/>
      </c>
      <c r="H18" s="29" t="n">
        <v>50</v>
      </c>
      <c r="I18" s="29" t="n">
        <v>0</v>
      </c>
      <c r="J18" s="29">
        <f>G18+H18+I18</f>
        <v/>
      </c>
      <c r="K18" s="29" t="inlineStr">
        <is>
          <t>Received</t>
        </is>
      </c>
      <c r="L18" s="29" t="n"/>
      <c r="M18" s="160" t="inlineStr">
        <is>
          <t>Ropes</t>
        </is>
      </c>
      <c r="N18" s="114" t="n">
        <v>276</v>
      </c>
    </row>
    <row r="19">
      <c r="A19" s="32" t="n">
        <v>304</v>
      </c>
      <c r="B19" s="30" t="n">
        <v>344.68</v>
      </c>
      <c r="C19" s="30" t="n">
        <v>357.45</v>
      </c>
      <c r="D19" s="29">
        <f>(C19-B19)*1000</f>
        <v/>
      </c>
      <c r="E19" s="64">
        <f>ROUND(D19*D23,0)</f>
        <v/>
      </c>
      <c r="F19" s="29" t="n">
        <v>1200</v>
      </c>
      <c r="G19" s="29">
        <f>SUM(E19,F19)</f>
        <v/>
      </c>
      <c r="H19" s="29" t="n">
        <v>50</v>
      </c>
      <c r="I19" s="29" t="n">
        <v>0</v>
      </c>
      <c r="J19" s="29">
        <f>G19+H19+I19</f>
        <v/>
      </c>
      <c r="K19" s="29" t="inlineStr">
        <is>
          <t>Received</t>
        </is>
      </c>
      <c r="L19" s="29" t="n"/>
      <c r="M19" s="114" t="n"/>
      <c r="N19" s="114" t="n"/>
    </row>
    <row r="20">
      <c r="A20" s="29" t="inlineStr">
        <is>
          <t>Common</t>
        </is>
      </c>
      <c r="B20" s="30" t="n">
        <v>357.45</v>
      </c>
      <c r="C20" s="30" t="n">
        <v>369.23</v>
      </c>
      <c r="D20" s="29">
        <f>(C20-B20)*1000</f>
        <v/>
      </c>
      <c r="E20" s="64" t="n">
        <v>0</v>
      </c>
      <c r="F20" s="123" t="n">
        <v>0</v>
      </c>
      <c r="G20" s="29" t="n"/>
      <c r="H20" s="29" t="n">
        <v>0</v>
      </c>
      <c r="I20" s="29" t="n"/>
      <c r="J20" s="29">
        <f>G20+H20</f>
        <v/>
      </c>
      <c r="K20" s="29" t="n"/>
      <c r="L20" s="29" t="n"/>
      <c r="M20" s="114" t="n"/>
      <c r="N20" s="114" t="n"/>
    </row>
    <row r="21">
      <c r="A21" s="29" t="n"/>
      <c r="B21" s="29" t="n"/>
      <c r="C21" s="29" t="n"/>
      <c r="D21" s="29" t="n"/>
      <c r="E21" s="29" t="n"/>
      <c r="F21" s="49" t="n"/>
      <c r="G21" s="49" t="n"/>
      <c r="H21" s="49">
        <f>SUM(H2:H20)</f>
        <v/>
      </c>
      <c r="I21" s="49" t="n"/>
      <c r="J21" s="49">
        <f>SUM(J2:J20)</f>
        <v/>
      </c>
      <c r="K21" s="49">
        <f>SUM(K2:K19)</f>
        <v/>
      </c>
      <c r="L21" s="49" t="n"/>
      <c r="M21" s="114" t="n"/>
      <c r="N21" s="121">
        <f>SUM(N9:N20)</f>
        <v/>
      </c>
      <c r="P21" s="331">
        <f>J21+N1-N21</f>
        <v/>
      </c>
    </row>
    <row r="22">
      <c r="A22" s="29" t="n"/>
      <c r="B22" s="29" t="inlineStr">
        <is>
          <t>Total Usage Units</t>
        </is>
      </c>
      <c r="C22" s="29" t="n"/>
      <c r="D22" s="30">
        <f>SUM(D4:D20)</f>
        <v/>
      </c>
      <c r="E22" s="202">
        <f>SUM(E4:E19)</f>
        <v/>
      </c>
      <c r="F22" s="29" t="n"/>
      <c r="G22" s="29" t="n"/>
      <c r="H22" s="29" t="n"/>
      <c r="I22" s="29" t="n"/>
      <c r="J22" s="29" t="n"/>
      <c r="K22" s="29" t="n"/>
      <c r="L22" s="29" t="n"/>
      <c r="M22" s="152" t="n"/>
      <c r="N22" s="152" t="n"/>
    </row>
    <row r="23" ht="4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 t="n"/>
      <c r="I23" s="29" t="n"/>
      <c r="J23" s="29" t="n"/>
      <c r="K23" s="29" t="n"/>
      <c r="L23" s="29" t="n"/>
      <c r="M23" s="114" t="n"/>
      <c r="N23" s="114" t="n"/>
    </row>
    <row r="24">
      <c r="A24" s="119" t="inlineStr">
        <is>
          <t>Total Water Bill</t>
        </is>
      </c>
      <c r="B24" s="30">
        <f>18*1000</f>
        <v/>
      </c>
      <c r="C24" s="119" t="inlineStr">
        <is>
          <t xml:space="preserve">WATER Tankers(18)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5"/>
  <sheetViews>
    <sheetView topLeftCell="C1" zoomScale="86" workbookViewId="0">
      <selection activeCell="P23" sqref="P23"/>
    </sheetView>
  </sheetViews>
  <sheetFormatPr baseColWidth="8" defaultRowHeight="15"/>
  <cols>
    <col width="8.42578125" bestFit="1" customWidth="1" style="366" min="1" max="1"/>
    <col width="21.28515625" bestFit="1" customWidth="1" style="366" min="2" max="2"/>
    <col width="22.140625" customWidth="1" style="366" min="3" max="3"/>
    <col width="10" bestFit="1" customWidth="1" style="366" min="4" max="4"/>
    <col width="9.7109375" bestFit="1" customWidth="1" style="366" min="5" max="5"/>
    <col width="20.7109375" bestFit="1" customWidth="1" style="366" min="6" max="6"/>
    <col width="17.7109375" bestFit="1" customWidth="1" style="366" min="7" max="7"/>
    <col width="16.140625" bestFit="1" customWidth="1" style="366" min="8" max="8"/>
    <col width="16.28515625" bestFit="1" customWidth="1" style="366" min="9" max="9"/>
    <col width="6.7109375" bestFit="1" customWidth="1" style="366" min="10" max="10"/>
    <col width="15.42578125" bestFit="1" customWidth="1" style="366" min="11" max="11"/>
    <col width="15" bestFit="1" customWidth="1" style="366" min="13" max="13"/>
    <col width="23.28515625" bestFit="1" customWidth="1" style="366" min="14" max="14"/>
    <col width="10.28515625" customWidth="1" style="366" min="15" max="15"/>
  </cols>
  <sheetData>
    <row r="1">
      <c r="A1" s="49" t="inlineStr">
        <is>
          <t>`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>Dussera Payment</t>
        </is>
      </c>
      <c r="J1" s="146" t="inlineStr">
        <is>
          <t xml:space="preserve">Topay </t>
        </is>
      </c>
      <c r="K1" s="146" t="inlineStr">
        <is>
          <t>Receive Amount</t>
        </is>
      </c>
      <c r="L1" s="146" t="n"/>
      <c r="M1" s="146" t="inlineStr">
        <is>
          <t>Payment Status</t>
        </is>
      </c>
      <c r="N1" s="154" t="inlineStr">
        <is>
          <t>Balance amount (Dec)-24</t>
        </is>
      </c>
      <c r="O1" s="151" t="n">
        <v>40520</v>
      </c>
    </row>
    <row r="2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>
        <f>SUM(E3,F3)</f>
        <v/>
      </c>
      <c r="H2" s="29" t="n">
        <v>0</v>
      </c>
      <c r="I2" s="29" t="n">
        <v>0</v>
      </c>
      <c r="J2" s="29">
        <f>G2+H2</f>
        <v/>
      </c>
      <c r="K2" s="29" t="n"/>
      <c r="L2" s="29" t="n"/>
      <c r="M2" s="158" t="n"/>
      <c r="N2" s="148" t="n"/>
      <c r="O2" s="149" t="n"/>
    </row>
    <row r="3">
      <c r="A3" s="72" t="inlineStr">
        <is>
          <t>Shop-2</t>
        </is>
      </c>
      <c r="B3" s="30" t="inlineStr">
        <is>
          <t>NA</t>
        </is>
      </c>
      <c r="C3" s="30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0</v>
      </c>
      <c r="J3" s="29">
        <f>G3+H3</f>
        <v/>
      </c>
      <c r="K3" s="29" t="n"/>
      <c r="L3" s="29" t="n"/>
      <c r="M3" s="158" t="n"/>
      <c r="N3" s="148" t="n"/>
      <c r="O3" s="148" t="n"/>
    </row>
    <row r="4">
      <c r="A4" s="32" t="inlineStr">
        <is>
          <t>G1</t>
        </is>
      </c>
      <c r="B4" s="30" t="n">
        <v>142.24</v>
      </c>
      <c r="C4" s="30" t="n">
        <v>147.2</v>
      </c>
      <c r="D4" s="29">
        <f>(C4-B4)*1000</f>
        <v/>
      </c>
      <c r="E4" s="64">
        <f>ROUND(D4*D23,0)</f>
        <v/>
      </c>
      <c r="F4" s="29" t="n">
        <v>1200</v>
      </c>
      <c r="G4" s="29">
        <f>SUM(E4,F4)</f>
        <v/>
      </c>
      <c r="H4" s="29" t="n">
        <v>50</v>
      </c>
      <c r="I4" s="29" t="n">
        <v>0</v>
      </c>
      <c r="J4" s="29">
        <f>G4+H4+I4</f>
        <v/>
      </c>
      <c r="K4" s="29" t="n"/>
      <c r="L4" s="156" t="n"/>
      <c r="M4" s="158" t="n"/>
      <c r="N4" s="160" t="n"/>
      <c r="O4" s="160" t="n"/>
    </row>
    <row r="5">
      <c r="A5" s="32" t="inlineStr">
        <is>
          <t>G2</t>
        </is>
      </c>
      <c r="B5" s="30" t="n">
        <v>223.7</v>
      </c>
      <c r="C5" s="30" t="n">
        <v>228.2</v>
      </c>
      <c r="D5" s="29">
        <f>(C5-B5)*1000</f>
        <v/>
      </c>
      <c r="E5" s="64">
        <f>ROUND(D5*D23,0)</f>
        <v/>
      </c>
      <c r="F5" s="29" t="n">
        <v>1200</v>
      </c>
      <c r="G5" s="29">
        <f>SUM(E5,F5)</f>
        <v/>
      </c>
      <c r="H5" s="29" t="n">
        <v>50</v>
      </c>
      <c r="I5" s="29" t="n">
        <v>0</v>
      </c>
      <c r="J5" s="29">
        <f>G5+H5+I5</f>
        <v/>
      </c>
      <c r="K5" s="29" t="n"/>
      <c r="L5" s="29" t="n"/>
      <c r="M5" s="158" t="n"/>
      <c r="N5" s="114" t="n"/>
      <c r="O5" s="114" t="n"/>
    </row>
    <row r="6">
      <c r="A6" s="32" t="inlineStr">
        <is>
          <t>G3</t>
        </is>
      </c>
      <c r="B6" s="30" t="n">
        <v>443.14</v>
      </c>
      <c r="C6" s="30" t="n">
        <v>451.5</v>
      </c>
      <c r="D6" s="29">
        <f>(C6-B6)*1000</f>
        <v/>
      </c>
      <c r="E6" s="64">
        <f>ROUND(D6*D23,0)</f>
        <v/>
      </c>
      <c r="F6" s="29" t="n">
        <v>1200</v>
      </c>
      <c r="G6" s="29">
        <f>SUM(E6,F6)</f>
        <v/>
      </c>
      <c r="H6" s="29" t="n">
        <v>50</v>
      </c>
      <c r="I6" s="29" t="n">
        <v>0</v>
      </c>
      <c r="J6" s="29">
        <f>G6+H6+I6</f>
        <v/>
      </c>
      <c r="K6" s="29" t="n"/>
      <c r="L6" s="29" t="n"/>
      <c r="M6" s="158" t="n"/>
      <c r="N6" s="114" t="n"/>
      <c r="O6" s="114" t="n"/>
    </row>
    <row r="7">
      <c r="A7" s="32" t="inlineStr">
        <is>
          <t>G4</t>
        </is>
      </c>
      <c r="B7" s="30" t="n">
        <v>364.87</v>
      </c>
      <c r="C7" s="30" t="n">
        <v>374.68</v>
      </c>
      <c r="D7" s="29">
        <f>(C7-B7)*1000</f>
        <v/>
      </c>
      <c r="E7" s="64">
        <f>ROUND(D7*D23,0)</f>
        <v/>
      </c>
      <c r="F7" s="29" t="n">
        <v>1200</v>
      </c>
      <c r="G7" s="29">
        <f>SUM(E7,F7)</f>
        <v/>
      </c>
      <c r="H7" s="29" t="n">
        <v>50</v>
      </c>
      <c r="I7" s="29" t="n">
        <v>0</v>
      </c>
      <c r="J7" s="29">
        <f>G7+H7+I7</f>
        <v/>
      </c>
      <c r="K7" s="29" t="n"/>
      <c r="L7" s="29" t="n"/>
      <c r="M7" s="158" t="n"/>
      <c r="N7" s="114" t="n"/>
      <c r="O7" s="114" t="n"/>
    </row>
    <row r="8">
      <c r="A8" s="32" t="n">
        <v>101</v>
      </c>
      <c r="B8" s="30" t="n">
        <v>85.73999999999999</v>
      </c>
      <c r="C8" s="30" t="n">
        <v>89.84</v>
      </c>
      <c r="D8" s="29">
        <f>(C8-B8)*1000</f>
        <v/>
      </c>
      <c r="E8" s="64">
        <f>ROUND(D8*D23,0)</f>
        <v/>
      </c>
      <c r="F8" s="29" t="n">
        <v>1200</v>
      </c>
      <c r="G8" s="29">
        <f>SUM(E8,F8)</f>
        <v/>
      </c>
      <c r="H8" s="29" t="n">
        <v>50</v>
      </c>
      <c r="I8" s="29" t="n">
        <v>0</v>
      </c>
      <c r="J8" s="29">
        <f>G8+H8+I8</f>
        <v/>
      </c>
      <c r="K8" s="29" t="n"/>
      <c r="L8" s="29" t="n"/>
      <c r="M8" s="158" t="n"/>
      <c r="N8" s="153" t="inlineStr">
        <is>
          <t>Expenditures</t>
        </is>
      </c>
      <c r="O8" s="153" t="n"/>
    </row>
    <row r="9">
      <c r="A9" s="32" t="n">
        <v>102</v>
      </c>
      <c r="B9" s="30" t="n">
        <v>637.12</v>
      </c>
      <c r="C9" s="30" t="n">
        <v>638.4</v>
      </c>
      <c r="D9" s="29">
        <f>(C9-B9)*1000</f>
        <v/>
      </c>
      <c r="E9" s="64">
        <f>ROUND(D9*D23,0)</f>
        <v/>
      </c>
      <c r="F9" s="29" t="n">
        <v>1200</v>
      </c>
      <c r="G9" s="29">
        <f>SUM(E9,F9)</f>
        <v/>
      </c>
      <c r="H9" s="29" t="n">
        <v>50</v>
      </c>
      <c r="I9" s="29" t="n">
        <v>0</v>
      </c>
      <c r="J9" s="29">
        <f>G9+H9+I9</f>
        <v/>
      </c>
      <c r="K9" s="29" t="n"/>
      <c r="L9" s="29" t="n"/>
      <c r="M9" s="158" t="n"/>
      <c r="N9" s="114" t="inlineStr">
        <is>
          <t>watchman salary</t>
        </is>
      </c>
      <c r="O9" s="160" t="n">
        <v>6500</v>
      </c>
    </row>
    <row r="10">
      <c r="A10" s="32" t="n">
        <v>103</v>
      </c>
      <c r="B10" s="29" t="n">
        <v>252.85</v>
      </c>
      <c r="C10" s="29" t="n">
        <v>262.1</v>
      </c>
      <c r="D10" s="29">
        <f>(C10-B10)*1000</f>
        <v/>
      </c>
      <c r="E10" s="64">
        <f>ROUND(D10*D23,0)</f>
        <v/>
      </c>
      <c r="F10" s="29" t="n">
        <v>1200</v>
      </c>
      <c r="G10" s="29">
        <f>SUM(E10,F10)</f>
        <v/>
      </c>
      <c r="H10" s="29" t="n">
        <v>50</v>
      </c>
      <c r="I10" s="29" t="n">
        <v>0</v>
      </c>
      <c r="J10" s="29">
        <f>G10+H10+I10</f>
        <v/>
      </c>
      <c r="K10" s="29" t="n"/>
      <c r="L10" s="29" t="n"/>
      <c r="M10" s="158" t="n"/>
      <c r="N10" s="160" t="inlineStr">
        <is>
          <t>Common water (Majeera)</t>
        </is>
      </c>
      <c r="O10" s="160" t="n">
        <v>2044</v>
      </c>
    </row>
    <row r="11">
      <c r="A11" s="32" t="n">
        <v>104</v>
      </c>
      <c r="B11" s="30" t="n">
        <v>85.3</v>
      </c>
      <c r="C11" s="30" t="n">
        <v>97.15000000000001</v>
      </c>
      <c r="D11" s="29">
        <f>(C11-B11)*1000</f>
        <v/>
      </c>
      <c r="E11" s="64">
        <f>ROUND(D11*D23,0)</f>
        <v/>
      </c>
      <c r="F11" s="29" t="n">
        <v>1200</v>
      </c>
      <c r="G11" s="29">
        <f>SUM(E11,F11)</f>
        <v/>
      </c>
      <c r="H11" s="29" t="n">
        <v>50</v>
      </c>
      <c r="I11" s="29" t="n">
        <v>0</v>
      </c>
      <c r="J11" s="29">
        <f>G11+H11+I11</f>
        <v/>
      </c>
      <c r="K11" s="29" t="n"/>
      <c r="L11" s="29" t="n"/>
      <c r="M11" s="158" t="n"/>
      <c r="N11" s="160" t="inlineStr">
        <is>
          <t>common power</t>
        </is>
      </c>
      <c r="O11" s="160" t="n">
        <v>2953</v>
      </c>
    </row>
    <row r="12">
      <c r="A12" s="32" t="n">
        <v>201</v>
      </c>
      <c r="B12" s="30" t="n">
        <v>147.6</v>
      </c>
      <c r="C12" s="30" t="n">
        <v>151.33</v>
      </c>
      <c r="D12" s="29">
        <f>(C12-B12)*1000</f>
        <v/>
      </c>
      <c r="E12" s="64">
        <f>ROUND(D12*D23,0)</f>
        <v/>
      </c>
      <c r="F12" s="29" t="n">
        <v>1200</v>
      </c>
      <c r="G12" s="29">
        <f>SUM(E12,F12)</f>
        <v/>
      </c>
      <c r="H12" s="29" t="n">
        <v>50</v>
      </c>
      <c r="I12" s="29" t="n">
        <v>0</v>
      </c>
      <c r="J12" s="29">
        <f>G12+H12+I12</f>
        <v/>
      </c>
      <c r="K12" s="29" t="n"/>
      <c r="L12" s="29" t="n"/>
      <c r="M12" s="158" t="n"/>
      <c r="N12" s="160" t="inlineStr">
        <is>
          <t>tanker</t>
        </is>
      </c>
      <c r="O12" s="160" t="n">
        <v>18000</v>
      </c>
    </row>
    <row r="13">
      <c r="A13" s="32" t="n">
        <v>202</v>
      </c>
      <c r="B13" s="30" t="n">
        <v>309.01</v>
      </c>
      <c r="C13" s="30" t="n">
        <v>313.9</v>
      </c>
      <c r="D13" s="29">
        <f>(C13-B13)*1000</f>
        <v/>
      </c>
      <c r="E13" s="64">
        <f>ROUND(D13*D23,0)</f>
        <v/>
      </c>
      <c r="F13" s="29" t="n">
        <v>1200</v>
      </c>
      <c r="G13" s="29">
        <f>SUM(E13,F13)</f>
        <v/>
      </c>
      <c r="H13" s="29" t="n">
        <v>50</v>
      </c>
      <c r="I13" s="29" t="n">
        <v>0</v>
      </c>
      <c r="J13" s="29">
        <f>G13+H13+I13</f>
        <v/>
      </c>
      <c r="K13" s="29" t="n"/>
      <c r="L13" s="29" t="n"/>
      <c r="M13" s="158" t="n"/>
      <c r="N13" s="114" t="inlineStr">
        <is>
          <t>garbage</t>
        </is>
      </c>
      <c r="O13" s="114" t="n">
        <v>800</v>
      </c>
    </row>
    <row r="14">
      <c r="A14" s="32" t="n">
        <v>203</v>
      </c>
      <c r="B14" s="30" t="n">
        <v>50.12</v>
      </c>
      <c r="C14" s="30" t="n">
        <v>56.8</v>
      </c>
      <c r="D14" s="29">
        <f>(C14-B14)*1000</f>
        <v/>
      </c>
      <c r="E14" s="64">
        <f>ROUND(D14*D23,0)</f>
        <v/>
      </c>
      <c r="F14" s="29" t="n">
        <v>1200</v>
      </c>
      <c r="G14" s="29">
        <f>SUM(E14,F14)</f>
        <v/>
      </c>
      <c r="H14" s="29" t="n">
        <v>50</v>
      </c>
      <c r="I14" s="29" t="n">
        <v>0</v>
      </c>
      <c r="J14" s="29">
        <f>G14+H14+I14</f>
        <v/>
      </c>
      <c r="K14" s="29" t="n"/>
      <c r="L14" s="29" t="n"/>
      <c r="M14" s="158" t="n"/>
      <c r="N14" s="114" t="inlineStr">
        <is>
          <t>Savitri Muggu/Clours</t>
        </is>
      </c>
      <c r="O14" s="114" t="n">
        <v>365</v>
      </c>
    </row>
    <row r="15">
      <c r="A15" s="32" t="n">
        <v>204</v>
      </c>
      <c r="B15" s="30" t="n">
        <v>299.85</v>
      </c>
      <c r="C15" s="30" t="n">
        <v>306.21</v>
      </c>
      <c r="D15" s="29">
        <f>(C15-B15)*1000</f>
        <v/>
      </c>
      <c r="E15" s="64">
        <f>ROUND(D15*D23,0)</f>
        <v/>
      </c>
      <c r="F15" s="29" t="n">
        <v>1200</v>
      </c>
      <c r="G15" s="29">
        <f>SUM(E15,F15)</f>
        <v/>
      </c>
      <c r="H15" s="29" t="n">
        <v>50</v>
      </c>
      <c r="I15" s="29" t="n">
        <v>0</v>
      </c>
      <c r="J15" s="29">
        <f>G15+H15+I15</f>
        <v/>
      </c>
      <c r="K15" s="29" t="n"/>
      <c r="L15" s="29" t="n"/>
      <c r="M15" s="158" t="n"/>
      <c r="N15" s="114" t="inlineStr">
        <is>
          <t>Lizol</t>
        </is>
      </c>
      <c r="O15" s="114" t="n">
        <v>300</v>
      </c>
    </row>
    <row r="16">
      <c r="A16" s="32" t="n">
        <v>301</v>
      </c>
      <c r="B16" s="30" t="n">
        <v>86.63</v>
      </c>
      <c r="C16" s="30" t="n">
        <v>91.36</v>
      </c>
      <c r="D16" s="29">
        <f>(C16-B16)*1000</f>
        <v/>
      </c>
      <c r="E16" s="64">
        <f>ROUND(D16*D23,0)</f>
        <v/>
      </c>
      <c r="F16" s="29" t="n">
        <v>1200</v>
      </c>
      <c r="G16" s="29">
        <f>SUM(E16,F16)</f>
        <v/>
      </c>
      <c r="H16" s="29" t="n">
        <v>50</v>
      </c>
      <c r="I16" s="29" t="n">
        <v>0</v>
      </c>
      <c r="J16" s="29">
        <f>G16+H16+I16</f>
        <v/>
      </c>
      <c r="K16" s="29" t="n"/>
      <c r="L16" s="29" t="n"/>
      <c r="M16" s="158" t="n"/>
      <c r="N16" s="160" t="n"/>
      <c r="O16" s="114" t="n"/>
    </row>
    <row r="17">
      <c r="A17" s="32" t="n">
        <v>302</v>
      </c>
      <c r="B17" s="30" t="n">
        <v>197.73</v>
      </c>
      <c r="C17" s="30" t="n">
        <v>205.6</v>
      </c>
      <c r="D17" s="29">
        <f>(C17-B17)*1000</f>
        <v/>
      </c>
      <c r="E17" s="64">
        <f>ROUND(D17*D23,0)</f>
        <v/>
      </c>
      <c r="F17" s="29" t="n">
        <v>1200</v>
      </c>
      <c r="G17" s="29">
        <f>SUM(E17,F17)</f>
        <v/>
      </c>
      <c r="H17" s="29" t="n">
        <v>50</v>
      </c>
      <c r="I17" s="29" t="n">
        <v>0</v>
      </c>
      <c r="J17" s="29">
        <f>G17+H17+I17</f>
        <v/>
      </c>
      <c r="K17" s="29" t="n"/>
      <c r="L17" s="119" t="n"/>
      <c r="M17" s="158" t="n"/>
      <c r="N17" s="114" t="n"/>
      <c r="O17" s="114" t="n"/>
    </row>
    <row r="18">
      <c r="A18" s="32" t="n">
        <v>303</v>
      </c>
      <c r="B18" s="29" t="n">
        <v>8.99</v>
      </c>
      <c r="C18" s="29" t="n">
        <v>23.53</v>
      </c>
      <c r="D18" s="29">
        <f>(C18-B18)*1000</f>
        <v/>
      </c>
      <c r="E18" s="64">
        <f>ROUND(D18*D23,0)</f>
        <v/>
      </c>
      <c r="F18" s="29" t="n">
        <v>1200</v>
      </c>
      <c r="G18" s="29">
        <f>SUM(E18,F18)</f>
        <v/>
      </c>
      <c r="H18" s="29" t="n">
        <v>50</v>
      </c>
      <c r="I18" s="29" t="n">
        <v>0</v>
      </c>
      <c r="J18" s="29">
        <f>G18+H18+I18</f>
        <v/>
      </c>
      <c r="K18" s="29" t="n"/>
      <c r="L18" s="29" t="n"/>
      <c r="M18" s="158" t="n"/>
      <c r="N18" s="160" t="n"/>
      <c r="O18" s="114" t="n"/>
    </row>
    <row r="19">
      <c r="A19" s="32" t="n">
        <v>304</v>
      </c>
      <c r="B19" s="30" t="n">
        <v>357.45</v>
      </c>
      <c r="C19" s="30" t="n">
        <v>370.95</v>
      </c>
      <c r="D19" s="29">
        <f>(C19-B19)*1000</f>
        <v/>
      </c>
      <c r="E19" s="64">
        <f>ROUND(D19*D23,0)</f>
        <v/>
      </c>
      <c r="F19" s="29" t="n">
        <v>1200</v>
      </c>
      <c r="G19" s="29">
        <f>SUM(E19,F19)</f>
        <v/>
      </c>
      <c r="H19" s="29" t="n">
        <v>50</v>
      </c>
      <c r="I19" s="29" t="n">
        <v>0</v>
      </c>
      <c r="J19" s="29">
        <f>G19+H19+I19</f>
        <v/>
      </c>
      <c r="K19" s="29" t="n"/>
      <c r="L19" s="29" t="n"/>
      <c r="M19" s="158" t="n"/>
      <c r="N19" s="114" t="n"/>
      <c r="O19" s="114" t="n"/>
    </row>
    <row r="20">
      <c r="A20" s="29" t="inlineStr">
        <is>
          <t>Common</t>
        </is>
      </c>
      <c r="B20" s="30" t="n">
        <v>369.23</v>
      </c>
      <c r="C20" s="30" t="n">
        <v>381.86</v>
      </c>
      <c r="D20" s="29">
        <f>(C20-B20)*1000</f>
        <v/>
      </c>
      <c r="E20" s="64">
        <f>ROUND(D20*D23,0)</f>
        <v/>
      </c>
      <c r="F20" s="29" t="n">
        <v>0</v>
      </c>
      <c r="G20" s="29" t="n"/>
      <c r="H20" s="29" t="n">
        <v>0</v>
      </c>
      <c r="I20" s="29" t="n"/>
      <c r="J20" s="29" t="n"/>
      <c r="K20" s="29" t="n"/>
      <c r="L20" s="29" t="n"/>
      <c r="M20" s="51" t="n"/>
      <c r="N20" s="114" t="n"/>
      <c r="O20" s="114" t="n"/>
    </row>
    <row r="21">
      <c r="A21" s="29" t="n"/>
      <c r="B21" s="29" t="n"/>
      <c r="C21" s="29" t="n"/>
      <c r="D21" s="29" t="n"/>
      <c r="E21" s="29" t="n"/>
      <c r="F21" s="49" t="n"/>
      <c r="G21" s="49" t="n"/>
      <c r="H21" s="49">
        <f>SUM(H2:H20)</f>
        <v/>
      </c>
      <c r="I21" s="49" t="n"/>
      <c r="J21" s="49">
        <f>SUM(J2:J20)</f>
        <v/>
      </c>
      <c r="K21" s="49">
        <f>SUM(K2:K19)</f>
        <v/>
      </c>
      <c r="L21" s="49" t="n"/>
      <c r="M21" s="29" t="n"/>
      <c r="N21" s="114" t="n"/>
      <c r="O21" s="121">
        <f>SUM(O9:O20)</f>
        <v/>
      </c>
    </row>
    <row r="22">
      <c r="A22" s="29" t="n"/>
      <c r="B22" s="29" t="inlineStr">
        <is>
          <t>Total Usage Units</t>
        </is>
      </c>
      <c r="C22" s="29" t="n"/>
      <c r="D22" s="30">
        <f>SUM(D4:D20)</f>
        <v/>
      </c>
      <c r="E22" s="202">
        <f>SUM(E4:E20)</f>
        <v/>
      </c>
      <c r="F22" s="29" t="n"/>
      <c r="G22" s="29" t="n"/>
      <c r="H22" s="29" t="n"/>
      <c r="I22" s="29" t="n"/>
      <c r="J22" s="29" t="n"/>
      <c r="K22" s="29" t="n"/>
      <c r="L22" s="29" t="n"/>
      <c r="M22" s="29" t="n"/>
      <c r="N22" s="152" t="n"/>
      <c r="O22" s="152" t="n"/>
    </row>
    <row r="23" ht="45" customHeight="1" s="366">
      <c r="A23" s="29" t="n"/>
      <c r="B23" s="29" t="inlineStr">
        <is>
          <t>Per Lt cost</t>
        </is>
      </c>
      <c r="C23" s="119" t="inlineStr">
        <is>
          <t>Number of tankers/Number of litters</t>
        </is>
      </c>
      <c r="D23" s="111">
        <f>B24/D22</f>
        <v/>
      </c>
      <c r="E23" s="29" t="n"/>
      <c r="F23" s="29" t="n"/>
      <c r="G23" s="29" t="inlineStr">
        <is>
          <t>Balance</t>
        </is>
      </c>
      <c r="H23" s="29" t="n"/>
      <c r="I23" s="29" t="n"/>
      <c r="J23" s="29" t="n"/>
      <c r="K23" s="29" t="n"/>
      <c r="L23" s="29" t="n"/>
      <c r="M23" s="29" t="n"/>
      <c r="N23" s="114" t="n"/>
      <c r="O23" s="114" t="n"/>
    </row>
    <row r="24" ht="45" customHeight="1" s="366">
      <c r="A24" s="119" t="inlineStr">
        <is>
          <t>Total Water Bill</t>
        </is>
      </c>
      <c r="B24" s="30">
        <f>17*1000</f>
        <v/>
      </c>
      <c r="C24" s="119" t="inlineStr">
        <is>
          <t xml:space="preserve">WATER Tankers(17) 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</row>
    <row r="25">
      <c r="N25" s="331">
        <f>J21+O1-O21</f>
        <v/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4"/>
  <sheetViews>
    <sheetView zoomScale="70" workbookViewId="0">
      <selection activeCell="J21" sqref="J21"/>
    </sheetView>
  </sheetViews>
  <sheetFormatPr baseColWidth="8" defaultRowHeight="15"/>
  <cols>
    <col width="12.140625" bestFit="1" customWidth="1" style="366" min="1" max="1"/>
    <col width="21.28515625" bestFit="1" customWidth="1" style="366" min="2" max="2"/>
    <col width="20.28515625" bestFit="1" customWidth="1" style="366" min="3" max="3"/>
    <col width="10" bestFit="1" customWidth="1" style="366" min="4" max="4"/>
    <col width="9" bestFit="1" customWidth="1" style="366" min="5" max="5"/>
    <col width="20.140625" bestFit="1" customWidth="1" style="366" min="6" max="6"/>
    <col width="16.85546875" bestFit="1" customWidth="1" style="366" min="7" max="7"/>
    <col width="15.42578125" bestFit="1" customWidth="1" style="366" min="8" max="8"/>
    <col width="15.7109375" bestFit="1" customWidth="1" style="366" min="9" max="9"/>
    <col width="9.28515625" bestFit="1" customWidth="1" style="366" min="10" max="10"/>
    <col hidden="1" width="14.28515625" customWidth="1" style="366" min="13" max="13"/>
    <col width="22.5703125" bestFit="1" customWidth="1" style="366" min="14" max="14"/>
  </cols>
  <sheetData>
    <row r="1">
      <c r="A1" s="49" t="inlineStr">
        <is>
          <t>Flat Numbers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 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 xml:space="preserve">Topay </t>
        </is>
      </c>
      <c r="J1" s="146" t="inlineStr">
        <is>
          <t>Receive Amount</t>
        </is>
      </c>
      <c r="K1" s="146" t="inlineStr">
        <is>
          <t>Payment Status</t>
        </is>
      </c>
      <c r="L1" s="146" t="inlineStr">
        <is>
          <t>Balance amount (February 2025)</t>
        </is>
      </c>
      <c r="M1" s="146" t="inlineStr">
        <is>
          <t>Payment Status</t>
        </is>
      </c>
      <c r="N1" s="154" t="n"/>
      <c r="O1" s="151" t="n"/>
    </row>
    <row r="2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 t="n">
        <v>300</v>
      </c>
      <c r="H2" s="29" t="n">
        <v>0</v>
      </c>
      <c r="I2" s="29" t="n">
        <v>300</v>
      </c>
      <c r="J2" s="29" t="n"/>
      <c r="K2" s="29" t="inlineStr"/>
      <c r="L2" s="29" t="n"/>
      <c r="M2" s="158" t="n"/>
      <c r="N2" s="148" t="n"/>
      <c r="O2" s="149" t="n"/>
    </row>
    <row r="3">
      <c r="A3" s="72" t="inlineStr">
        <is>
          <t>Shop-2</t>
        </is>
      </c>
      <c r="B3" s="30" t="inlineStr">
        <is>
          <t>NA</t>
        </is>
      </c>
      <c r="C3" s="30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300</v>
      </c>
      <c r="J3" s="29" t="n"/>
      <c r="K3" s="29" t="inlineStr"/>
      <c r="L3" s="29" t="n"/>
      <c r="M3" s="158" t="n"/>
      <c r="N3" s="148" t="n"/>
      <c r="O3" s="148" t="n"/>
    </row>
    <row r="4">
      <c r="A4" s="32" t="inlineStr">
        <is>
          <t>G1</t>
        </is>
      </c>
      <c r="B4" s="30" t="n">
        <v>147.2</v>
      </c>
      <c r="C4" s="30" t="n">
        <v>149.3</v>
      </c>
      <c r="D4" s="29" t="n">
        <v>2100</v>
      </c>
      <c r="E4" s="64" t="n">
        <v>0</v>
      </c>
      <c r="F4" s="29" t="n">
        <v>1200</v>
      </c>
      <c r="G4" s="29" t="n">
        <v>1200</v>
      </c>
      <c r="H4" s="29" t="n">
        <v>50</v>
      </c>
      <c r="I4" s="29" t="n">
        <v>1250</v>
      </c>
      <c r="J4" s="29" t="n"/>
      <c r="K4" s="29" t="inlineStr"/>
      <c r="L4" s="156" t="n"/>
      <c r="M4" s="158" t="n"/>
      <c r="N4" s="160" t="n"/>
      <c r="O4" s="160" t="n"/>
    </row>
    <row r="5">
      <c r="A5" s="32" t="inlineStr">
        <is>
          <t>G2</t>
        </is>
      </c>
      <c r="B5" s="30" t="n">
        <v>228.2</v>
      </c>
      <c r="C5" s="30" t="n">
        <v>231.97</v>
      </c>
      <c r="D5" s="29" t="n">
        <v>3770</v>
      </c>
      <c r="E5" s="64" t="n">
        <v>0</v>
      </c>
      <c r="F5" s="29" t="n">
        <v>1200</v>
      </c>
      <c r="G5" s="29" t="n">
        <v>1200</v>
      </c>
      <c r="H5" s="29" t="n">
        <v>50</v>
      </c>
      <c r="I5" s="29" t="n">
        <v>1250</v>
      </c>
      <c r="J5" s="29" t="n"/>
      <c r="K5" s="29" t="inlineStr"/>
      <c r="L5" s="29" t="n"/>
      <c r="M5" s="158" t="n"/>
      <c r="N5" s="114" t="n"/>
      <c r="O5" s="114" t="n"/>
    </row>
    <row r="6">
      <c r="A6" s="32" t="inlineStr">
        <is>
          <t>G3</t>
        </is>
      </c>
      <c r="B6" s="30" t="n">
        <v>451.5</v>
      </c>
      <c r="C6" s="30" t="n">
        <v>459.18</v>
      </c>
      <c r="D6" s="29" t="n">
        <v>7680</v>
      </c>
      <c r="E6" s="64" t="n">
        <v>0</v>
      </c>
      <c r="F6" s="29" t="n">
        <v>1200</v>
      </c>
      <c r="G6" s="29" t="n">
        <v>1200</v>
      </c>
      <c r="H6" s="29" t="n">
        <v>50</v>
      </c>
      <c r="I6" s="29" t="n">
        <v>1250</v>
      </c>
      <c r="J6" s="29" t="n"/>
      <c r="K6" s="29" t="inlineStr"/>
      <c r="L6" s="29" t="n"/>
      <c r="M6" s="158" t="n"/>
      <c r="N6" s="114" t="n"/>
      <c r="O6" s="114" t="n"/>
    </row>
    <row r="7">
      <c r="A7" s="32" t="inlineStr">
        <is>
          <t>G4</t>
        </is>
      </c>
      <c r="B7" s="30" t="n">
        <v>374.68</v>
      </c>
      <c r="C7" s="30" t="n">
        <v>383.4</v>
      </c>
      <c r="D7" s="29" t="n">
        <v>8720</v>
      </c>
      <c r="E7" s="64" t="n">
        <v>0</v>
      </c>
      <c r="F7" s="29" t="n">
        <v>1200</v>
      </c>
      <c r="G7" s="29" t="n">
        <v>1200</v>
      </c>
      <c r="H7" s="29" t="n">
        <v>50</v>
      </c>
      <c r="I7" s="29" t="n">
        <v>1250</v>
      </c>
      <c r="J7" s="29" t="n"/>
      <c r="K7" s="29" t="inlineStr"/>
      <c r="L7" s="29" t="n"/>
      <c r="M7" s="158" t="n"/>
      <c r="N7" s="114" t="n"/>
      <c r="O7" s="114" t="n"/>
    </row>
    <row r="8">
      <c r="A8" s="32" t="inlineStr">
        <is>
          <t>101</t>
        </is>
      </c>
      <c r="B8" s="30" t="n">
        <v>89.84</v>
      </c>
      <c r="C8" s="30" t="n">
        <v>94.09</v>
      </c>
      <c r="D8" s="29" t="n">
        <v>4250</v>
      </c>
      <c r="E8" s="64" t="n">
        <v>0</v>
      </c>
      <c r="F8" s="29" t="n">
        <v>1200</v>
      </c>
      <c r="G8" s="29" t="n">
        <v>1200</v>
      </c>
      <c r="H8" s="29" t="n">
        <v>50</v>
      </c>
      <c r="I8" s="29" t="n">
        <v>1250</v>
      </c>
      <c r="J8" s="29" t="n"/>
      <c r="K8" s="29" t="inlineStr"/>
      <c r="L8" s="29" t="n"/>
      <c r="M8" s="158" t="n"/>
      <c r="N8" s="153" t="n"/>
      <c r="O8" s="153" t="n"/>
    </row>
    <row r="9">
      <c r="A9" s="32" t="inlineStr">
        <is>
          <t>102</t>
        </is>
      </c>
      <c r="B9" s="30" t="n">
        <v>638.4</v>
      </c>
      <c r="C9" s="30" t="n">
        <v>639.64</v>
      </c>
      <c r="D9" s="29" t="n">
        <v>1240</v>
      </c>
      <c r="E9" s="64" t="n">
        <v>0</v>
      </c>
      <c r="F9" s="29" t="n">
        <v>1200</v>
      </c>
      <c r="G9" s="29" t="n">
        <v>1200</v>
      </c>
      <c r="H9" s="29" t="n">
        <v>50</v>
      </c>
      <c r="I9" s="29" t="n">
        <v>1250</v>
      </c>
      <c r="J9" s="29" t="n"/>
      <c r="K9" s="29" t="inlineStr"/>
      <c r="L9" s="29" t="n"/>
      <c r="M9" s="158" t="n"/>
      <c r="N9" s="114" t="n"/>
      <c r="O9" s="160" t="n"/>
    </row>
    <row r="10">
      <c r="A10" s="32" t="inlineStr">
        <is>
          <t>103</t>
        </is>
      </c>
      <c r="B10" s="29" t="n">
        <v>262.1</v>
      </c>
      <c r="C10" s="29" t="n">
        <v>266.92</v>
      </c>
      <c r="D10" s="29" t="n">
        <v>4820</v>
      </c>
      <c r="E10" s="64" t="n">
        <v>0</v>
      </c>
      <c r="F10" s="29" t="n">
        <v>1200</v>
      </c>
      <c r="G10" s="29" t="n">
        <v>1200</v>
      </c>
      <c r="H10" s="29" t="n">
        <v>50</v>
      </c>
      <c r="I10" s="29" t="n">
        <v>1250</v>
      </c>
      <c r="J10" s="29" t="n"/>
      <c r="K10" s="29" t="inlineStr"/>
      <c r="L10" s="29" t="n"/>
      <c r="M10" s="158" t="n"/>
      <c r="N10" s="160" t="n"/>
      <c r="O10" s="160" t="n"/>
    </row>
    <row r="11">
      <c r="A11" s="32" t="inlineStr">
        <is>
          <t>104</t>
        </is>
      </c>
      <c r="B11" s="30" t="n">
        <v>97.15000000000001</v>
      </c>
      <c r="C11" s="30" t="n">
        <v>104.73</v>
      </c>
      <c r="D11" s="29" t="n">
        <v>7580</v>
      </c>
      <c r="E11" s="64" t="n">
        <v>0</v>
      </c>
      <c r="F11" s="29" t="n">
        <v>1200</v>
      </c>
      <c r="G11" s="29" t="n">
        <v>1200</v>
      </c>
      <c r="H11" s="29" t="n">
        <v>50</v>
      </c>
      <c r="I11" s="29" t="n">
        <v>1250</v>
      </c>
      <c r="J11" s="29" t="n"/>
      <c r="K11" s="29" t="inlineStr"/>
      <c r="L11" s="29" t="n"/>
      <c r="M11" s="158" t="n"/>
      <c r="N11" s="160" t="n"/>
      <c r="O11" s="160" t="n"/>
    </row>
    <row r="12">
      <c r="A12" s="32" t="inlineStr">
        <is>
          <t>201</t>
        </is>
      </c>
      <c r="B12" s="30" t="n">
        <v>151.33</v>
      </c>
      <c r="C12" s="30" t="n">
        <v>155.19</v>
      </c>
      <c r="D12" s="29" t="n">
        <v>3860</v>
      </c>
      <c r="E12" s="64" t="n">
        <v>0</v>
      </c>
      <c r="F12" s="29" t="n">
        <v>1200</v>
      </c>
      <c r="G12" s="29" t="n">
        <v>1200</v>
      </c>
      <c r="H12" s="29" t="n">
        <v>50</v>
      </c>
      <c r="I12" s="29" t="n">
        <v>1250</v>
      </c>
      <c r="J12" s="29" t="n"/>
      <c r="K12" s="29" t="inlineStr"/>
      <c r="L12" s="29" t="n"/>
      <c r="M12" s="158" t="n"/>
      <c r="N12" s="160" t="n"/>
      <c r="O12" s="160" t="n"/>
    </row>
    <row r="13">
      <c r="A13" s="32" t="inlineStr">
        <is>
          <t>202</t>
        </is>
      </c>
      <c r="B13" s="30" t="n">
        <v>313.9</v>
      </c>
      <c r="C13" s="30" t="n">
        <v>318.14</v>
      </c>
      <c r="D13" s="29" t="n">
        <v>4240</v>
      </c>
      <c r="E13" s="64" t="n">
        <v>0</v>
      </c>
      <c r="F13" s="29" t="n">
        <v>1200</v>
      </c>
      <c r="G13" s="29" t="n">
        <v>1200</v>
      </c>
      <c r="H13" s="29" t="n">
        <v>50</v>
      </c>
      <c r="I13" s="29" t="n">
        <v>1250</v>
      </c>
      <c r="J13" s="29" t="n"/>
      <c r="K13" s="29" t="inlineStr"/>
      <c r="L13" s="29" t="n"/>
      <c r="M13" s="158" t="n"/>
      <c r="N13" s="114" t="n"/>
      <c r="O13" s="114" t="n"/>
    </row>
    <row r="14">
      <c r="A14" s="32" t="inlineStr">
        <is>
          <t>203</t>
        </is>
      </c>
      <c r="B14" s="30" t="n">
        <v>56.8</v>
      </c>
      <c r="C14" s="30" t="n">
        <v>63.74</v>
      </c>
      <c r="D14" s="29" t="n">
        <v>6940</v>
      </c>
      <c r="E14" s="64" t="n">
        <v>0</v>
      </c>
      <c r="F14" s="29" t="n">
        <v>1200</v>
      </c>
      <c r="G14" s="29" t="n">
        <v>1200</v>
      </c>
      <c r="H14" s="29" t="n">
        <v>50</v>
      </c>
      <c r="I14" s="29" t="n">
        <v>1250</v>
      </c>
      <c r="J14" s="29" t="n"/>
      <c r="K14" s="29" t="inlineStr"/>
      <c r="L14" s="29" t="n"/>
      <c r="M14" s="158" t="n"/>
      <c r="N14" s="114" t="n"/>
      <c r="O14" s="114" t="n"/>
    </row>
    <row r="15">
      <c r="A15" s="32" t="inlineStr">
        <is>
          <t>204</t>
        </is>
      </c>
      <c r="B15" s="30" t="n">
        <v>306.21</v>
      </c>
      <c r="C15" s="30" t="n">
        <v>312.94</v>
      </c>
      <c r="D15" s="29" t="n">
        <v>6730</v>
      </c>
      <c r="E15" s="64" t="n">
        <v>0</v>
      </c>
      <c r="F15" s="29" t="n">
        <v>1200</v>
      </c>
      <c r="G15" s="29" t="n">
        <v>1200</v>
      </c>
      <c r="H15" s="29" t="n">
        <v>50</v>
      </c>
      <c r="I15" s="29" t="n">
        <v>1250</v>
      </c>
      <c r="J15" s="29" t="n"/>
      <c r="K15" s="29" t="inlineStr"/>
      <c r="L15" s="29" t="n"/>
      <c r="M15" s="158" t="n"/>
      <c r="N15" s="114" t="n"/>
      <c r="O15" s="114" t="n"/>
    </row>
    <row r="16">
      <c r="A16" s="32" t="inlineStr">
        <is>
          <t>301</t>
        </is>
      </c>
      <c r="B16" s="30" t="n">
        <v>91.36</v>
      </c>
      <c r="C16" s="30" t="n">
        <v>96.64</v>
      </c>
      <c r="D16" s="29" t="n">
        <v>5280</v>
      </c>
      <c r="E16" s="64" t="n">
        <v>0</v>
      </c>
      <c r="F16" s="29" t="n">
        <v>1200</v>
      </c>
      <c r="G16" s="29" t="n">
        <v>1200</v>
      </c>
      <c r="H16" s="29" t="n">
        <v>50</v>
      </c>
      <c r="I16" s="29" t="n">
        <v>1250</v>
      </c>
      <c r="J16" s="29" t="n"/>
      <c r="K16" s="29" t="inlineStr"/>
      <c r="L16" s="29" t="n"/>
      <c r="M16" s="158" t="n"/>
      <c r="N16" s="160" t="n"/>
      <c r="O16" s="114" t="n"/>
    </row>
    <row r="17">
      <c r="A17" s="32" t="inlineStr">
        <is>
          <t>302</t>
        </is>
      </c>
      <c r="B17" s="30" t="n">
        <v>205.6</v>
      </c>
      <c r="C17" s="30" t="n">
        <v>217.55</v>
      </c>
      <c r="D17" s="29" t="n">
        <v>11950</v>
      </c>
      <c r="E17" s="64" t="n">
        <v>0</v>
      </c>
      <c r="F17" s="29" t="n">
        <v>1200</v>
      </c>
      <c r="G17" s="29" t="n">
        <v>1200</v>
      </c>
      <c r="H17" s="29" t="n">
        <v>50</v>
      </c>
      <c r="I17" s="29" t="n">
        <v>1250</v>
      </c>
      <c r="J17" s="29" t="n"/>
      <c r="K17" s="29" t="inlineStr"/>
      <c r="L17" s="119" t="n"/>
      <c r="M17" s="158" t="n"/>
      <c r="N17" s="114" t="n"/>
      <c r="O17" s="114" t="n"/>
    </row>
    <row r="18">
      <c r="A18" s="32" t="inlineStr">
        <is>
          <t>303</t>
        </is>
      </c>
      <c r="B18" s="29" t="n">
        <v>23.53</v>
      </c>
      <c r="C18" s="29" t="n">
        <v>37.44</v>
      </c>
      <c r="D18" s="29" t="n">
        <v>13910</v>
      </c>
      <c r="E18" s="64" t="n">
        <v>0</v>
      </c>
      <c r="F18" s="29" t="n">
        <v>1200</v>
      </c>
      <c r="G18" s="29" t="n">
        <v>1200</v>
      </c>
      <c r="H18" s="29" t="n">
        <v>50</v>
      </c>
      <c r="I18" s="29" t="n">
        <v>1250</v>
      </c>
      <c r="J18" s="29" t="n"/>
      <c r="K18" s="29" t="inlineStr"/>
      <c r="L18" s="29" t="n"/>
      <c r="M18" s="158" t="n"/>
      <c r="N18" s="160" t="n"/>
      <c r="O18" s="114" t="n"/>
    </row>
    <row r="19">
      <c r="A19" s="32" t="inlineStr">
        <is>
          <t>304</t>
        </is>
      </c>
      <c r="B19" s="30" t="n">
        <v>370.95</v>
      </c>
      <c r="C19" s="30" t="n">
        <v>382.35</v>
      </c>
      <c r="D19" s="29" t="n">
        <v>11400</v>
      </c>
      <c r="E19" s="64" t="n">
        <v>0</v>
      </c>
      <c r="F19" s="29" t="n">
        <v>1200</v>
      </c>
      <c r="G19" s="29" t="n">
        <v>1200</v>
      </c>
      <c r="H19" s="29" t="n">
        <v>50</v>
      </c>
      <c r="I19" s="29" t="n">
        <v>1250</v>
      </c>
      <c r="J19" s="29" t="n"/>
      <c r="K19" s="29" t="inlineStr"/>
      <c r="L19" s="29" t="n"/>
      <c r="M19" s="158" t="n"/>
      <c r="N19" s="114" t="n"/>
      <c r="O19" s="114" t="n"/>
    </row>
    <row r="20">
      <c r="A20" s="29" t="inlineStr">
        <is>
          <t>Common</t>
        </is>
      </c>
      <c r="B20" s="30" t="n">
        <v>381.86</v>
      </c>
      <c r="C20" s="30" t="n">
        <v>392.51</v>
      </c>
      <c r="D20" s="29" t="n">
        <v>10650</v>
      </c>
      <c r="E20" s="64" t="n">
        <v>0</v>
      </c>
      <c r="F20" s="29" t="n">
        <v>0</v>
      </c>
      <c r="G20" s="29" t="n"/>
      <c r="H20" s="29" t="n">
        <v>0</v>
      </c>
      <c r="I20" s="29" t="n">
        <v>0</v>
      </c>
      <c r="J20" s="29" t="n"/>
      <c r="K20" s="29" t="n"/>
      <c r="L20" s="29" t="n"/>
      <c r="M20" s="51" t="n"/>
      <c r="N20" s="114" t="n"/>
      <c r="O20" s="114" t="n"/>
    </row>
    <row r="21">
      <c r="A21" s="29" t="n"/>
      <c r="B21" s="29" t="n"/>
      <c r="C21" s="29" t="n"/>
      <c r="D21" s="29" t="n"/>
      <c r="E21" s="29" t="n"/>
      <c r="F21" s="49" t="n"/>
      <c r="G21" s="49" t="n"/>
      <c r="H21" s="49" t="n">
        <v>800</v>
      </c>
      <c r="I21" s="49" t="n">
        <v>20600</v>
      </c>
      <c r="J21" s="49" t="n">
        <v>0</v>
      </c>
      <c r="K21" s="49" t="n"/>
      <c r="L21" s="49" t="n"/>
      <c r="M21" s="29" t="n"/>
      <c r="N21" s="114" t="n"/>
      <c r="O21" s="121" t="n"/>
    </row>
    <row r="22">
      <c r="A22" s="29" t="n"/>
      <c r="B22" s="29" t="inlineStr">
        <is>
          <t>Total Usage Units</t>
        </is>
      </c>
      <c r="C22" s="29" t="n"/>
      <c r="D22" s="30" t="n">
        <v>115120</v>
      </c>
      <c r="E22" s="202" t="n">
        <v>0</v>
      </c>
      <c r="F22" s="29" t="n"/>
      <c r="G22" s="29" t="n"/>
      <c r="H22" s="29" t="n"/>
      <c r="I22" s="29" t="n"/>
      <c r="J22" s="29" t="n"/>
      <c r="K22" s="29" t="n"/>
      <c r="L22" s="29" t="n"/>
      <c r="M22" s="29" t="n"/>
      <c r="N22" s="152" t="n"/>
      <c r="O22" s="152" t="n"/>
    </row>
    <row r="23" ht="30" customHeight="1" s="366">
      <c r="A23" s="29" t="n"/>
      <c r="B23" s="29" t="inlineStr">
        <is>
          <t>Per Lt cost</t>
        </is>
      </c>
      <c r="C23" s="119" t="inlineStr">
        <is>
          <t>Number of tankers / Number of litters</t>
        </is>
      </c>
      <c r="D23" s="111" t="n">
        <v>0</v>
      </c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114" t="n"/>
      <c r="O23" s="114" t="n"/>
    </row>
    <row r="24" ht="30" customHeight="1" s="366">
      <c r="A24" s="119" t="inlineStr">
        <is>
          <t>Total Water Bill</t>
        </is>
      </c>
      <c r="B24" s="30" t="n">
        <v>0</v>
      </c>
      <c r="C24" s="119" t="inlineStr">
        <is>
          <t>WATER Tankers(0) One Tanker Cost: 1200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Q24" s="331" t="n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P24"/>
  <sheetViews>
    <sheetView zoomScale="77" workbookViewId="0">
      <selection activeCell="O1" sqref="O1"/>
    </sheetView>
  </sheetViews>
  <sheetFormatPr baseColWidth="8" defaultRowHeight="15"/>
  <cols>
    <col width="12.140625" bestFit="1" customWidth="1" style="366" min="1" max="1"/>
    <col width="21.28515625" bestFit="1" customWidth="1" style="366" min="2" max="2"/>
    <col width="20.28515625" bestFit="1" customWidth="1" style="366" min="3" max="3"/>
    <col width="10" bestFit="1" customWidth="1" style="366" min="4" max="4"/>
    <col width="9" bestFit="1" customWidth="1" style="366" min="5" max="5"/>
    <col width="20.140625" bestFit="1" customWidth="1" style="366" min="6" max="6"/>
    <col width="16.85546875" bestFit="1" customWidth="1" style="366" min="7" max="7"/>
    <col width="15.42578125" bestFit="1" customWidth="1" style="366" min="8" max="8"/>
    <col width="15.7109375" bestFit="1" customWidth="1" style="366" min="9" max="9"/>
    <col width="6.7109375" bestFit="1" customWidth="1" style="366" min="10" max="10"/>
    <col hidden="1" width="14.28515625" customWidth="1" style="366" min="13" max="13"/>
    <col width="22.5703125" bestFit="1" customWidth="1" style="366" min="14" max="14"/>
  </cols>
  <sheetData>
    <row r="1">
      <c r="A1" s="49" t="inlineStr">
        <is>
          <t>Flat Numbers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 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 xml:space="preserve">Topay </t>
        </is>
      </c>
      <c r="J1" s="146" t="inlineStr">
        <is>
          <t>Receive Amount</t>
        </is>
      </c>
      <c r="K1" s="146" t="inlineStr">
        <is>
          <t>Payment Status</t>
        </is>
      </c>
      <c r="L1" s="146" t="inlineStr">
        <is>
          <t>Balance amount (March 2025)</t>
        </is>
      </c>
      <c r="M1" s="146" t="inlineStr">
        <is>
          <t>Payment Status</t>
        </is>
      </c>
      <c r="N1" s="154" t="n"/>
      <c r="O1" s="151" t="n"/>
    </row>
    <row r="2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 t="n">
        <v>300</v>
      </c>
      <c r="H2" s="29" t="n">
        <v>0</v>
      </c>
      <c r="I2" s="29" t="n">
        <v>300</v>
      </c>
      <c r="J2" s="29" t="n"/>
      <c r="K2" s="29" t="inlineStr"/>
      <c r="L2" s="29" t="n"/>
      <c r="M2" s="158" t="n"/>
      <c r="N2" s="148" t="n"/>
      <c r="O2" s="149" t="n"/>
    </row>
    <row r="3">
      <c r="A3" s="72" t="inlineStr">
        <is>
          <t>Shop-2</t>
        </is>
      </c>
      <c r="B3" s="30" t="inlineStr">
        <is>
          <t>NA</t>
        </is>
      </c>
      <c r="C3" s="30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300</v>
      </c>
      <c r="J3" s="29" t="n"/>
      <c r="K3" s="29" t="inlineStr"/>
      <c r="L3" s="29" t="n"/>
      <c r="M3" s="158" t="n"/>
      <c r="N3" s="148" t="n"/>
      <c r="O3" s="148" t="n"/>
    </row>
    <row r="4">
      <c r="A4" s="32" t="inlineStr">
        <is>
          <t>G1</t>
        </is>
      </c>
      <c r="B4" s="30" t="n">
        <v>149.3</v>
      </c>
      <c r="C4" s="30" t="n">
        <v>151.49</v>
      </c>
      <c r="D4" s="29" t="n">
        <v>2190</v>
      </c>
      <c r="E4" s="64" t="n">
        <v>0</v>
      </c>
      <c r="F4" s="29" t="n">
        <v>1200</v>
      </c>
      <c r="G4" s="29" t="n">
        <v>1200</v>
      </c>
      <c r="H4" s="29" t="n">
        <v>50</v>
      </c>
      <c r="I4" s="29" t="n">
        <v>1250</v>
      </c>
      <c r="J4" s="29" t="n"/>
      <c r="K4" s="29" t="inlineStr"/>
      <c r="L4" s="156" t="n"/>
      <c r="M4" s="158" t="n"/>
      <c r="N4" s="160" t="n"/>
      <c r="O4" s="160" t="n"/>
    </row>
    <row r="5">
      <c r="A5" s="32" t="inlineStr">
        <is>
          <t>G2</t>
        </is>
      </c>
      <c r="B5" s="30" t="n">
        <v>231.97</v>
      </c>
      <c r="C5" s="30" t="n">
        <v>236.28</v>
      </c>
      <c r="D5" s="29" t="n">
        <v>4310</v>
      </c>
      <c r="E5" s="64" t="n">
        <v>0</v>
      </c>
      <c r="F5" s="29" t="n">
        <v>1200</v>
      </c>
      <c r="G5" s="29" t="n">
        <v>1200</v>
      </c>
      <c r="H5" s="29" t="n">
        <v>50</v>
      </c>
      <c r="I5" s="29" t="n">
        <v>1250</v>
      </c>
      <c r="J5" s="29" t="n"/>
      <c r="K5" s="29" t="inlineStr"/>
      <c r="L5" s="29" t="n"/>
      <c r="M5" s="158" t="n"/>
      <c r="N5" s="114" t="n"/>
      <c r="O5" s="114" t="n"/>
    </row>
    <row r="6">
      <c r="A6" s="32" t="inlineStr">
        <is>
          <t>G3</t>
        </is>
      </c>
      <c r="B6" s="30" t="n">
        <v>459.18</v>
      </c>
      <c r="C6" s="30" t="n">
        <v>469.83</v>
      </c>
      <c r="D6" s="29" t="n">
        <v>10650</v>
      </c>
      <c r="E6" s="64" t="n">
        <v>0</v>
      </c>
      <c r="F6" s="29" t="n">
        <v>1200</v>
      </c>
      <c r="G6" s="29" t="n">
        <v>1200</v>
      </c>
      <c r="H6" s="29" t="n">
        <v>50</v>
      </c>
      <c r="I6" s="29" t="n">
        <v>1250</v>
      </c>
      <c r="J6" s="29" t="n"/>
      <c r="K6" s="29" t="inlineStr"/>
      <c r="L6" s="29" t="n"/>
      <c r="M6" s="158" t="n"/>
      <c r="N6" s="114" t="n"/>
      <c r="O6" s="114" t="n"/>
    </row>
    <row r="7">
      <c r="A7" s="32" t="inlineStr">
        <is>
          <t>G4</t>
        </is>
      </c>
      <c r="B7" s="30" t="n">
        <v>383.4</v>
      </c>
      <c r="C7" s="30" t="n">
        <v>388.37</v>
      </c>
      <c r="D7" s="29" t="n">
        <v>4970</v>
      </c>
      <c r="E7" s="64" t="n">
        <v>0</v>
      </c>
      <c r="F7" s="29" t="n">
        <v>1200</v>
      </c>
      <c r="G7" s="29" t="n">
        <v>1200</v>
      </c>
      <c r="H7" s="29" t="n">
        <v>50</v>
      </c>
      <c r="I7" s="29" t="n">
        <v>1250</v>
      </c>
      <c r="J7" s="29" t="n"/>
      <c r="K7" s="29" t="inlineStr"/>
      <c r="L7" s="29" t="n"/>
      <c r="M7" s="158" t="n"/>
      <c r="N7" s="114" t="n"/>
      <c r="O7" s="114" t="n"/>
    </row>
    <row r="8">
      <c r="A8" s="32" t="inlineStr">
        <is>
          <t>101</t>
        </is>
      </c>
      <c r="B8" s="30" t="n">
        <v>94.09</v>
      </c>
      <c r="C8" s="30" t="n">
        <v>96.14</v>
      </c>
      <c r="D8" s="29" t="n">
        <v>2050</v>
      </c>
      <c r="E8" s="64" t="n">
        <v>0</v>
      </c>
      <c r="F8" s="29" t="n">
        <v>1200</v>
      </c>
      <c r="G8" s="29" t="n">
        <v>1200</v>
      </c>
      <c r="H8" s="29" t="n">
        <v>50</v>
      </c>
      <c r="I8" s="29" t="n">
        <v>1250</v>
      </c>
      <c r="J8" s="29" t="n"/>
      <c r="K8" s="29" t="inlineStr"/>
      <c r="L8" s="29" t="n"/>
      <c r="M8" s="158" t="n"/>
      <c r="N8" s="153" t="n"/>
      <c r="O8" s="153" t="n"/>
    </row>
    <row r="9">
      <c r="A9" s="32" t="inlineStr">
        <is>
          <t>102</t>
        </is>
      </c>
      <c r="B9" s="30" t="n">
        <v>639.64</v>
      </c>
      <c r="C9" s="30" t="n">
        <v>639.65</v>
      </c>
      <c r="D9" s="29" t="n">
        <v>10</v>
      </c>
      <c r="E9" s="64" t="n">
        <v>0</v>
      </c>
      <c r="F9" s="29" t="n">
        <v>1200</v>
      </c>
      <c r="G9" s="29" t="n">
        <v>1200</v>
      </c>
      <c r="H9" s="29" t="n">
        <v>50</v>
      </c>
      <c r="I9" s="29" t="n">
        <v>1250</v>
      </c>
      <c r="J9" s="29" t="n"/>
      <c r="K9" s="29" t="inlineStr"/>
      <c r="L9" s="29" t="n"/>
      <c r="M9" s="158" t="n"/>
      <c r="N9" s="114" t="n"/>
      <c r="O9" s="213" t="n"/>
    </row>
    <row r="10">
      <c r="A10" s="32" t="inlineStr">
        <is>
          <t>103</t>
        </is>
      </c>
      <c r="B10" s="29" t="n">
        <v>266.92</v>
      </c>
      <c r="C10" s="29" t="n">
        <v>274.47</v>
      </c>
      <c r="D10" s="29" t="n">
        <v>7550</v>
      </c>
      <c r="E10" s="64" t="n">
        <v>0</v>
      </c>
      <c r="F10" s="29" t="n">
        <v>1200</v>
      </c>
      <c r="G10" s="29" t="n">
        <v>1200</v>
      </c>
      <c r="H10" s="29" t="n">
        <v>50</v>
      </c>
      <c r="I10" s="29" t="n">
        <v>1250</v>
      </c>
      <c r="J10" s="29" t="n"/>
      <c r="K10" s="29" t="inlineStr"/>
      <c r="L10" s="29" t="n"/>
      <c r="M10" s="158" t="n"/>
      <c r="N10" s="160" t="n"/>
      <c r="O10" s="213" t="n"/>
    </row>
    <row r="11">
      <c r="A11" s="32" t="inlineStr">
        <is>
          <t>104</t>
        </is>
      </c>
      <c r="B11" s="30" t="n">
        <v>104.73</v>
      </c>
      <c r="C11" s="30" t="n">
        <v>125.86</v>
      </c>
      <c r="D11" s="29" t="n">
        <v>21130</v>
      </c>
      <c r="E11" s="64" t="n">
        <v>0</v>
      </c>
      <c r="F11" s="29" t="n">
        <v>1200</v>
      </c>
      <c r="G11" s="29" t="n">
        <v>1200</v>
      </c>
      <c r="H11" s="29" t="n">
        <v>50</v>
      </c>
      <c r="I11" s="29" t="n">
        <v>1250</v>
      </c>
      <c r="J11" s="29" t="n"/>
      <c r="K11" s="29" t="inlineStr"/>
      <c r="L11" s="29" t="n"/>
      <c r="M11" s="158" t="n"/>
      <c r="N11" s="160" t="n"/>
      <c r="O11" s="213" t="n"/>
    </row>
    <row r="12">
      <c r="A12" s="32" t="inlineStr">
        <is>
          <t>201</t>
        </is>
      </c>
      <c r="B12" s="30" t="n">
        <v>155.19</v>
      </c>
      <c r="C12" s="30" t="n">
        <v>158.11</v>
      </c>
      <c r="D12" s="29" t="n">
        <v>2920</v>
      </c>
      <c r="E12" s="64" t="n">
        <v>0</v>
      </c>
      <c r="F12" s="29" t="n">
        <v>1200</v>
      </c>
      <c r="G12" s="29" t="n">
        <v>1200</v>
      </c>
      <c r="H12" s="29" t="n">
        <v>50</v>
      </c>
      <c r="I12" s="29" t="n">
        <v>1250</v>
      </c>
      <c r="J12" s="29" t="n"/>
      <c r="K12" s="29" t="inlineStr"/>
      <c r="L12" s="29" t="n"/>
      <c r="M12" s="158" t="n"/>
      <c r="N12" s="160" t="n"/>
      <c r="O12" s="213" t="n"/>
    </row>
    <row r="13">
      <c r="A13" s="32" t="inlineStr">
        <is>
          <t>202</t>
        </is>
      </c>
      <c r="B13" s="30" t="n">
        <v>318.14</v>
      </c>
      <c r="C13" s="30" t="n">
        <v>324.52</v>
      </c>
      <c r="D13" s="29" t="n">
        <v>6380</v>
      </c>
      <c r="E13" s="64" t="n">
        <v>0</v>
      </c>
      <c r="F13" s="29" t="n">
        <v>1200</v>
      </c>
      <c r="G13" s="29" t="n">
        <v>1200</v>
      </c>
      <c r="H13" s="29" t="n">
        <v>50</v>
      </c>
      <c r="I13" s="29" t="n">
        <v>1250</v>
      </c>
      <c r="J13" s="29" t="n"/>
      <c r="K13" s="29" t="inlineStr"/>
      <c r="L13" s="29" t="n"/>
      <c r="M13" s="158" t="n"/>
      <c r="N13" s="114" t="n"/>
      <c r="O13" s="214" t="n"/>
    </row>
    <row r="14">
      <c r="A14" s="32" t="inlineStr">
        <is>
          <t>203</t>
        </is>
      </c>
      <c r="B14" s="30" t="n">
        <v>63.74</v>
      </c>
      <c r="C14" s="30" t="n">
        <v>72.36</v>
      </c>
      <c r="D14" s="29" t="n">
        <v>8620</v>
      </c>
      <c r="E14" s="64" t="n">
        <v>0</v>
      </c>
      <c r="F14" s="29" t="n">
        <v>1200</v>
      </c>
      <c r="G14" s="29" t="n">
        <v>1200</v>
      </c>
      <c r="H14" s="29" t="n">
        <v>50</v>
      </c>
      <c r="I14" s="29" t="n">
        <v>1250</v>
      </c>
      <c r="J14" s="29" t="n"/>
      <c r="K14" s="29" t="inlineStr"/>
      <c r="L14" s="29" t="n"/>
      <c r="M14" s="158" t="n"/>
      <c r="N14" s="114" t="n"/>
      <c r="O14" s="114" t="n"/>
      <c r="P14" s="331" t="n"/>
    </row>
    <row r="15">
      <c r="A15" s="32" t="inlineStr">
        <is>
          <t>204</t>
        </is>
      </c>
      <c r="B15" s="30" t="n">
        <v>312.94</v>
      </c>
      <c r="C15" s="30" t="n">
        <v>318.87</v>
      </c>
      <c r="D15" s="29" t="n">
        <v>5930</v>
      </c>
      <c r="E15" s="64" t="n">
        <v>0</v>
      </c>
      <c r="F15" s="29" t="n">
        <v>1200</v>
      </c>
      <c r="G15" s="29" t="n">
        <v>1200</v>
      </c>
      <c r="H15" s="29" t="n">
        <v>50</v>
      </c>
      <c r="I15" s="29" t="n">
        <v>1250</v>
      </c>
      <c r="J15" s="29" t="n"/>
      <c r="K15" s="29" t="inlineStr"/>
      <c r="L15" s="29" t="n"/>
      <c r="M15" s="158" t="n"/>
      <c r="N15" s="114" t="n"/>
      <c r="O15" s="114" t="n"/>
    </row>
    <row r="16">
      <c r="A16" s="32" t="inlineStr">
        <is>
          <t>301</t>
        </is>
      </c>
      <c r="B16" s="30" t="n">
        <v>96.64</v>
      </c>
      <c r="C16" s="30" t="n">
        <v>106.08</v>
      </c>
      <c r="D16" s="29" t="n">
        <v>9440</v>
      </c>
      <c r="E16" s="64" t="n">
        <v>0</v>
      </c>
      <c r="F16" s="29" t="n">
        <v>1200</v>
      </c>
      <c r="G16" s="29" t="n">
        <v>1200</v>
      </c>
      <c r="H16" s="29" t="n">
        <v>50</v>
      </c>
      <c r="I16" s="29" t="n">
        <v>1250</v>
      </c>
      <c r="J16" s="29" t="n"/>
      <c r="K16" s="29" t="inlineStr"/>
      <c r="L16" s="29" t="n"/>
      <c r="M16" s="158" t="n"/>
      <c r="N16" s="160" t="n"/>
      <c r="O16" s="114" t="n"/>
    </row>
    <row r="17">
      <c r="A17" s="32" t="inlineStr">
        <is>
          <t>302</t>
        </is>
      </c>
      <c r="B17" s="30" t="n">
        <v>217.55</v>
      </c>
      <c r="C17" s="30" t="n">
        <v>224.91</v>
      </c>
      <c r="D17" s="29" t="n">
        <v>7360</v>
      </c>
      <c r="E17" s="64" t="n">
        <v>0</v>
      </c>
      <c r="F17" s="29" t="n">
        <v>1200</v>
      </c>
      <c r="G17" s="29" t="n">
        <v>1200</v>
      </c>
      <c r="H17" s="29" t="n">
        <v>50</v>
      </c>
      <c r="I17" s="29" t="n">
        <v>1250</v>
      </c>
      <c r="J17" s="29" t="n"/>
      <c r="K17" s="29" t="inlineStr"/>
      <c r="L17" s="119" t="n"/>
      <c r="M17" s="158" t="n"/>
      <c r="N17" s="114" t="n"/>
      <c r="O17" s="114" t="n"/>
    </row>
    <row r="18">
      <c r="A18" s="32" t="inlineStr">
        <is>
          <t>303</t>
        </is>
      </c>
      <c r="B18" s="29" t="n">
        <v>37.44</v>
      </c>
      <c r="C18" s="29" t="n">
        <v>52.26</v>
      </c>
      <c r="D18" s="29" t="n">
        <v>14820</v>
      </c>
      <c r="E18" s="64" t="n">
        <v>0</v>
      </c>
      <c r="F18" s="29" t="n">
        <v>1200</v>
      </c>
      <c r="G18" s="29" t="n">
        <v>1200</v>
      </c>
      <c r="H18" s="29" t="n">
        <v>50</v>
      </c>
      <c r="I18" s="29" t="n">
        <v>1250</v>
      </c>
      <c r="J18" s="29" t="n"/>
      <c r="K18" s="29" t="inlineStr"/>
      <c r="L18" s="29" t="n"/>
      <c r="M18" s="158" t="n"/>
      <c r="N18" s="160" t="n"/>
      <c r="O18" s="114" t="n"/>
    </row>
    <row r="19">
      <c r="A19" s="32" t="inlineStr">
        <is>
          <t>304</t>
        </is>
      </c>
      <c r="B19" s="30" t="n">
        <v>382.35</v>
      </c>
      <c r="C19" s="30" t="n">
        <v>393.18</v>
      </c>
      <c r="D19" s="29" t="n">
        <v>10830</v>
      </c>
      <c r="E19" s="64" t="n">
        <v>0</v>
      </c>
      <c r="F19" s="29" t="n">
        <v>1200</v>
      </c>
      <c r="G19" s="29" t="n">
        <v>1200</v>
      </c>
      <c r="H19" s="29" t="n">
        <v>50</v>
      </c>
      <c r="I19" s="29" t="n">
        <v>1250</v>
      </c>
      <c r="J19" s="29" t="n"/>
      <c r="K19" s="29" t="inlineStr"/>
      <c r="L19" s="29" t="n"/>
      <c r="M19" s="158" t="n"/>
      <c r="N19" s="114" t="n"/>
      <c r="O19" s="214" t="n"/>
    </row>
    <row r="20">
      <c r="A20" s="29" t="inlineStr">
        <is>
          <t>Common</t>
        </is>
      </c>
      <c r="B20" s="30" t="n">
        <v>392.51</v>
      </c>
      <c r="C20" s="30" t="n">
        <v>405.79</v>
      </c>
      <c r="D20" s="29" t="n">
        <v>13280</v>
      </c>
      <c r="E20" s="64" t="n">
        <v>0</v>
      </c>
      <c r="F20" s="29" t="n">
        <v>0</v>
      </c>
      <c r="G20" s="29" t="n"/>
      <c r="H20" s="29" t="n">
        <v>0</v>
      </c>
      <c r="I20" s="29" t="n">
        <v>0</v>
      </c>
      <c r="J20" s="29" t="n"/>
      <c r="K20" s="29" t="n"/>
      <c r="L20" s="29" t="n"/>
      <c r="M20" s="51" t="n"/>
      <c r="N20" s="114" t="n"/>
      <c r="O20" s="114" t="n"/>
    </row>
    <row r="21">
      <c r="A21" s="29" t="n"/>
      <c r="B21" s="29" t="n"/>
      <c r="C21" s="29" t="n"/>
      <c r="D21" s="29" t="n"/>
      <c r="E21" s="29" t="n"/>
      <c r="F21" s="49" t="n"/>
      <c r="G21" s="49" t="n"/>
      <c r="H21" s="49" t="n">
        <v>800</v>
      </c>
      <c r="I21" s="49" t="n">
        <v>20600</v>
      </c>
      <c r="J21" s="49" t="n">
        <v>0</v>
      </c>
      <c r="K21" s="49" t="n"/>
      <c r="L21" s="49" t="n"/>
      <c r="M21" s="29" t="n"/>
      <c r="N21" s="114" t="n"/>
      <c r="O21" s="121" t="n"/>
    </row>
    <row r="22">
      <c r="A22" s="29" t="n"/>
      <c r="B22" s="29" t="inlineStr">
        <is>
          <t>Total Usage Units</t>
        </is>
      </c>
      <c r="C22" s="29" t="n"/>
      <c r="D22" s="30" t="n">
        <v>132440</v>
      </c>
      <c r="E22" s="202" t="n">
        <v>0</v>
      </c>
      <c r="F22" s="29" t="n"/>
      <c r="G22" s="29" t="n"/>
      <c r="H22" s="29" t="n"/>
      <c r="I22" s="29" t="n"/>
      <c r="J22" s="29" t="n"/>
      <c r="K22" s="29" t="n"/>
      <c r="L22" s="29" t="n"/>
      <c r="M22" s="29" t="n"/>
      <c r="N22" s="152" t="n"/>
      <c r="O22" s="152" t="n"/>
    </row>
    <row r="23" ht="30" customHeight="1" s="366">
      <c r="A23" s="29" t="n"/>
      <c r="B23" s="29" t="inlineStr">
        <is>
          <t>Per Lt cost</t>
        </is>
      </c>
      <c r="C23" s="119" t="inlineStr">
        <is>
          <t>Number of tankers / Number of litters</t>
        </is>
      </c>
      <c r="D23" s="111" t="n">
        <v>0</v>
      </c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114" t="n"/>
      <c r="O23" s="114" t="n"/>
    </row>
    <row r="24" ht="30" customHeight="1" s="366">
      <c r="A24" s="119" t="inlineStr">
        <is>
          <t>Total Water Bill</t>
        </is>
      </c>
      <c r="B24" s="30" t="n">
        <v>0</v>
      </c>
      <c r="C24" s="119" t="inlineStr">
        <is>
          <t>WATER Tankers(0) One Tanker Cost: 1200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P24"/>
  <sheetViews>
    <sheetView zoomScale="85" zoomScaleNormal="85" workbookViewId="0">
      <selection activeCell="O1" sqref="O1"/>
    </sheetView>
  </sheetViews>
  <sheetFormatPr baseColWidth="8" defaultRowHeight="15"/>
  <cols>
    <col width="12.140625" bestFit="1" customWidth="1" style="366" min="1" max="1"/>
    <col width="21.28515625" bestFit="1" customWidth="1" style="366" min="2" max="2"/>
    <col width="20.28515625" bestFit="1" customWidth="1" style="366" min="3" max="3"/>
    <col width="10" bestFit="1" customWidth="1" style="366" min="4" max="4"/>
    <col width="9" bestFit="1" customWidth="1" style="366" min="5" max="5"/>
    <col width="20.140625" bestFit="1" customWidth="1" style="366" min="6" max="6"/>
    <col width="16.85546875" bestFit="1" customWidth="1" style="366" min="7" max="7"/>
    <col width="15.42578125" bestFit="1" customWidth="1" style="366" min="8" max="8"/>
    <col width="15.7109375" bestFit="1" customWidth="1" style="366" min="9" max="9"/>
    <col width="6.7109375" bestFit="1" customWidth="1" style="366" min="10" max="10"/>
    <col hidden="1" width="14.28515625" customWidth="1" style="366" min="13" max="13"/>
    <col width="22.5703125" bestFit="1" customWidth="1" style="366" min="14" max="14"/>
  </cols>
  <sheetData>
    <row r="1">
      <c r="A1" s="49" t="inlineStr">
        <is>
          <t>Flat Numbers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 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 xml:space="preserve">Topay </t>
        </is>
      </c>
      <c r="J1" s="146" t="inlineStr">
        <is>
          <t>Receive Amount</t>
        </is>
      </c>
      <c r="K1" s="146" t="inlineStr">
        <is>
          <t>Payment Status</t>
        </is>
      </c>
      <c r="L1" s="146" t="inlineStr">
        <is>
          <t>Balance amount (April 2025)</t>
        </is>
      </c>
      <c r="M1" s="146" t="inlineStr">
        <is>
          <t>Payment Status</t>
        </is>
      </c>
      <c r="N1" s="154" t="n"/>
      <c r="O1" s="151" t="n"/>
    </row>
    <row r="2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 t="n">
        <v>300</v>
      </c>
      <c r="H2" s="29" t="n">
        <v>0</v>
      </c>
      <c r="I2" s="29" t="n">
        <v>300</v>
      </c>
      <c r="J2" s="29" t="n"/>
      <c r="K2" s="29" t="inlineStr"/>
      <c r="L2" s="29" t="n"/>
      <c r="M2" s="158" t="n"/>
      <c r="N2" s="148" t="n"/>
      <c r="O2" s="149" t="n"/>
    </row>
    <row r="3">
      <c r="A3" s="72" t="inlineStr">
        <is>
          <t>Shop-2</t>
        </is>
      </c>
      <c r="B3" s="30" t="inlineStr">
        <is>
          <t>NA</t>
        </is>
      </c>
      <c r="C3" s="30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300</v>
      </c>
      <c r="J3" s="29" t="n"/>
      <c r="K3" s="29" t="inlineStr"/>
      <c r="L3" s="29" t="n"/>
      <c r="M3" s="158" t="n"/>
      <c r="N3" s="148" t="n"/>
      <c r="O3" s="148" t="n"/>
    </row>
    <row r="4">
      <c r="A4" s="32" t="inlineStr">
        <is>
          <t>G1</t>
        </is>
      </c>
      <c r="B4" s="30" t="n">
        <v>151.49</v>
      </c>
      <c r="C4" s="30" t="n">
        <v>158.38</v>
      </c>
      <c r="D4" s="29" t="n">
        <v>6890</v>
      </c>
      <c r="E4" s="64" t="n">
        <v>0</v>
      </c>
      <c r="F4" s="29" t="n">
        <v>1200</v>
      </c>
      <c r="G4" s="29" t="n">
        <v>1200</v>
      </c>
      <c r="H4" s="29" t="n">
        <v>50</v>
      </c>
      <c r="I4" s="29" t="n">
        <v>1250</v>
      </c>
      <c r="J4" s="29" t="n"/>
      <c r="K4" s="29" t="inlineStr"/>
      <c r="L4" s="156" t="n"/>
      <c r="M4" s="158" t="n"/>
      <c r="N4" s="160" t="n"/>
      <c r="O4" s="160" t="n"/>
    </row>
    <row r="5">
      <c r="A5" s="32" t="inlineStr">
        <is>
          <t>G2</t>
        </is>
      </c>
      <c r="B5" s="30" t="n">
        <v>236.28</v>
      </c>
      <c r="C5" s="30" t="n">
        <v>241.74</v>
      </c>
      <c r="D5" s="29" t="n">
        <v>5460</v>
      </c>
      <c r="E5" s="64" t="n">
        <v>0</v>
      </c>
      <c r="F5" s="29" t="n">
        <v>1200</v>
      </c>
      <c r="G5" s="29" t="n">
        <v>1200</v>
      </c>
      <c r="H5" s="29" t="n">
        <v>50</v>
      </c>
      <c r="I5" s="29" t="n">
        <v>1250</v>
      </c>
      <c r="J5" s="29" t="n"/>
      <c r="K5" s="29" t="inlineStr"/>
      <c r="L5" s="29" t="n"/>
      <c r="M5" s="158" t="n"/>
      <c r="N5" s="114" t="n"/>
      <c r="O5" s="114" t="n"/>
    </row>
    <row r="6">
      <c r="A6" s="32" t="inlineStr">
        <is>
          <t>G3</t>
        </is>
      </c>
      <c r="B6" s="30" t="n">
        <v>469.83</v>
      </c>
      <c r="C6" s="30" t="n">
        <v>478.91</v>
      </c>
      <c r="D6" s="29" t="n">
        <v>9080</v>
      </c>
      <c r="E6" s="64" t="n">
        <v>0</v>
      </c>
      <c r="F6" s="29" t="n">
        <v>1200</v>
      </c>
      <c r="G6" s="29" t="n">
        <v>1200</v>
      </c>
      <c r="H6" s="29" t="n">
        <v>50</v>
      </c>
      <c r="I6" s="29" t="n">
        <v>1250</v>
      </c>
      <c r="J6" s="29" t="n"/>
      <c r="K6" s="29" t="inlineStr"/>
      <c r="L6" s="29" t="n"/>
      <c r="M6" s="158" t="n"/>
      <c r="N6" s="114" t="n"/>
      <c r="O6" s="114" t="n"/>
    </row>
    <row r="7">
      <c r="A7" s="32" t="inlineStr">
        <is>
          <t>G4</t>
        </is>
      </c>
      <c r="B7" s="30" t="n">
        <v>388.37</v>
      </c>
      <c r="C7" s="30" t="n">
        <v>393.71</v>
      </c>
      <c r="D7" s="29" t="n">
        <v>5340</v>
      </c>
      <c r="E7" s="64" t="n">
        <v>0</v>
      </c>
      <c r="F7" s="29" t="n">
        <v>1200</v>
      </c>
      <c r="G7" s="29" t="n">
        <v>1200</v>
      </c>
      <c r="H7" s="29" t="n">
        <v>50</v>
      </c>
      <c r="I7" s="29" t="n">
        <v>1250</v>
      </c>
      <c r="J7" s="29" t="n"/>
      <c r="K7" s="29" t="inlineStr"/>
      <c r="L7" s="29" t="n"/>
      <c r="M7" s="158" t="n"/>
      <c r="N7" s="114" t="n"/>
      <c r="O7" s="114" t="n"/>
    </row>
    <row r="8">
      <c r="A8" s="32" t="inlineStr">
        <is>
          <t>101</t>
        </is>
      </c>
      <c r="B8" s="30" t="n">
        <v>96.14</v>
      </c>
      <c r="C8" s="30" t="n">
        <v>98.77</v>
      </c>
      <c r="D8" s="29" t="n">
        <v>2630</v>
      </c>
      <c r="E8" s="64" t="n">
        <v>0</v>
      </c>
      <c r="F8" s="29" t="n">
        <v>1200</v>
      </c>
      <c r="G8" s="29" t="n">
        <v>1200</v>
      </c>
      <c r="H8" s="29" t="n">
        <v>50</v>
      </c>
      <c r="I8" s="29" t="n">
        <v>1250</v>
      </c>
      <c r="J8" s="29" t="n"/>
      <c r="K8" s="29" t="inlineStr"/>
      <c r="L8" s="29" t="n"/>
      <c r="M8" s="158" t="n"/>
      <c r="N8" s="153" t="n"/>
      <c r="O8" s="153" t="n"/>
    </row>
    <row r="9">
      <c r="A9" s="32" t="inlineStr">
        <is>
          <t>102</t>
        </is>
      </c>
      <c r="B9" s="30" t="n">
        <v>639.65</v>
      </c>
      <c r="C9" s="30" t="n">
        <v>641.48</v>
      </c>
      <c r="D9" s="29" t="n">
        <v>1830</v>
      </c>
      <c r="E9" s="64" t="n">
        <v>0</v>
      </c>
      <c r="F9" s="29" t="n">
        <v>1200</v>
      </c>
      <c r="G9" s="29" t="n">
        <v>1200</v>
      </c>
      <c r="H9" s="29" t="n">
        <v>50</v>
      </c>
      <c r="I9" s="29" t="n">
        <v>1250</v>
      </c>
      <c r="J9" s="29" t="n"/>
      <c r="K9" s="29" t="inlineStr"/>
      <c r="L9" s="29" t="n"/>
      <c r="M9" s="158" t="n"/>
      <c r="N9" s="114" t="n"/>
      <c r="O9" s="213" t="n"/>
    </row>
    <row r="10">
      <c r="A10" s="32" t="inlineStr">
        <is>
          <t>103</t>
        </is>
      </c>
      <c r="B10" s="29" t="n">
        <v>274.47</v>
      </c>
      <c r="C10" s="29" t="n">
        <v>282.74</v>
      </c>
      <c r="D10" s="29" t="n">
        <v>8270</v>
      </c>
      <c r="E10" s="64" t="n">
        <v>0</v>
      </c>
      <c r="F10" s="29" t="n">
        <v>1200</v>
      </c>
      <c r="G10" s="29" t="n">
        <v>1200</v>
      </c>
      <c r="H10" s="29" t="n">
        <v>50</v>
      </c>
      <c r="I10" s="29" t="n">
        <v>1250</v>
      </c>
      <c r="J10" s="29" t="n"/>
      <c r="K10" s="29" t="inlineStr"/>
      <c r="L10" s="29" t="n"/>
      <c r="M10" s="158" t="n"/>
      <c r="N10" s="160" t="n"/>
      <c r="O10" s="213" t="n"/>
    </row>
    <row r="11">
      <c r="A11" s="32" t="inlineStr">
        <is>
          <t>104</t>
        </is>
      </c>
      <c r="B11" s="30" t="n">
        <v>125.86</v>
      </c>
      <c r="C11" s="30" t="n">
        <v>147.13</v>
      </c>
      <c r="D11" s="29" t="n">
        <v>21270</v>
      </c>
      <c r="E11" s="64" t="n">
        <v>0</v>
      </c>
      <c r="F11" s="29" t="n">
        <v>1200</v>
      </c>
      <c r="G11" s="29" t="n">
        <v>1200</v>
      </c>
      <c r="H11" s="29" t="n">
        <v>50</v>
      </c>
      <c r="I11" s="29" t="n">
        <v>1250</v>
      </c>
      <c r="J11" s="29" t="n"/>
      <c r="K11" s="29" t="inlineStr"/>
      <c r="L11" s="29" t="n"/>
      <c r="M11" s="158" t="n"/>
      <c r="N11" s="160" t="n"/>
      <c r="O11" s="213" t="n"/>
    </row>
    <row r="12">
      <c r="A12" s="32" t="inlineStr">
        <is>
          <t>201</t>
        </is>
      </c>
      <c r="B12" s="30" t="n">
        <v>158.11</v>
      </c>
      <c r="C12" s="30" t="n">
        <v>161.66</v>
      </c>
      <c r="D12" s="29" t="n">
        <v>3550</v>
      </c>
      <c r="E12" s="64" t="n">
        <v>0</v>
      </c>
      <c r="F12" s="29" t="n">
        <v>1200</v>
      </c>
      <c r="G12" s="29" t="n">
        <v>1200</v>
      </c>
      <c r="H12" s="29" t="n">
        <v>50</v>
      </c>
      <c r="I12" s="29" t="n">
        <v>1250</v>
      </c>
      <c r="J12" s="29" t="n"/>
      <c r="K12" s="29" t="inlineStr"/>
      <c r="L12" s="29" t="n"/>
      <c r="M12" s="158" t="n"/>
      <c r="N12" s="160" t="n"/>
      <c r="O12" s="213" t="n"/>
    </row>
    <row r="13">
      <c r="A13" s="32" t="inlineStr">
        <is>
          <t>202</t>
        </is>
      </c>
      <c r="B13" s="30" t="n">
        <v>324.52</v>
      </c>
      <c r="C13" s="30" t="n">
        <v>331.25</v>
      </c>
      <c r="D13" s="29" t="n">
        <v>6730</v>
      </c>
      <c r="E13" s="64" t="n">
        <v>0</v>
      </c>
      <c r="F13" s="29" t="n">
        <v>1200</v>
      </c>
      <c r="G13" s="29" t="n">
        <v>1200</v>
      </c>
      <c r="H13" s="29" t="n">
        <v>50</v>
      </c>
      <c r="I13" s="29" t="n">
        <v>1250</v>
      </c>
      <c r="J13" s="29" t="n"/>
      <c r="K13" s="29" t="inlineStr"/>
      <c r="L13" s="29" t="n"/>
      <c r="M13" s="158" t="n"/>
      <c r="N13" s="114" t="n"/>
      <c r="O13" s="114" t="n"/>
    </row>
    <row r="14">
      <c r="A14" s="32" t="inlineStr">
        <is>
          <t>203</t>
        </is>
      </c>
      <c r="B14" s="30" t="n">
        <v>72.36</v>
      </c>
      <c r="C14" s="30" t="n">
        <v>79.63</v>
      </c>
      <c r="D14" s="29" t="n">
        <v>7270</v>
      </c>
      <c r="E14" s="64" t="n">
        <v>0</v>
      </c>
      <c r="F14" s="29" t="n">
        <v>1200</v>
      </c>
      <c r="G14" s="29" t="n">
        <v>1200</v>
      </c>
      <c r="H14" s="29" t="n">
        <v>50</v>
      </c>
      <c r="I14" s="29" t="n">
        <v>1250</v>
      </c>
      <c r="J14" s="29" t="n"/>
      <c r="K14" s="29" t="inlineStr"/>
      <c r="L14" s="29" t="n"/>
      <c r="M14" s="158" t="n"/>
      <c r="N14" s="331" t="n"/>
      <c r="O14" s="331" t="n"/>
      <c r="P14" s="331" t="n"/>
    </row>
    <row r="15">
      <c r="A15" s="32" t="inlineStr">
        <is>
          <t>204</t>
        </is>
      </c>
      <c r="B15" s="30" t="n">
        <v>318.87</v>
      </c>
      <c r="C15" s="30" t="n">
        <v>324.25</v>
      </c>
      <c r="D15" s="29" t="n">
        <v>5380</v>
      </c>
      <c r="E15" s="64" t="n">
        <v>0</v>
      </c>
      <c r="F15" s="29" t="n">
        <v>1200</v>
      </c>
      <c r="G15" s="29" t="n">
        <v>1200</v>
      </c>
      <c r="H15" s="29" t="n">
        <v>50</v>
      </c>
      <c r="I15" s="29" t="n">
        <v>1250</v>
      </c>
      <c r="J15" s="29" t="n"/>
      <c r="K15" s="29" t="inlineStr"/>
      <c r="L15" s="29" t="n"/>
      <c r="M15" s="158" t="n"/>
      <c r="N15" s="114" t="n"/>
      <c r="O15" s="114" t="n"/>
    </row>
    <row r="16">
      <c r="A16" s="32" t="inlineStr">
        <is>
          <t>301</t>
        </is>
      </c>
      <c r="B16" s="30" t="n">
        <v>106.08</v>
      </c>
      <c r="C16" s="30" t="n">
        <v>112.6</v>
      </c>
      <c r="D16" s="29" t="n">
        <v>6520</v>
      </c>
      <c r="E16" s="64" t="n">
        <v>0</v>
      </c>
      <c r="F16" s="29" t="n">
        <v>1200</v>
      </c>
      <c r="G16" s="29" t="n">
        <v>1200</v>
      </c>
      <c r="H16" s="29" t="n">
        <v>50</v>
      </c>
      <c r="I16" s="29" t="n">
        <v>1250</v>
      </c>
      <c r="J16" s="29" t="n"/>
      <c r="K16" s="29" t="inlineStr"/>
      <c r="L16" s="29" t="n"/>
      <c r="M16" s="158" t="n"/>
      <c r="N16" s="160" t="n"/>
      <c r="O16" s="114" t="n"/>
    </row>
    <row r="17">
      <c r="A17" s="32" t="inlineStr">
        <is>
          <t>302</t>
        </is>
      </c>
      <c r="B17" s="30" t="n">
        <v>224.91</v>
      </c>
      <c r="C17" s="30" t="n">
        <v>234.46</v>
      </c>
      <c r="D17" s="29" t="n">
        <v>9550</v>
      </c>
      <c r="E17" s="64" t="n">
        <v>0</v>
      </c>
      <c r="F17" s="29" t="n">
        <v>1200</v>
      </c>
      <c r="G17" s="29" t="n">
        <v>1200</v>
      </c>
      <c r="H17" s="29" t="n">
        <v>50</v>
      </c>
      <c r="I17" s="29" t="n">
        <v>1250</v>
      </c>
      <c r="J17" s="29" t="n"/>
      <c r="K17" s="29" t="inlineStr"/>
      <c r="L17" s="119" t="n"/>
      <c r="M17" s="158" t="n"/>
      <c r="N17" s="114" t="n"/>
      <c r="O17" s="114" t="n"/>
    </row>
    <row r="18">
      <c r="A18" s="32" t="inlineStr">
        <is>
          <t>303</t>
        </is>
      </c>
      <c r="B18" s="29" t="n">
        <v>52.26</v>
      </c>
      <c r="C18" s="29" t="n">
        <v>68.29000000000001</v>
      </c>
      <c r="D18" s="29" t="n">
        <v>16030</v>
      </c>
      <c r="E18" s="64" t="n">
        <v>0</v>
      </c>
      <c r="F18" s="29" t="n">
        <v>1200</v>
      </c>
      <c r="G18" s="29" t="n">
        <v>1200</v>
      </c>
      <c r="H18" s="29" t="n">
        <v>50</v>
      </c>
      <c r="I18" s="29" t="n">
        <v>1250</v>
      </c>
      <c r="J18" s="29" t="n"/>
      <c r="K18" s="29" t="inlineStr"/>
      <c r="L18" s="29" t="n"/>
      <c r="M18" s="158" t="n"/>
      <c r="N18" s="160" t="n"/>
      <c r="O18" s="114" t="n"/>
    </row>
    <row r="19">
      <c r="A19" s="32" t="inlineStr">
        <is>
          <t>304</t>
        </is>
      </c>
      <c r="B19" s="30" t="n">
        <v>393.18</v>
      </c>
      <c r="C19" s="30" t="n">
        <v>406.55</v>
      </c>
      <c r="D19" s="29" t="n">
        <v>13370</v>
      </c>
      <c r="E19" s="64" t="n">
        <v>0</v>
      </c>
      <c r="F19" s="29" t="n">
        <v>1200</v>
      </c>
      <c r="G19" s="29" t="n">
        <v>1200</v>
      </c>
      <c r="H19" s="29" t="n">
        <v>50</v>
      </c>
      <c r="I19" s="29" t="n">
        <v>1250</v>
      </c>
      <c r="J19" s="29" t="n"/>
      <c r="K19" s="29" t="inlineStr"/>
      <c r="L19" s="29" t="n"/>
      <c r="M19" s="158" t="n"/>
      <c r="N19" s="114" t="n"/>
      <c r="O19" s="214" t="n"/>
    </row>
    <row r="20">
      <c r="A20" s="29" t="inlineStr">
        <is>
          <t>Common</t>
        </is>
      </c>
      <c r="B20" s="30" t="n">
        <v>405.79</v>
      </c>
      <c r="C20" s="30" t="n">
        <v>418.2</v>
      </c>
      <c r="D20" s="29" t="n">
        <v>12410</v>
      </c>
      <c r="E20" s="64" t="n">
        <v>0</v>
      </c>
      <c r="F20" s="29" t="n">
        <v>0</v>
      </c>
      <c r="G20" s="29" t="n"/>
      <c r="H20" s="29" t="n">
        <v>0</v>
      </c>
      <c r="I20" s="29" t="n">
        <v>0</v>
      </c>
      <c r="J20" s="29" t="n"/>
      <c r="K20" s="29" t="n"/>
      <c r="L20" s="29" t="n"/>
      <c r="M20" s="51" t="n"/>
      <c r="N20" s="114" t="n"/>
      <c r="O20" s="114" t="n"/>
    </row>
    <row r="21">
      <c r="A21" s="29" t="n"/>
      <c r="B21" s="29" t="n"/>
      <c r="C21" s="29" t="n"/>
      <c r="D21" s="29" t="n"/>
      <c r="E21" s="29" t="n"/>
      <c r="F21" s="49" t="n"/>
      <c r="G21" s="49" t="n"/>
      <c r="H21" s="49" t="n">
        <v>800</v>
      </c>
      <c r="I21" s="49" t="n">
        <v>20600</v>
      </c>
      <c r="J21" s="49" t="n">
        <v>0</v>
      </c>
      <c r="K21" s="49" t="n"/>
      <c r="L21" s="49" t="n"/>
      <c r="M21" s="29" t="n"/>
      <c r="N21" s="114" t="n"/>
      <c r="O21" s="121" t="n"/>
    </row>
    <row r="22">
      <c r="A22" s="29" t="n"/>
      <c r="B22" s="29" t="inlineStr">
        <is>
          <t>Total Usage Units</t>
        </is>
      </c>
      <c r="C22" s="29" t="n"/>
      <c r="D22" s="30" t="n">
        <v>141580</v>
      </c>
      <c r="E22" s="202" t="n">
        <v>0</v>
      </c>
      <c r="F22" s="29" t="n"/>
      <c r="G22" s="29" t="n"/>
      <c r="H22" s="29" t="n"/>
      <c r="I22" s="29" t="n"/>
      <c r="J22" s="29" t="n"/>
      <c r="K22" s="29" t="n"/>
      <c r="L22" s="29" t="n"/>
      <c r="M22" s="29" t="n"/>
      <c r="N22" s="152" t="n"/>
      <c r="O22" s="152" t="n"/>
    </row>
    <row r="23" ht="30" customHeight="1" s="366">
      <c r="A23" s="29" t="n"/>
      <c r="B23" s="29" t="inlineStr">
        <is>
          <t>Per Lt cost</t>
        </is>
      </c>
      <c r="C23" s="119" t="inlineStr">
        <is>
          <t>Number of tankers / Number of litters</t>
        </is>
      </c>
      <c r="D23" s="111" t="n">
        <v>0</v>
      </c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114" t="n"/>
      <c r="O23" s="114" t="n"/>
    </row>
    <row r="24" ht="30" customHeight="1" s="366">
      <c r="A24" s="119" t="inlineStr">
        <is>
          <t>Total Water Bill</t>
        </is>
      </c>
      <c r="B24" s="30" t="n">
        <v>0</v>
      </c>
      <c r="C24" s="119" t="inlineStr">
        <is>
          <t>WATER Tankers(0) One Tanker Cost: 1200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4"/>
  <sheetViews>
    <sheetView zoomScale="85" zoomScaleNormal="85" workbookViewId="0">
      <selection activeCell="J21" sqref="J21"/>
    </sheetView>
  </sheetViews>
  <sheetFormatPr baseColWidth="8" defaultRowHeight="15"/>
  <cols>
    <col width="12.140625" bestFit="1" customWidth="1" style="366" min="1" max="1"/>
    <col width="21.28515625" bestFit="1" customWidth="1" style="366" min="2" max="2"/>
    <col width="20.28515625" bestFit="1" customWidth="1" style="366" min="3" max="3"/>
    <col width="10" bestFit="1" customWidth="1" style="366" min="4" max="4"/>
    <col width="9" bestFit="1" customWidth="1" style="366" min="5" max="5"/>
    <col width="20.140625" bestFit="1" customWidth="1" style="366" min="6" max="6"/>
    <col width="16.85546875" bestFit="1" customWidth="1" style="366" min="7" max="7"/>
    <col width="15.42578125" bestFit="1" customWidth="1" style="366" min="8" max="8"/>
    <col width="15.7109375" bestFit="1" customWidth="1" style="366" min="9" max="9"/>
    <col width="6.7109375" bestFit="1" customWidth="1" style="366" min="10" max="10"/>
    <col hidden="1" width="14.28515625" customWidth="1" style="366" min="13" max="13"/>
    <col width="24.7109375" bestFit="1" customWidth="1" style="366" min="14" max="14"/>
  </cols>
  <sheetData>
    <row r="1">
      <c r="A1" s="49" t="inlineStr">
        <is>
          <t>Flat Numbers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 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 xml:space="preserve">Topay </t>
        </is>
      </c>
      <c r="J1" s="146" t="inlineStr">
        <is>
          <t>Receive Amount</t>
        </is>
      </c>
      <c r="K1" s="146" t="inlineStr">
        <is>
          <t>Payment Status</t>
        </is>
      </c>
      <c r="L1" s="146" t="inlineStr">
        <is>
          <t>Balance amount (May 2025)</t>
        </is>
      </c>
      <c r="M1" s="146" t="inlineStr">
        <is>
          <t>Payment Status</t>
        </is>
      </c>
      <c r="N1" s="154" t="n"/>
      <c r="O1" s="215" t="n"/>
    </row>
    <row r="2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 t="n">
        <v>300</v>
      </c>
      <c r="H2" s="29" t="n">
        <v>0</v>
      </c>
      <c r="I2" s="29" t="n">
        <v>300</v>
      </c>
      <c r="J2" s="29" t="n"/>
      <c r="K2" s="29" t="inlineStr"/>
      <c r="L2" s="29" t="n"/>
      <c r="M2" s="158" t="n"/>
      <c r="N2" s="148" t="n"/>
      <c r="O2" s="149" t="n"/>
    </row>
    <row r="3">
      <c r="A3" s="72" t="inlineStr">
        <is>
          <t>Shop-2</t>
        </is>
      </c>
      <c r="B3" s="30" t="inlineStr">
        <is>
          <t>NA</t>
        </is>
      </c>
      <c r="C3" s="30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300</v>
      </c>
      <c r="J3" s="29" t="n"/>
      <c r="K3" s="29" t="inlineStr"/>
      <c r="L3" s="29" t="n"/>
      <c r="M3" s="158" t="n"/>
      <c r="N3" s="148" t="n"/>
      <c r="O3" s="148" t="n"/>
    </row>
    <row r="4">
      <c r="A4" s="32" t="inlineStr">
        <is>
          <t>G1</t>
        </is>
      </c>
      <c r="B4" s="30" t="n">
        <v>158.38</v>
      </c>
      <c r="C4" s="30" t="n">
        <v>168</v>
      </c>
      <c r="D4" s="29" t="n">
        <v>9620</v>
      </c>
      <c r="E4" s="64" t="n">
        <v>0</v>
      </c>
      <c r="F4" s="29" t="n">
        <v>1200</v>
      </c>
      <c r="G4" s="29" t="n">
        <v>1200</v>
      </c>
      <c r="H4" s="29" t="n">
        <v>50</v>
      </c>
      <c r="I4" s="29" t="n">
        <v>1250</v>
      </c>
      <c r="J4" s="29" t="n"/>
      <c r="K4" s="29" t="inlineStr"/>
      <c r="L4" s="156" t="n"/>
      <c r="M4" s="158" t="n"/>
      <c r="N4" s="160" t="n"/>
      <c r="O4" s="160" t="n"/>
    </row>
    <row r="5">
      <c r="A5" s="32" t="inlineStr">
        <is>
          <t>G2</t>
        </is>
      </c>
      <c r="B5" s="30" t="n">
        <v>241.74</v>
      </c>
      <c r="C5" s="30" t="n">
        <v>248.67</v>
      </c>
      <c r="D5" s="29" t="n">
        <v>6930</v>
      </c>
      <c r="E5" s="64" t="n">
        <v>0</v>
      </c>
      <c r="F5" s="29" t="n">
        <v>1200</v>
      </c>
      <c r="G5" s="29" t="n">
        <v>1200</v>
      </c>
      <c r="H5" s="29" t="n">
        <v>50</v>
      </c>
      <c r="I5" s="29" t="n">
        <v>1250</v>
      </c>
      <c r="J5" s="29" t="n"/>
      <c r="K5" s="29" t="inlineStr"/>
      <c r="L5" s="29" t="n"/>
      <c r="M5" s="158" t="n"/>
      <c r="N5" s="114" t="n"/>
      <c r="O5" s="114" t="n"/>
    </row>
    <row r="6">
      <c r="A6" s="32" t="inlineStr">
        <is>
          <t>G3</t>
        </is>
      </c>
      <c r="B6" s="30" t="n">
        <v>478.91</v>
      </c>
      <c r="C6" s="30" t="n">
        <v>482.25</v>
      </c>
      <c r="D6" s="29" t="n">
        <v>3340</v>
      </c>
      <c r="E6" s="64" t="n">
        <v>0</v>
      </c>
      <c r="F6" s="29" t="n">
        <v>1200</v>
      </c>
      <c r="G6" s="29" t="n">
        <v>1200</v>
      </c>
      <c r="H6" s="29" t="n">
        <v>50</v>
      </c>
      <c r="I6" s="29" t="n">
        <v>1250</v>
      </c>
      <c r="J6" s="29" t="n"/>
      <c r="K6" s="29" t="inlineStr"/>
      <c r="L6" s="29" t="n"/>
      <c r="M6" s="158" t="n"/>
      <c r="N6" s="114" t="n"/>
      <c r="O6" s="114" t="n"/>
    </row>
    <row r="7">
      <c r="A7" s="32" t="inlineStr">
        <is>
          <t>G4</t>
        </is>
      </c>
      <c r="B7" s="30" t="n">
        <v>393.71</v>
      </c>
      <c r="C7" s="30" t="n">
        <v>398.86</v>
      </c>
      <c r="D7" s="29" t="n">
        <v>5150</v>
      </c>
      <c r="E7" s="64" t="n">
        <v>0</v>
      </c>
      <c r="F7" s="29" t="n">
        <v>1200</v>
      </c>
      <c r="G7" s="29" t="n">
        <v>1200</v>
      </c>
      <c r="H7" s="29" t="n">
        <v>50</v>
      </c>
      <c r="I7" s="29" t="n">
        <v>1250</v>
      </c>
      <c r="J7" s="29" t="n"/>
      <c r="K7" s="29" t="inlineStr"/>
      <c r="L7" s="29" t="n"/>
      <c r="M7" s="158" t="n"/>
      <c r="N7" s="114" t="n"/>
      <c r="O7" s="114" t="n"/>
    </row>
    <row r="8">
      <c r="A8" s="32" t="inlineStr">
        <is>
          <t>101</t>
        </is>
      </c>
      <c r="B8" s="30" t="n">
        <v>98.77</v>
      </c>
      <c r="C8" s="30" t="n">
        <v>100.28</v>
      </c>
      <c r="D8" s="29" t="n">
        <v>1510</v>
      </c>
      <c r="E8" s="64" t="n">
        <v>0</v>
      </c>
      <c r="F8" s="29" t="n">
        <v>1200</v>
      </c>
      <c r="G8" s="29" t="n">
        <v>1200</v>
      </c>
      <c r="H8" s="29" t="n">
        <v>50</v>
      </c>
      <c r="I8" s="29" t="n">
        <v>1250</v>
      </c>
      <c r="J8" s="29" t="n"/>
      <c r="K8" s="29" t="inlineStr"/>
      <c r="L8" s="29" t="n"/>
      <c r="M8" s="158" t="n"/>
      <c r="N8" s="153" t="n"/>
      <c r="O8" s="153" t="n"/>
    </row>
    <row r="9">
      <c r="A9" s="32" t="inlineStr">
        <is>
          <t>102</t>
        </is>
      </c>
      <c r="B9" s="30" t="n">
        <v>641.48</v>
      </c>
      <c r="C9" s="30" t="n">
        <v>641.84</v>
      </c>
      <c r="D9" s="29" t="n">
        <v>360</v>
      </c>
      <c r="E9" s="64" t="n">
        <v>0</v>
      </c>
      <c r="F9" s="29" t="n">
        <v>1200</v>
      </c>
      <c r="G9" s="29" t="n">
        <v>1200</v>
      </c>
      <c r="H9" s="29" t="n">
        <v>50</v>
      </c>
      <c r="I9" s="29" t="n">
        <v>1250</v>
      </c>
      <c r="J9" s="29" t="n"/>
      <c r="K9" s="29" t="inlineStr"/>
      <c r="L9" s="29" t="n"/>
      <c r="M9" s="158" t="n"/>
      <c r="N9" s="114" t="n"/>
      <c r="O9" s="213" t="n"/>
    </row>
    <row r="10">
      <c r="A10" s="32" t="inlineStr">
        <is>
          <t>103</t>
        </is>
      </c>
      <c r="B10" s="29" t="n">
        <v>282.74</v>
      </c>
      <c r="C10" s="29" t="n">
        <v>290.74</v>
      </c>
      <c r="D10" s="29" t="n">
        <v>8000</v>
      </c>
      <c r="E10" s="64" t="n">
        <v>0</v>
      </c>
      <c r="F10" s="29" t="n">
        <v>1200</v>
      </c>
      <c r="G10" s="29" t="n">
        <v>1200</v>
      </c>
      <c r="H10" s="29" t="n">
        <v>50</v>
      </c>
      <c r="I10" s="29" t="n">
        <v>1250</v>
      </c>
      <c r="J10" s="29" t="n"/>
      <c r="K10" s="29" t="inlineStr"/>
      <c r="L10" s="29" t="n"/>
      <c r="M10" s="158" t="n"/>
      <c r="N10" s="160" t="n"/>
      <c r="O10" s="213" t="n"/>
    </row>
    <row r="11">
      <c r="A11" s="32" t="inlineStr">
        <is>
          <t>104</t>
        </is>
      </c>
      <c r="B11" s="30" t="n">
        <v>147.13</v>
      </c>
      <c r="C11" s="30" t="n">
        <v>157.71</v>
      </c>
      <c r="D11" s="29" t="n">
        <v>10580</v>
      </c>
      <c r="E11" s="64" t="n">
        <v>0</v>
      </c>
      <c r="F11" s="29" t="n">
        <v>1200</v>
      </c>
      <c r="G11" s="29" t="n">
        <v>1200</v>
      </c>
      <c r="H11" s="29" t="n">
        <v>50</v>
      </c>
      <c r="I11" s="29" t="n">
        <v>1250</v>
      </c>
      <c r="J11" s="29" t="n"/>
      <c r="K11" s="29" t="inlineStr"/>
      <c r="L11" s="29" t="n"/>
      <c r="M11" s="158" t="n"/>
      <c r="N11" s="160" t="n"/>
      <c r="O11" s="213" t="n"/>
    </row>
    <row r="12">
      <c r="A12" s="32" t="inlineStr">
        <is>
          <t>201</t>
        </is>
      </c>
      <c r="B12" s="30" t="n">
        <v>161.66</v>
      </c>
      <c r="C12" s="30" t="n">
        <v>165.47</v>
      </c>
      <c r="D12" s="29" t="n">
        <v>3810</v>
      </c>
      <c r="E12" s="64" t="n">
        <v>0</v>
      </c>
      <c r="F12" s="29" t="n">
        <v>1200</v>
      </c>
      <c r="G12" s="29" t="n">
        <v>1200</v>
      </c>
      <c r="H12" s="29" t="n">
        <v>50</v>
      </c>
      <c r="I12" s="29" t="n">
        <v>1250</v>
      </c>
      <c r="J12" s="29" t="n"/>
      <c r="K12" s="29" t="inlineStr"/>
      <c r="L12" s="29" t="n"/>
      <c r="M12" s="158" t="n"/>
      <c r="N12" s="160" t="n"/>
      <c r="O12" s="213" t="n"/>
    </row>
    <row r="13">
      <c r="A13" s="32" t="inlineStr">
        <is>
          <t>202</t>
        </is>
      </c>
      <c r="B13" s="30" t="n">
        <v>331.25</v>
      </c>
      <c r="C13" s="30" t="n">
        <v>340.83</v>
      </c>
      <c r="D13" s="29" t="n">
        <v>9580</v>
      </c>
      <c r="E13" s="64" t="n">
        <v>0</v>
      </c>
      <c r="F13" s="29" t="n">
        <v>1200</v>
      </c>
      <c r="G13" s="29" t="n">
        <v>1200</v>
      </c>
      <c r="H13" s="29" t="n">
        <v>50</v>
      </c>
      <c r="I13" s="29" t="n">
        <v>1250</v>
      </c>
      <c r="J13" s="29" t="n"/>
      <c r="K13" s="29" t="inlineStr"/>
      <c r="L13" s="29" t="n"/>
      <c r="M13" s="158" t="n"/>
      <c r="N13" s="114" t="n"/>
      <c r="O13" s="213" t="n"/>
    </row>
    <row r="14">
      <c r="A14" s="32" t="inlineStr">
        <is>
          <t>203</t>
        </is>
      </c>
      <c r="B14" s="30" t="n">
        <v>79.63</v>
      </c>
      <c r="C14" s="30" t="n">
        <v>89.44</v>
      </c>
      <c r="D14" s="29" t="n">
        <v>9810</v>
      </c>
      <c r="E14" s="64" t="n">
        <v>0</v>
      </c>
      <c r="F14" s="29" t="n">
        <v>1200</v>
      </c>
      <c r="G14" s="29" t="n">
        <v>1200</v>
      </c>
      <c r="H14" s="29" t="n">
        <v>50</v>
      </c>
      <c r="I14" s="29" t="n">
        <v>1250</v>
      </c>
      <c r="J14" s="29" t="n"/>
      <c r="K14" s="29" t="inlineStr"/>
      <c r="L14" s="29" t="n"/>
      <c r="M14" s="158" t="n"/>
      <c r="N14" s="216" t="n"/>
      <c r="O14" s="331" t="n"/>
    </row>
    <row r="15">
      <c r="A15" s="32" t="inlineStr">
        <is>
          <t>204</t>
        </is>
      </c>
      <c r="B15" s="30" t="n">
        <v>324.25</v>
      </c>
      <c r="C15" s="30" t="n">
        <v>330.18</v>
      </c>
      <c r="D15" s="29" t="n">
        <v>5930</v>
      </c>
      <c r="E15" s="64" t="n">
        <v>0</v>
      </c>
      <c r="F15" s="29" t="n">
        <v>1200</v>
      </c>
      <c r="G15" s="29" t="n">
        <v>1200</v>
      </c>
      <c r="H15" s="29" t="n">
        <v>50</v>
      </c>
      <c r="I15" s="29" t="n">
        <v>1250</v>
      </c>
      <c r="J15" s="29" t="n"/>
      <c r="K15" s="29" t="inlineStr"/>
      <c r="L15" s="29" t="n"/>
      <c r="M15" s="158" t="n"/>
      <c r="N15" s="114" t="n"/>
      <c r="O15" s="114" t="n"/>
    </row>
    <row r="16">
      <c r="A16" s="32" t="inlineStr">
        <is>
          <t>301</t>
        </is>
      </c>
      <c r="B16" s="30" t="n">
        <v>112.6</v>
      </c>
      <c r="C16" s="30" t="n">
        <v>119.26</v>
      </c>
      <c r="D16" s="29" t="n">
        <v>6660</v>
      </c>
      <c r="E16" s="64" t="n">
        <v>0</v>
      </c>
      <c r="F16" s="29" t="n">
        <v>1200</v>
      </c>
      <c r="G16" s="29" t="n">
        <v>1200</v>
      </c>
      <c r="H16" s="29" t="n">
        <v>50</v>
      </c>
      <c r="I16" s="29" t="n">
        <v>1250</v>
      </c>
      <c r="J16" s="29" t="n"/>
      <c r="K16" s="29" t="inlineStr"/>
      <c r="L16" s="29" t="n"/>
      <c r="M16" s="158" t="n"/>
      <c r="N16" s="160" t="n"/>
      <c r="O16" s="114" t="n"/>
    </row>
    <row r="17">
      <c r="A17" s="32" t="inlineStr">
        <is>
          <t>302</t>
        </is>
      </c>
      <c r="B17" s="30" t="n">
        <v>234.46</v>
      </c>
      <c r="C17" s="30" t="n">
        <v>243.57</v>
      </c>
      <c r="D17" s="29" t="n">
        <v>9110</v>
      </c>
      <c r="E17" s="64" t="n">
        <v>0</v>
      </c>
      <c r="F17" s="29" t="n">
        <v>1200</v>
      </c>
      <c r="G17" s="29" t="n">
        <v>1200</v>
      </c>
      <c r="H17" s="29" t="n">
        <v>50</v>
      </c>
      <c r="I17" s="29" t="n">
        <v>1250</v>
      </c>
      <c r="J17" s="29" t="n"/>
      <c r="K17" s="29" t="inlineStr"/>
      <c r="L17" s="119" t="n"/>
      <c r="M17" s="158" t="n"/>
      <c r="N17" s="114" t="n"/>
      <c r="O17" s="114" t="n"/>
    </row>
    <row r="18">
      <c r="A18" s="32" t="inlineStr">
        <is>
          <t>303</t>
        </is>
      </c>
      <c r="B18" s="29" t="n">
        <v>68.29000000000001</v>
      </c>
      <c r="C18" s="29" t="n">
        <v>86.25</v>
      </c>
      <c r="D18" s="29" t="n">
        <v>17960</v>
      </c>
      <c r="E18" s="64" t="n">
        <v>0</v>
      </c>
      <c r="F18" s="29" t="n">
        <v>1200</v>
      </c>
      <c r="G18" s="29" t="n">
        <v>1200</v>
      </c>
      <c r="H18" s="29" t="n">
        <v>50</v>
      </c>
      <c r="I18" s="29" t="n">
        <v>1250</v>
      </c>
      <c r="J18" s="29" t="n"/>
      <c r="K18" s="29" t="inlineStr"/>
      <c r="L18" s="29" t="n"/>
      <c r="M18" s="158" t="n"/>
      <c r="N18" s="160" t="n"/>
      <c r="O18" s="114" t="n"/>
    </row>
    <row r="19">
      <c r="A19" s="32" t="inlineStr">
        <is>
          <t>304</t>
        </is>
      </c>
      <c r="B19" s="30" t="n">
        <v>406.55</v>
      </c>
      <c r="C19" s="30" t="n">
        <v>419.67</v>
      </c>
      <c r="D19" s="29" t="n">
        <v>13120</v>
      </c>
      <c r="E19" s="64" t="n">
        <v>0</v>
      </c>
      <c r="F19" s="29" t="n">
        <v>1200</v>
      </c>
      <c r="G19" s="29" t="n">
        <v>1200</v>
      </c>
      <c r="H19" s="29" t="n">
        <v>50</v>
      </c>
      <c r="I19" s="29" t="n">
        <v>1250</v>
      </c>
      <c r="J19" s="29" t="n"/>
      <c r="K19" s="29" t="inlineStr"/>
      <c r="L19" s="29" t="n"/>
      <c r="M19" s="158" t="n"/>
      <c r="N19" s="114" t="n"/>
      <c r="O19" s="214" t="n"/>
    </row>
    <row r="20">
      <c r="A20" s="29" t="inlineStr">
        <is>
          <t>Common</t>
        </is>
      </c>
      <c r="B20" s="30" t="n">
        <v>418.2</v>
      </c>
      <c r="C20" s="30" t="n">
        <v>431.99</v>
      </c>
      <c r="D20" s="29" t="n">
        <v>13790</v>
      </c>
      <c r="E20" s="64" t="n">
        <v>0</v>
      </c>
      <c r="F20" s="29" t="n">
        <v>0</v>
      </c>
      <c r="G20" s="29" t="n"/>
      <c r="H20" s="29" t="n">
        <v>0</v>
      </c>
      <c r="I20" s="29" t="n">
        <v>0</v>
      </c>
      <c r="J20" s="29" t="n"/>
      <c r="K20" s="29" t="n"/>
      <c r="L20" s="29" t="n"/>
      <c r="M20" s="51" t="n"/>
      <c r="N20" s="114" t="n"/>
      <c r="O20" s="114" t="n"/>
    </row>
    <row r="21">
      <c r="A21" s="29" t="n"/>
      <c r="B21" s="29" t="n"/>
      <c r="C21" s="29" t="n"/>
      <c r="D21" s="29" t="n"/>
      <c r="E21" s="29" t="n"/>
      <c r="F21" s="49" t="n"/>
      <c r="G21" s="49" t="n"/>
      <c r="H21" s="49" t="n">
        <v>800</v>
      </c>
      <c r="I21" s="49" t="n">
        <v>20600</v>
      </c>
      <c r="J21" s="49" t="n">
        <v>0</v>
      </c>
      <c r="K21" s="49" t="n"/>
      <c r="L21" s="49" t="n"/>
      <c r="M21" s="29" t="n"/>
      <c r="N21" s="114" t="n"/>
      <c r="O21" s="121" t="n"/>
    </row>
    <row r="22">
      <c r="A22" s="29" t="n"/>
      <c r="B22" s="29" t="inlineStr">
        <is>
          <t>Total Usage Units</t>
        </is>
      </c>
      <c r="C22" s="29" t="n"/>
      <c r="D22" s="30" t="n">
        <v>135260</v>
      </c>
      <c r="E22" s="202" t="n">
        <v>0</v>
      </c>
      <c r="F22" s="29" t="n"/>
      <c r="G22" s="29" t="n"/>
      <c r="H22" s="29" t="n"/>
      <c r="I22" s="29" t="n"/>
      <c r="J22" s="29" t="n"/>
      <c r="K22" s="29" t="n"/>
      <c r="L22" s="29" t="n"/>
      <c r="M22" s="29" t="n"/>
      <c r="N22" s="152" t="n"/>
      <c r="O22" s="152" t="n"/>
    </row>
    <row r="23" ht="30" customHeight="1" s="366">
      <c r="A23" s="29" t="n"/>
      <c r="B23" s="29" t="inlineStr">
        <is>
          <t>Per Lt cost</t>
        </is>
      </c>
      <c r="C23" s="119" t="inlineStr">
        <is>
          <t>Number of tankers / Number of litters</t>
        </is>
      </c>
      <c r="D23" s="111" t="n">
        <v>0</v>
      </c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114" t="n"/>
      <c r="O23" s="114" t="n"/>
    </row>
    <row r="24" ht="30" customHeight="1" s="366">
      <c r="A24" s="119" t="inlineStr">
        <is>
          <t>Total Water Bill</t>
        </is>
      </c>
      <c r="B24" s="30" t="n">
        <v>0</v>
      </c>
      <c r="C24" s="119" t="inlineStr">
        <is>
          <t>WATER Tankers(0) One Tanker Cost: 1200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4"/>
  <sheetViews>
    <sheetView zoomScale="67" workbookViewId="0">
      <selection activeCell="K21" sqref="K21"/>
    </sheetView>
  </sheetViews>
  <sheetFormatPr baseColWidth="8" defaultRowHeight="15"/>
  <cols>
    <col width="12.140625" bestFit="1" customWidth="1" style="366" min="1" max="1"/>
    <col width="21.28515625" bestFit="1" customWidth="1" style="366" min="2" max="2"/>
    <col width="20.28515625" bestFit="1" customWidth="1" style="366" min="3" max="3"/>
    <col width="10" bestFit="1" customWidth="1" style="366" min="4" max="4"/>
    <col width="9" bestFit="1" customWidth="1" style="366" min="5" max="5"/>
    <col width="20.140625" bestFit="1" customWidth="1" style="366" min="6" max="6"/>
    <col width="16.85546875" bestFit="1" customWidth="1" style="366" min="7" max="7"/>
    <col width="15.42578125" bestFit="1" customWidth="1" style="366" min="8" max="8"/>
    <col width="15.7109375" bestFit="1" customWidth="1" style="366" min="9" max="9"/>
    <col width="6.7109375" bestFit="1" customWidth="1" style="366" min="10" max="10"/>
    <col width="14.85546875" bestFit="1" customWidth="1" style="366" min="11" max="11"/>
    <col width="17.28515625" bestFit="1" customWidth="1" style="366" min="12" max="12"/>
    <col hidden="1" width="14.28515625" customWidth="1" style="366" min="13" max="13"/>
    <col width="28.28515625" bestFit="1" customWidth="1" style="366" min="14" max="14"/>
  </cols>
  <sheetData>
    <row r="1">
      <c r="A1" s="49" t="inlineStr">
        <is>
          <t>Flat Numbers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 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 xml:space="preserve">Topay </t>
        </is>
      </c>
      <c r="J1" s="146" t="inlineStr">
        <is>
          <t>Receive Amount</t>
        </is>
      </c>
      <c r="K1" s="146" t="inlineStr">
        <is>
          <t>Payment Status</t>
        </is>
      </c>
      <c r="L1" s="220" t="inlineStr">
        <is>
          <t>Difference Amount</t>
        </is>
      </c>
      <c r="M1" s="146" t="inlineStr">
        <is>
          <t>Payment Status</t>
        </is>
      </c>
      <c r="N1" s="154" t="n"/>
      <c r="O1" s="215" t="n"/>
    </row>
    <row r="2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 t="n">
        <v>300</v>
      </c>
      <c r="H2" s="29" t="n">
        <v>0</v>
      </c>
      <c r="I2" s="29" t="n">
        <v>300</v>
      </c>
      <c r="J2" s="29" t="n"/>
      <c r="K2" s="29" t="n">
        <v>300</v>
      </c>
      <c r="L2" s="221" t="n"/>
      <c r="M2" s="158" t="n"/>
      <c r="N2" s="148" t="n"/>
      <c r="O2" s="149" t="n"/>
    </row>
    <row r="3">
      <c r="A3" s="72" t="inlineStr">
        <is>
          <t>Shop-2</t>
        </is>
      </c>
      <c r="B3" s="30" t="inlineStr">
        <is>
          <t>NA</t>
        </is>
      </c>
      <c r="C3" s="30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300</v>
      </c>
      <c r="J3" s="29" t="n"/>
      <c r="K3" s="29" t="n">
        <v>300</v>
      </c>
      <c r="L3" s="221" t="n"/>
      <c r="M3" s="158" t="n"/>
      <c r="N3" s="148" t="n"/>
      <c r="O3" s="148" t="n"/>
    </row>
    <row r="4">
      <c r="A4" s="32" t="inlineStr">
        <is>
          <t>G1</t>
        </is>
      </c>
      <c r="B4" s="30" t="n">
        <v>168</v>
      </c>
      <c r="C4" s="30" t="n">
        <v>172.7</v>
      </c>
      <c r="D4" s="29" t="n">
        <v>4700</v>
      </c>
      <c r="E4" s="64" t="n">
        <v>0</v>
      </c>
      <c r="F4" s="29" t="n">
        <v>1200</v>
      </c>
      <c r="G4" s="29" t="n">
        <v>1200</v>
      </c>
      <c r="H4" s="29" t="n">
        <v>50</v>
      </c>
      <c r="I4" s="29" t="n">
        <v>1250</v>
      </c>
      <c r="J4" s="29" t="n"/>
      <c r="K4" s="29" t="n">
        <v>1919</v>
      </c>
      <c r="L4" s="221" t="n"/>
      <c r="M4" s="158" t="n"/>
      <c r="N4" s="160" t="n"/>
      <c r="O4" s="160" t="n"/>
    </row>
    <row r="5">
      <c r="A5" s="32" t="inlineStr">
        <is>
          <t>G2</t>
        </is>
      </c>
      <c r="B5" s="30" t="n">
        <v>248.67</v>
      </c>
      <c r="C5" s="30" t="n">
        <v>248.67</v>
      </c>
      <c r="D5" s="29" t="n">
        <v>0</v>
      </c>
      <c r="E5" s="64" t="n">
        <v>0</v>
      </c>
      <c r="F5" s="29" t="n">
        <v>1200</v>
      </c>
      <c r="G5" s="29" t="n">
        <v>1200</v>
      </c>
      <c r="H5" s="29" t="n">
        <v>50</v>
      </c>
      <c r="I5" s="29" t="n">
        <v>1250</v>
      </c>
      <c r="J5" s="29" t="n"/>
      <c r="K5" s="29" t="n">
        <v>1250</v>
      </c>
      <c r="L5" s="221" t="n"/>
      <c r="M5" s="158" t="n"/>
      <c r="N5" s="114" t="n"/>
      <c r="O5" s="114" t="n"/>
    </row>
    <row r="6">
      <c r="A6" s="32" t="inlineStr">
        <is>
          <t>G3</t>
        </is>
      </c>
      <c r="B6" s="30" t="n">
        <v>482.25</v>
      </c>
      <c r="C6" s="30" t="n">
        <v>483</v>
      </c>
      <c r="D6" s="29" t="n">
        <v>750</v>
      </c>
      <c r="E6" s="64" t="n">
        <v>0</v>
      </c>
      <c r="F6" s="29" t="n">
        <v>1200</v>
      </c>
      <c r="G6" s="29" t="n">
        <v>1200</v>
      </c>
      <c r="H6" s="29" t="n">
        <v>50</v>
      </c>
      <c r="I6" s="29" t="n">
        <v>1250</v>
      </c>
      <c r="J6" s="29" t="n"/>
      <c r="K6" s="29" t="n">
        <v>1357</v>
      </c>
      <c r="L6" s="221" t="n"/>
      <c r="M6" s="158" t="n"/>
      <c r="N6" s="114" t="n"/>
      <c r="O6" s="114" t="n"/>
    </row>
    <row r="7">
      <c r="A7" s="32" t="inlineStr">
        <is>
          <t>G4</t>
        </is>
      </c>
      <c r="B7" s="30" t="n">
        <v>398.86</v>
      </c>
      <c r="C7" s="30" t="n">
        <v>408.67</v>
      </c>
      <c r="D7" s="29" t="n">
        <v>9810</v>
      </c>
      <c r="E7" s="64" t="n">
        <v>0</v>
      </c>
      <c r="F7" s="29" t="n">
        <v>1200</v>
      </c>
      <c r="G7" s="29" t="n">
        <v>1200</v>
      </c>
      <c r="H7" s="29" t="n">
        <v>50</v>
      </c>
      <c r="I7" s="29" t="n">
        <v>1250</v>
      </c>
      <c r="J7" s="29" t="n"/>
      <c r="K7" s="29" t="n">
        <v>2647</v>
      </c>
      <c r="L7" s="221" t="n"/>
      <c r="M7" s="158" t="n"/>
      <c r="N7" s="114" t="n"/>
      <c r="O7" s="114" t="n"/>
    </row>
    <row r="8">
      <c r="A8" s="32" t="inlineStr">
        <is>
          <t>101</t>
        </is>
      </c>
      <c r="B8" s="30" t="n">
        <v>100.28</v>
      </c>
      <c r="C8" s="30" t="n">
        <v>101.96</v>
      </c>
      <c r="D8" s="29" t="n">
        <v>1680</v>
      </c>
      <c r="E8" s="64" t="n">
        <v>0</v>
      </c>
      <c r="F8" s="29" t="n">
        <v>1200</v>
      </c>
      <c r="G8" s="29" t="n">
        <v>1200</v>
      </c>
      <c r="H8" s="29" t="n">
        <v>50</v>
      </c>
      <c r="I8" s="29" t="n">
        <v>1250</v>
      </c>
      <c r="J8" s="29" t="n"/>
      <c r="K8" s="29" t="n">
        <v>1489</v>
      </c>
      <c r="L8" s="221" t="n"/>
      <c r="M8" s="158" t="n"/>
      <c r="N8" s="153" t="n"/>
      <c r="O8" s="153" t="n"/>
    </row>
    <row r="9">
      <c r="A9" s="32" t="inlineStr">
        <is>
          <t>102</t>
        </is>
      </c>
      <c r="B9" s="30" t="n">
        <v>641.84</v>
      </c>
      <c r="C9" s="30" t="n">
        <v>643.6900000000001</v>
      </c>
      <c r="D9" s="29" t="n">
        <v>1850</v>
      </c>
      <c r="E9" s="64" t="n">
        <v>0</v>
      </c>
      <c r="F9" s="29" t="n">
        <v>1200</v>
      </c>
      <c r="G9" s="29" t="n">
        <v>1200</v>
      </c>
      <c r="H9" s="29" t="n">
        <v>50</v>
      </c>
      <c r="I9" s="29" t="n">
        <v>1250</v>
      </c>
      <c r="J9" s="29" t="n"/>
      <c r="K9" s="29" t="n">
        <v>1513</v>
      </c>
      <c r="L9" s="221" t="n"/>
      <c r="M9" s="158" t="n"/>
      <c r="N9" s="114" t="n"/>
      <c r="O9" s="213" t="n"/>
    </row>
    <row r="10">
      <c r="A10" s="32" t="inlineStr">
        <is>
          <t>103</t>
        </is>
      </c>
      <c r="B10" s="29" t="n">
        <v>290.74</v>
      </c>
      <c r="C10" s="29" t="n">
        <v>295.38</v>
      </c>
      <c r="D10" s="29" t="n">
        <v>4640</v>
      </c>
      <c r="E10" s="64" t="n">
        <v>0</v>
      </c>
      <c r="F10" s="29" t="n">
        <v>1200</v>
      </c>
      <c r="G10" s="29" t="n">
        <v>1200</v>
      </c>
      <c r="H10" s="29" t="n">
        <v>50</v>
      </c>
      <c r="I10" s="29" t="n">
        <v>1250</v>
      </c>
      <c r="J10" s="29" t="n"/>
      <c r="K10" s="29" t="n">
        <v>1911</v>
      </c>
      <c r="L10" s="221" t="n"/>
      <c r="M10" s="158" t="n"/>
      <c r="N10" s="160" t="n"/>
      <c r="O10" s="213" t="n"/>
    </row>
    <row r="11">
      <c r="A11" s="32" t="inlineStr">
        <is>
          <t>104</t>
        </is>
      </c>
      <c r="B11" s="30" t="n">
        <v>157.71</v>
      </c>
      <c r="C11" s="30" t="n">
        <v>167.28</v>
      </c>
      <c r="D11" s="29" t="n">
        <v>9570</v>
      </c>
      <c r="E11" s="64" t="n">
        <v>0</v>
      </c>
      <c r="F11" s="29" t="n">
        <v>1200</v>
      </c>
      <c r="G11" s="29" t="n">
        <v>1200</v>
      </c>
      <c r="H11" s="29" t="n">
        <v>50</v>
      </c>
      <c r="I11" s="29" t="n">
        <v>1250</v>
      </c>
      <c r="J11" s="29" t="n"/>
      <c r="K11" s="29" t="n">
        <v>2613</v>
      </c>
      <c r="L11" s="221" t="n"/>
      <c r="M11" s="158" t="n"/>
      <c r="N11" s="160" t="n"/>
      <c r="O11" s="213" t="n"/>
    </row>
    <row r="12">
      <c r="A12" s="32" t="inlineStr">
        <is>
          <t>201</t>
        </is>
      </c>
      <c r="B12" s="30" t="n">
        <v>165.47</v>
      </c>
      <c r="C12" s="30" t="n">
        <v>169.23</v>
      </c>
      <c r="D12" s="29" t="n">
        <v>3760</v>
      </c>
      <c r="E12" s="64" t="n">
        <v>0</v>
      </c>
      <c r="F12" s="29" t="n">
        <v>1200</v>
      </c>
      <c r="G12" s="29" t="n">
        <v>1200</v>
      </c>
      <c r="H12" s="29" t="n">
        <v>50</v>
      </c>
      <c r="I12" s="29" t="n">
        <v>1250</v>
      </c>
      <c r="J12" s="29" t="n"/>
      <c r="K12" s="29" t="n">
        <v>1785</v>
      </c>
      <c r="L12" s="221" t="n"/>
      <c r="M12" s="158" t="n"/>
      <c r="N12" s="160" t="n"/>
      <c r="O12" s="213" t="n"/>
    </row>
    <row r="13">
      <c r="A13" s="32" t="inlineStr">
        <is>
          <t>202</t>
        </is>
      </c>
      <c r="B13" s="30" t="n">
        <v>340.83</v>
      </c>
      <c r="C13" s="30" t="n">
        <v>347.75</v>
      </c>
      <c r="D13" s="29" t="n">
        <v>6920</v>
      </c>
      <c r="E13" s="64" t="n">
        <v>0</v>
      </c>
      <c r="F13" s="29" t="n">
        <v>1200</v>
      </c>
      <c r="G13" s="29" t="n">
        <v>1200</v>
      </c>
      <c r="H13" s="29" t="n">
        <v>50</v>
      </c>
      <c r="I13" s="29" t="n">
        <v>1250</v>
      </c>
      <c r="J13" s="29" t="n"/>
      <c r="K13" s="29" t="n">
        <v>2236</v>
      </c>
      <c r="L13" s="221" t="n"/>
      <c r="M13" s="158" t="n"/>
      <c r="N13" s="114" t="n"/>
      <c r="O13" s="213" t="n"/>
    </row>
    <row r="14">
      <c r="A14" s="32" t="inlineStr">
        <is>
          <t>203</t>
        </is>
      </c>
      <c r="B14" s="30" t="n">
        <v>89.44</v>
      </c>
      <c r="C14" s="30" t="n">
        <v>97.29000000000001</v>
      </c>
      <c r="D14" s="29" t="n">
        <v>7850</v>
      </c>
      <c r="E14" s="64" t="n">
        <v>0</v>
      </c>
      <c r="F14" s="29" t="n">
        <v>1200</v>
      </c>
      <c r="G14" s="29" t="n">
        <v>1200</v>
      </c>
      <c r="H14" s="29" t="n">
        <v>50</v>
      </c>
      <c r="I14" s="29" t="n">
        <v>1250</v>
      </c>
      <c r="J14" s="29" t="n"/>
      <c r="K14" s="29" t="n">
        <v>2368</v>
      </c>
      <c r="L14" s="221" t="n"/>
      <c r="M14" s="158" t="n"/>
      <c r="N14" s="216" t="n"/>
      <c r="O14" s="331" t="n"/>
    </row>
    <row r="15">
      <c r="A15" s="32" t="inlineStr">
        <is>
          <t>204</t>
        </is>
      </c>
      <c r="B15" s="30" t="n">
        <v>330.18</v>
      </c>
      <c r="C15" s="30" t="n">
        <v>337.09</v>
      </c>
      <c r="D15" s="29" t="n">
        <v>6910</v>
      </c>
      <c r="E15" s="64" t="n">
        <v>0</v>
      </c>
      <c r="F15" s="29" t="n">
        <v>1200</v>
      </c>
      <c r="G15" s="29" t="n">
        <v>1200</v>
      </c>
      <c r="H15" s="29" t="n">
        <v>50</v>
      </c>
      <c r="I15" s="29" t="n">
        <v>1250</v>
      </c>
      <c r="J15" s="29" t="n"/>
      <c r="K15" s="29" t="n">
        <v>2234</v>
      </c>
      <c r="L15" s="221" t="n"/>
      <c r="M15" s="158" t="n"/>
      <c r="N15" s="114" t="n"/>
      <c r="O15" s="114" t="n"/>
    </row>
    <row r="16">
      <c r="A16" s="32" t="inlineStr">
        <is>
          <t>301</t>
        </is>
      </c>
      <c r="B16" s="30" t="n">
        <v>119.26</v>
      </c>
      <c r="C16" s="30" t="n">
        <v>120.55</v>
      </c>
      <c r="D16" s="29" t="n">
        <v>1290</v>
      </c>
      <c r="E16" s="64" t="n">
        <v>0</v>
      </c>
      <c r="F16" s="29" t="n">
        <v>1200</v>
      </c>
      <c r="G16" s="29" t="n">
        <v>1200</v>
      </c>
      <c r="H16" s="29" t="n">
        <v>50</v>
      </c>
      <c r="I16" s="29" t="n">
        <v>1250</v>
      </c>
      <c r="J16" s="29" t="n"/>
      <c r="K16" s="29" t="n">
        <v>1434</v>
      </c>
      <c r="L16" s="221" t="n"/>
      <c r="M16" s="158" t="n"/>
      <c r="N16" s="160" t="n"/>
      <c r="O16" s="114" t="n"/>
    </row>
    <row r="17">
      <c r="A17" s="32" t="inlineStr">
        <is>
          <t>302</t>
        </is>
      </c>
      <c r="B17" s="30" t="n">
        <v>243.57</v>
      </c>
      <c r="C17" s="30" t="n">
        <v>250.94</v>
      </c>
      <c r="D17" s="29" t="n">
        <v>7370</v>
      </c>
      <c r="E17" s="64" t="n">
        <v>0</v>
      </c>
      <c r="F17" s="29" t="n">
        <v>1200</v>
      </c>
      <c r="G17" s="29" t="n">
        <v>1200</v>
      </c>
      <c r="H17" s="29" t="n">
        <v>50</v>
      </c>
      <c r="I17" s="29" t="n">
        <v>1250</v>
      </c>
      <c r="J17" s="29" t="n"/>
      <c r="K17" s="345" t="n">
        <v>2300</v>
      </c>
      <c r="L17" s="221" t="n"/>
      <c r="M17" s="158" t="n"/>
      <c r="N17" s="114" t="n"/>
      <c r="O17" s="114" t="n"/>
    </row>
    <row r="18">
      <c r="A18" s="32" t="inlineStr">
        <is>
          <t>303</t>
        </is>
      </c>
      <c r="B18" s="29" t="n">
        <v>86.25</v>
      </c>
      <c r="C18" s="29" t="n">
        <v>102.05</v>
      </c>
      <c r="D18" s="29" t="n">
        <v>15800</v>
      </c>
      <c r="E18" s="64" t="n">
        <v>0</v>
      </c>
      <c r="F18" s="29" t="n">
        <v>1200</v>
      </c>
      <c r="G18" s="29" t="n">
        <v>1200</v>
      </c>
      <c r="H18" s="29" t="n">
        <v>50</v>
      </c>
      <c r="I18" s="29" t="n">
        <v>1250</v>
      </c>
      <c r="J18" s="29" t="n"/>
      <c r="K18" s="29" t="n">
        <v>3500</v>
      </c>
      <c r="L18" s="221" t="n"/>
      <c r="M18" s="158" t="n"/>
      <c r="N18" s="160" t="n"/>
      <c r="O18" s="114" t="n"/>
    </row>
    <row r="19">
      <c r="A19" s="32" t="inlineStr">
        <is>
          <t>304</t>
        </is>
      </c>
      <c r="B19" s="30" t="n">
        <v>419.67</v>
      </c>
      <c r="C19" s="30" t="n">
        <v>433.21</v>
      </c>
      <c r="D19" s="29" t="n">
        <v>13540</v>
      </c>
      <c r="E19" s="64" t="n">
        <v>0</v>
      </c>
      <c r="F19" s="29" t="n">
        <v>1200</v>
      </c>
      <c r="G19" s="29" t="n">
        <v>1200</v>
      </c>
      <c r="H19" s="29" t="n">
        <v>50</v>
      </c>
      <c r="I19" s="29" t="n">
        <v>1250</v>
      </c>
      <c r="J19" s="29" t="n"/>
      <c r="K19" s="29" t="n">
        <v>3178</v>
      </c>
      <c r="L19" s="221" t="n"/>
      <c r="M19" s="158" t="n"/>
      <c r="N19" s="114" t="n"/>
      <c r="O19" s="214" t="n"/>
    </row>
    <row r="20">
      <c r="A20" s="29" t="inlineStr">
        <is>
          <t>Common</t>
        </is>
      </c>
      <c r="B20" s="30" t="n">
        <v>431.99</v>
      </c>
      <c r="C20" s="30" t="n">
        <v>445.09</v>
      </c>
      <c r="D20" s="29" t="n">
        <v>13100</v>
      </c>
      <c r="E20" s="64" t="n">
        <v>0</v>
      </c>
      <c r="F20" s="29" t="n">
        <v>0</v>
      </c>
      <c r="G20" s="29" t="n"/>
      <c r="H20" s="29" t="n">
        <v>0</v>
      </c>
      <c r="I20" s="29" t="n">
        <v>0</v>
      </c>
      <c r="J20" s="29" t="n"/>
      <c r="K20" s="29" t="n"/>
      <c r="L20" s="221" t="n"/>
      <c r="M20" s="51" t="n"/>
      <c r="N20" s="114" t="n"/>
      <c r="O20" s="114" t="n"/>
    </row>
    <row r="21">
      <c r="A21" s="29" t="n"/>
      <c r="B21" s="29" t="n"/>
      <c r="C21" s="29" t="n"/>
      <c r="D21" s="29" t="n"/>
      <c r="E21" s="29" t="n"/>
      <c r="F21" s="49" t="n"/>
      <c r="G21" s="49" t="n"/>
      <c r="H21" s="49" t="n">
        <v>800</v>
      </c>
      <c r="I21" s="49" t="n">
        <v>20600</v>
      </c>
      <c r="J21" s="49" t="n">
        <v>0</v>
      </c>
      <c r="K21" s="49" t="n"/>
      <c r="L21" s="222" t="n"/>
      <c r="M21" s="29" t="n"/>
      <c r="N21" s="114" t="n"/>
      <c r="O21" s="121" t="n"/>
    </row>
    <row r="22">
      <c r="A22" s="29" t="n"/>
      <c r="B22" s="29" t="inlineStr">
        <is>
          <t>Total Usage Units</t>
        </is>
      </c>
      <c r="C22" s="29" t="n"/>
      <c r="D22" s="30" t="n">
        <v>109540</v>
      </c>
      <c r="E22" s="202" t="n">
        <v>0</v>
      </c>
      <c r="F22" s="29" t="n"/>
      <c r="G22" s="29" t="n"/>
      <c r="H22" s="29" t="n"/>
      <c r="I22" s="29" t="n"/>
      <c r="J22" s="29" t="n"/>
      <c r="K22" s="29" t="n"/>
      <c r="L22" s="29" t="n"/>
      <c r="M22" s="29" t="n"/>
      <c r="N22" s="152" t="n"/>
      <c r="O22" s="152" t="n"/>
    </row>
    <row r="23" ht="30" customHeight="1" s="366">
      <c r="A23" s="29" t="n"/>
      <c r="B23" s="29" t="inlineStr">
        <is>
          <t>Per Lt cost</t>
        </is>
      </c>
      <c r="C23" s="119" t="inlineStr">
        <is>
          <t>Number of tankers / Number of litters</t>
        </is>
      </c>
      <c r="D23" s="111" t="n">
        <v>0</v>
      </c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114" t="n"/>
      <c r="O23" s="114" t="n"/>
    </row>
    <row r="24" ht="30" customHeight="1" s="366">
      <c r="A24" s="119" t="inlineStr">
        <is>
          <t>Total Water Bill</t>
        </is>
      </c>
      <c r="B24" s="30" t="n">
        <v>0</v>
      </c>
      <c r="C24" s="119" t="inlineStr">
        <is>
          <t>WATER Tankers(0) One Tanker Cost: 1200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331" t="n"/>
      <c r="O24" s="331" t="n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4"/>
  <sheetViews>
    <sheetView zoomScale="83" workbookViewId="0">
      <selection activeCell="J21" sqref="J21"/>
    </sheetView>
  </sheetViews>
  <sheetFormatPr baseColWidth="8" defaultRowHeight="15"/>
  <cols>
    <col width="12.140625" bestFit="1" customWidth="1" style="366" min="1" max="1"/>
    <col width="21.28515625" bestFit="1" customWidth="1" style="366" min="2" max="2"/>
    <col width="20.28515625" customWidth="1" style="366" min="3" max="3"/>
    <col width="10" bestFit="1" customWidth="1" style="366" min="4" max="4"/>
    <col width="9" bestFit="1" customWidth="1" style="366" min="5" max="5"/>
    <col width="20.140625" bestFit="1" customWidth="1" style="366" min="6" max="6"/>
    <col width="16.85546875" bestFit="1" customWidth="1" style="366" min="7" max="7"/>
    <col width="15.42578125" bestFit="1" customWidth="1" style="366" min="8" max="8"/>
    <col width="21.140625" bestFit="1" customWidth="1" style="366" min="9" max="9"/>
    <col width="6.7109375" bestFit="1" customWidth="1" style="366" min="10" max="10"/>
    <col hidden="1" width="14.28515625" customWidth="1" style="366" min="13" max="13"/>
    <col width="30.28515625" bestFit="1" customWidth="1" style="366" min="14" max="14"/>
  </cols>
  <sheetData>
    <row r="1">
      <c r="A1" s="49" t="inlineStr">
        <is>
          <t>Flat Numbers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 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 xml:space="preserve">Topay </t>
        </is>
      </c>
      <c r="J1" s="146" t="inlineStr">
        <is>
          <t>Receive Amount</t>
        </is>
      </c>
      <c r="K1" s="146" t="inlineStr">
        <is>
          <t>Payment Status</t>
        </is>
      </c>
      <c r="L1" s="146" t="inlineStr">
        <is>
          <t>Balance amount (July 2025)</t>
        </is>
      </c>
      <c r="M1" s="146" t="inlineStr">
        <is>
          <t>Payment Status</t>
        </is>
      </c>
      <c r="N1" s="154" t="n"/>
      <c r="O1" s="215" t="n"/>
    </row>
    <row r="2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 t="n">
        <v>300</v>
      </c>
      <c r="H2" s="29" t="n">
        <v>0</v>
      </c>
      <c r="I2" s="29" t="n">
        <v>300</v>
      </c>
      <c r="J2" s="29" t="n"/>
      <c r="K2" s="29" t="n">
        <v>300</v>
      </c>
      <c r="L2" s="29" t="n"/>
      <c r="M2" s="158" t="n"/>
      <c r="N2" s="148" t="n"/>
      <c r="O2" s="149" t="n"/>
    </row>
    <row r="3">
      <c r="A3" s="72" t="inlineStr">
        <is>
          <t>Shop-2</t>
        </is>
      </c>
      <c r="B3" s="30" t="inlineStr">
        <is>
          <t>NA</t>
        </is>
      </c>
      <c r="C3" s="30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300</v>
      </c>
      <c r="J3" s="29" t="n"/>
      <c r="K3" s="29" t="n">
        <v>300</v>
      </c>
      <c r="L3" s="29" t="n"/>
      <c r="M3" s="158" t="n"/>
      <c r="N3" s="148" t="n"/>
      <c r="O3" s="148" t="n"/>
    </row>
    <row r="4">
      <c r="A4" s="32" t="inlineStr">
        <is>
          <t>G1</t>
        </is>
      </c>
      <c r="B4" s="30" t="n">
        <v>172.7</v>
      </c>
      <c r="C4" s="30" t="n">
        <v>177.59</v>
      </c>
      <c r="D4" s="29" t="n">
        <v>4890</v>
      </c>
      <c r="E4" s="64" t="n">
        <v>0</v>
      </c>
      <c r="F4" s="29" t="n">
        <v>1200</v>
      </c>
      <c r="G4" s="29" t="n">
        <v>1200</v>
      </c>
      <c r="H4" s="29" t="n">
        <v>50</v>
      </c>
      <c r="I4" s="29" t="n">
        <v>1250</v>
      </c>
      <c r="J4" s="29" t="n"/>
      <c r="K4" s="29" t="n">
        <v>2323</v>
      </c>
      <c r="L4" s="156" t="n"/>
      <c r="M4" s="158" t="n"/>
      <c r="N4" s="160" t="n"/>
      <c r="O4" s="160" t="n"/>
    </row>
    <row r="5">
      <c r="A5" s="32" t="inlineStr">
        <is>
          <t>G2</t>
        </is>
      </c>
      <c r="B5" s="30" t="n">
        <v>248.67</v>
      </c>
      <c r="C5" s="30" t="n">
        <v>254.47</v>
      </c>
      <c r="D5" s="29" t="n">
        <v>5800</v>
      </c>
      <c r="E5" s="64" t="n">
        <v>0</v>
      </c>
      <c r="F5" s="29" t="n">
        <v>1200</v>
      </c>
      <c r="G5" s="29" t="n">
        <v>1200</v>
      </c>
      <c r="H5" s="29" t="n">
        <v>50</v>
      </c>
      <c r="I5" s="29" t="n">
        <v>1250</v>
      </c>
      <c r="J5" s="29" t="n"/>
      <c r="K5" s="29" t="n">
        <v>2278</v>
      </c>
      <c r="L5" s="29" t="n"/>
      <c r="M5" s="158" t="n"/>
      <c r="N5" s="114" t="n"/>
      <c r="O5" s="114" t="n"/>
    </row>
    <row r="6">
      <c r="A6" s="32" t="inlineStr">
        <is>
          <t>G3</t>
        </is>
      </c>
      <c r="B6" s="30" t="n">
        <v>483</v>
      </c>
      <c r="C6" s="30" t="n">
        <v>491.65</v>
      </c>
      <c r="D6" s="29" t="n">
        <v>8650</v>
      </c>
      <c r="E6" s="64" t="n">
        <v>0</v>
      </c>
      <c r="F6" s="29" t="n">
        <v>1200</v>
      </c>
      <c r="G6" s="29" t="n">
        <v>1200</v>
      </c>
      <c r="H6" s="29" t="n">
        <v>50</v>
      </c>
      <c r="I6" s="29" t="n">
        <v>1250</v>
      </c>
      <c r="J6" s="29" t="n"/>
      <c r="K6" s="29" t="n">
        <v>2817</v>
      </c>
      <c r="L6" s="29" t="n"/>
      <c r="M6" s="158" t="n"/>
      <c r="N6" s="114" t="n"/>
      <c r="O6" s="114" t="n"/>
    </row>
    <row r="7">
      <c r="A7" s="32" t="inlineStr">
        <is>
          <t>G4</t>
        </is>
      </c>
      <c r="B7" s="30" t="n">
        <v>408.67</v>
      </c>
      <c r="C7" s="30" t="n">
        <v>414.2</v>
      </c>
      <c r="D7" s="29" t="n">
        <v>5530</v>
      </c>
      <c r="E7" s="64" t="n">
        <v>0</v>
      </c>
      <c r="F7" s="29" t="n">
        <v>1200</v>
      </c>
      <c r="G7" s="29" t="n">
        <v>1200</v>
      </c>
      <c r="H7" s="29" t="n">
        <v>50</v>
      </c>
      <c r="I7" s="29" t="n">
        <v>1250</v>
      </c>
      <c r="J7" s="29" t="n"/>
      <c r="K7" s="29" t="n">
        <v>2661</v>
      </c>
      <c r="L7" s="29" t="n"/>
      <c r="M7" s="158" t="n"/>
      <c r="N7" s="114" t="n"/>
      <c r="O7" s="114" t="n"/>
    </row>
    <row r="8">
      <c r="A8" s="32" t="inlineStr">
        <is>
          <t>101</t>
        </is>
      </c>
      <c r="B8" s="30" t="n">
        <v>101.96</v>
      </c>
      <c r="C8" s="218" t="n">
        <v>103.38</v>
      </c>
      <c r="D8" s="29" t="n">
        <v>1420</v>
      </c>
      <c r="E8" s="64" t="n">
        <v>0</v>
      </c>
      <c r="F8" s="29" t="n">
        <v>1200</v>
      </c>
      <c r="G8" s="29" t="n">
        <v>1200</v>
      </c>
      <c r="H8" s="29" t="n">
        <v>50</v>
      </c>
      <c r="I8" s="29" t="n">
        <v>1250</v>
      </c>
      <c r="J8" s="29" t="n"/>
      <c r="K8" s="29" t="n">
        <v>1576</v>
      </c>
      <c r="L8" s="29" t="n"/>
      <c r="M8" s="158" t="n"/>
      <c r="N8" s="153" t="n"/>
      <c r="O8" s="153" t="n"/>
    </row>
    <row r="9">
      <c r="A9" s="32" t="inlineStr">
        <is>
          <t>102</t>
        </is>
      </c>
      <c r="B9" s="30" t="n">
        <v>643.6900000000001</v>
      </c>
      <c r="C9" s="30" t="n">
        <v>645.49</v>
      </c>
      <c r="D9" s="29" t="n">
        <v>1800</v>
      </c>
      <c r="E9" s="64" t="n">
        <v>0</v>
      </c>
      <c r="F9" s="29" t="n">
        <v>1200</v>
      </c>
      <c r="G9" s="29" t="n">
        <v>1200</v>
      </c>
      <c r="H9" s="29" t="n">
        <v>50</v>
      </c>
      <c r="I9" s="29" t="n">
        <v>1250</v>
      </c>
      <c r="J9" s="29" t="n"/>
      <c r="K9" s="29" t="n">
        <v>1651</v>
      </c>
      <c r="L9" s="29" t="n"/>
      <c r="M9" s="158" t="n"/>
      <c r="N9" s="114" t="n"/>
      <c r="O9" s="213" t="n"/>
    </row>
    <row r="10">
      <c r="A10" s="32" t="inlineStr">
        <is>
          <t>103</t>
        </is>
      </c>
      <c r="B10" s="29" t="n">
        <v>295.38</v>
      </c>
      <c r="C10" s="29" t="n">
        <v>302.63</v>
      </c>
      <c r="D10" s="29" t="n">
        <v>7250</v>
      </c>
      <c r="E10" s="64" t="n">
        <v>0</v>
      </c>
      <c r="F10" s="29" t="n">
        <v>1200</v>
      </c>
      <c r="G10" s="29" t="n">
        <v>1200</v>
      </c>
      <c r="H10" s="29" t="n">
        <v>50</v>
      </c>
      <c r="I10" s="29" t="n">
        <v>1250</v>
      </c>
      <c r="J10" s="29" t="n"/>
      <c r="K10" s="29" t="n">
        <v>2739</v>
      </c>
      <c r="L10" s="29" t="n"/>
      <c r="M10" s="158" t="n"/>
      <c r="N10" s="160" t="n"/>
      <c r="O10" s="213" t="n"/>
    </row>
    <row r="11">
      <c r="A11" s="32" t="inlineStr">
        <is>
          <t>104</t>
        </is>
      </c>
      <c r="B11" s="30" t="n">
        <v>167.28</v>
      </c>
      <c r="C11" s="30" t="n">
        <v>181.12</v>
      </c>
      <c r="D11" s="29" t="n">
        <v>13840</v>
      </c>
      <c r="E11" s="64" t="n">
        <v>0</v>
      </c>
      <c r="F11" s="29" t="n">
        <v>1200</v>
      </c>
      <c r="G11" s="29" t="n">
        <v>1200</v>
      </c>
      <c r="H11" s="29" t="n">
        <v>50</v>
      </c>
      <c r="I11" s="29" t="n">
        <v>1250</v>
      </c>
      <c r="J11" s="29" t="n"/>
      <c r="K11" s="29" t="n">
        <v>4123</v>
      </c>
      <c r="L11" s="29" t="n"/>
      <c r="M11" s="158" t="n"/>
      <c r="N11" s="160" t="n"/>
      <c r="O11" s="213" t="n"/>
    </row>
    <row r="12">
      <c r="A12" s="32" t="inlineStr">
        <is>
          <t>201</t>
        </is>
      </c>
      <c r="B12" s="30" t="n">
        <v>169.23</v>
      </c>
      <c r="C12" s="30" t="n">
        <v>172.13</v>
      </c>
      <c r="D12" s="29" t="n">
        <v>2900</v>
      </c>
      <c r="E12" s="64" t="n">
        <v>0</v>
      </c>
      <c r="F12" s="29" t="n">
        <v>1200</v>
      </c>
      <c r="G12" s="29" t="n">
        <v>1200</v>
      </c>
      <c r="H12" s="29" t="n">
        <v>50</v>
      </c>
      <c r="I12" s="29" t="n">
        <v>1250</v>
      </c>
      <c r="J12" s="29" t="n"/>
      <c r="K12" s="29" t="n">
        <v>1929</v>
      </c>
      <c r="L12" s="29" t="n"/>
      <c r="M12" s="158" t="n"/>
      <c r="N12" s="160" t="n"/>
      <c r="O12" s="213" t="n"/>
    </row>
    <row r="13">
      <c r="A13" s="32" t="inlineStr">
        <is>
          <t>202</t>
        </is>
      </c>
      <c r="B13" s="30" t="n">
        <v>347.75</v>
      </c>
      <c r="C13" s="30" t="n">
        <v>352.53</v>
      </c>
      <c r="D13" s="29" t="n">
        <v>4780</v>
      </c>
      <c r="E13" s="64" t="n">
        <v>0</v>
      </c>
      <c r="F13" s="29" t="n">
        <v>1200</v>
      </c>
      <c r="G13" s="29" t="n">
        <v>1200</v>
      </c>
      <c r="H13" s="29" t="n">
        <v>50</v>
      </c>
      <c r="I13" s="29" t="n">
        <v>1250</v>
      </c>
      <c r="J13" s="29" t="n"/>
      <c r="K13" s="29" t="n">
        <v>2401</v>
      </c>
      <c r="L13" s="29" t="n"/>
      <c r="M13" s="158" t="n"/>
      <c r="N13" s="114" t="n"/>
      <c r="O13" s="213" t="n"/>
    </row>
    <row r="14">
      <c r="A14" s="32" t="inlineStr">
        <is>
          <t>203</t>
        </is>
      </c>
      <c r="B14" s="30" t="n">
        <v>97.29000000000001</v>
      </c>
      <c r="C14" s="30" t="n">
        <v>100.4</v>
      </c>
      <c r="D14" s="29" t="n">
        <v>3110</v>
      </c>
      <c r="E14" s="64" t="n">
        <v>0</v>
      </c>
      <c r="F14" s="29" t="n">
        <v>1200</v>
      </c>
      <c r="G14" s="29" t="n">
        <v>1200</v>
      </c>
      <c r="H14" s="29" t="n">
        <v>50</v>
      </c>
      <c r="I14" s="29" t="n">
        <v>1250</v>
      </c>
      <c r="J14" s="29" t="n"/>
      <c r="K14" s="29" t="n">
        <v>2145</v>
      </c>
      <c r="L14" s="29" t="n"/>
      <c r="M14" s="158" t="n"/>
      <c r="N14" s="216" t="n"/>
      <c r="O14" s="331" t="n"/>
    </row>
    <row r="15">
      <c r="A15" s="32" t="inlineStr">
        <is>
          <t>204</t>
        </is>
      </c>
      <c r="B15" s="30" t="n">
        <v>337.09</v>
      </c>
      <c r="C15" s="30" t="n">
        <v>343.37</v>
      </c>
      <c r="D15" s="29" t="n">
        <v>6280</v>
      </c>
      <c r="E15" s="64" t="n">
        <v>0</v>
      </c>
      <c r="F15" s="29" t="n">
        <v>1200</v>
      </c>
      <c r="G15" s="29" t="n">
        <v>1200</v>
      </c>
      <c r="H15" s="29" t="n">
        <v>50</v>
      </c>
      <c r="I15" s="29" t="n">
        <v>1250</v>
      </c>
      <c r="J15" s="29" t="n"/>
      <c r="K15" s="29" t="n">
        <v>2667</v>
      </c>
      <c r="L15" s="29" t="n"/>
      <c r="M15" s="158" t="n"/>
      <c r="N15" s="114" t="n"/>
      <c r="O15" s="114" t="n"/>
    </row>
    <row r="16">
      <c r="A16" s="32" t="inlineStr">
        <is>
          <t>301</t>
        </is>
      </c>
      <c r="B16" s="30" t="n">
        <v>120.55</v>
      </c>
      <c r="C16" s="30" t="n">
        <v>130.23</v>
      </c>
      <c r="D16" s="29" t="n">
        <v>9680</v>
      </c>
      <c r="E16" s="64" t="n">
        <v>0</v>
      </c>
      <c r="F16" s="29" t="n">
        <v>1200</v>
      </c>
      <c r="G16" s="29" t="n">
        <v>1200</v>
      </c>
      <c r="H16" s="29" t="n">
        <v>50</v>
      </c>
      <c r="I16" s="29" t="n">
        <v>1250</v>
      </c>
      <c r="J16" s="29" t="n"/>
      <c r="K16" s="29" t="n">
        <v>3022</v>
      </c>
      <c r="L16" s="29" t="n"/>
      <c r="M16" s="158" t="n"/>
      <c r="N16" s="160" t="n"/>
      <c r="O16" s="114" t="n"/>
    </row>
    <row r="17">
      <c r="A17" s="32" t="inlineStr">
        <is>
          <t>302</t>
        </is>
      </c>
      <c r="B17" s="30" t="n">
        <v>250.94</v>
      </c>
      <c r="C17" s="30" t="n">
        <v>261.94</v>
      </c>
      <c r="D17" s="29" t="n">
        <v>11000</v>
      </c>
      <c r="E17" s="64" t="n">
        <v>0</v>
      </c>
      <c r="F17" s="29" t="n">
        <v>1200</v>
      </c>
      <c r="G17" s="29" t="n">
        <v>1200</v>
      </c>
      <c r="H17" s="29" t="n">
        <v>50</v>
      </c>
      <c r="I17" s="29" t="n">
        <v>1250</v>
      </c>
      <c r="J17" s="29" t="n"/>
      <c r="K17" s="29" t="n">
        <v>3524</v>
      </c>
      <c r="L17" s="119" t="n"/>
      <c r="M17" s="158" t="n"/>
      <c r="N17" s="217" t="n"/>
      <c r="O17" s="217" t="n"/>
    </row>
    <row r="18">
      <c r="A18" s="32" t="inlineStr">
        <is>
          <t>303</t>
        </is>
      </c>
      <c r="B18" s="29" t="n">
        <v>102.05</v>
      </c>
      <c r="C18" s="29" t="n">
        <v>120.37</v>
      </c>
      <c r="D18" s="29" t="n">
        <v>18320</v>
      </c>
      <c r="E18" s="64" t="n">
        <v>0</v>
      </c>
      <c r="F18" s="29" t="n">
        <v>1200</v>
      </c>
      <c r="G18" s="29" t="n">
        <v>1200</v>
      </c>
      <c r="H18" s="29" t="n">
        <v>50</v>
      </c>
      <c r="I18" s="29" t="n">
        <v>1250</v>
      </c>
      <c r="J18" s="29" t="n"/>
      <c r="K18" s="29" t="n">
        <v>5190</v>
      </c>
      <c r="L18" s="29" t="n"/>
      <c r="M18" s="158" t="n"/>
      <c r="N18" s="160" t="n"/>
      <c r="O18" s="114" t="n"/>
    </row>
    <row r="19">
      <c r="A19" s="32" t="inlineStr">
        <is>
          <t>304</t>
        </is>
      </c>
      <c r="B19" s="30" t="n">
        <v>433.21</v>
      </c>
      <c r="C19" s="30" t="n">
        <v>446.65</v>
      </c>
      <c r="D19" s="29" t="n">
        <v>13440</v>
      </c>
      <c r="E19" s="64" t="n">
        <v>0</v>
      </c>
      <c r="F19" s="29" t="n">
        <v>1200</v>
      </c>
      <c r="G19" s="29" t="n">
        <v>1200</v>
      </c>
      <c r="H19" s="29" t="n">
        <v>50</v>
      </c>
      <c r="I19" s="29" t="n">
        <v>1250</v>
      </c>
      <c r="J19" s="29" t="n"/>
      <c r="K19" s="29" t="n">
        <v>4227</v>
      </c>
      <c r="L19" s="29" t="n"/>
      <c r="M19" s="158" t="n"/>
      <c r="N19" s="114" t="n"/>
      <c r="O19" s="214" t="n"/>
    </row>
    <row r="20">
      <c r="A20" s="29" t="inlineStr">
        <is>
          <t>Common</t>
        </is>
      </c>
      <c r="B20" s="30" t="n">
        <v>445.09</v>
      </c>
      <c r="C20" s="30" t="n">
        <v>457.52</v>
      </c>
      <c r="D20" s="29" t="n">
        <v>12430</v>
      </c>
      <c r="E20" s="64" t="n">
        <v>0</v>
      </c>
      <c r="F20" s="29" t="n">
        <v>0</v>
      </c>
      <c r="G20" s="29" t="n"/>
      <c r="H20" s="29" t="n">
        <v>0</v>
      </c>
      <c r="I20" s="29" t="n">
        <v>0</v>
      </c>
      <c r="J20" s="29" t="n"/>
      <c r="K20" s="29" t="n"/>
      <c r="L20" s="29" t="n"/>
      <c r="M20" s="51" t="n"/>
      <c r="N20" s="114" t="n"/>
      <c r="O20" s="114" t="n"/>
    </row>
    <row r="21">
      <c r="A21" s="29" t="n"/>
      <c r="B21" s="29" t="n"/>
      <c r="C21" s="29" t="n"/>
      <c r="D21" s="29" t="n"/>
      <c r="E21" s="29" t="n"/>
      <c r="F21" s="49" t="n"/>
      <c r="G21" s="49" t="n"/>
      <c r="H21" s="49" t="n">
        <v>800</v>
      </c>
      <c r="I21" s="49" t="n">
        <v>20600</v>
      </c>
      <c r="J21" s="49" t="n">
        <v>0</v>
      </c>
      <c r="K21" s="49" t="n"/>
      <c r="L21" s="49" t="n"/>
      <c r="M21" s="29" t="n"/>
      <c r="N21" s="114" t="n"/>
      <c r="O21" s="121" t="n"/>
    </row>
    <row r="22">
      <c r="A22" s="29" t="n"/>
      <c r="B22" s="29" t="inlineStr">
        <is>
          <t>Total Usage Units</t>
        </is>
      </c>
      <c r="C22" s="29" t="n"/>
      <c r="D22" s="30" t="n">
        <v>131120</v>
      </c>
      <c r="E22" s="202" t="n">
        <v>0</v>
      </c>
      <c r="F22" s="29" t="n"/>
      <c r="G22" s="29" t="n"/>
      <c r="H22" s="29" t="n"/>
      <c r="I22" s="29" t="n"/>
      <c r="J22" s="29" t="n"/>
      <c r="K22" s="29" t="n"/>
      <c r="L22" s="29" t="n"/>
      <c r="M22" s="29" t="n"/>
      <c r="N22" s="152" t="n"/>
      <c r="O22" s="152" t="n"/>
    </row>
    <row r="23" ht="30" customHeight="1" s="366">
      <c r="A23" s="29" t="n"/>
      <c r="B23" s="29" t="inlineStr">
        <is>
          <t>Per Lt cost</t>
        </is>
      </c>
      <c r="C23" s="119" t="inlineStr">
        <is>
          <t>Number of tankers / Number of litters</t>
        </is>
      </c>
      <c r="D23" s="111" t="n">
        <v>0</v>
      </c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114" t="n"/>
      <c r="O23" s="114" t="n"/>
    </row>
    <row r="24" ht="45" customHeight="1" s="366">
      <c r="A24" s="119" t="inlineStr">
        <is>
          <t>Total Water Bill</t>
        </is>
      </c>
      <c r="B24" s="30" t="n">
        <v>0</v>
      </c>
      <c r="C24" s="119" t="inlineStr">
        <is>
          <t>WATER Tankers(0) One Tanker Cost: 1200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24"/>
  <sheetViews>
    <sheetView zoomScale="80" zoomScaleNormal="80" workbookViewId="0">
      <selection activeCell="N15" sqref="N15"/>
    </sheetView>
  </sheetViews>
  <sheetFormatPr baseColWidth="8" defaultRowHeight="15"/>
  <cols>
    <col width="12.140625" bestFit="1" customWidth="1" style="366" min="1" max="1"/>
    <col width="21.28515625" bestFit="1" customWidth="1" style="366" min="2" max="2"/>
    <col width="20.28515625" customWidth="1" style="366" min="3" max="3"/>
    <col width="10" bestFit="1" customWidth="1" style="366" min="4" max="4"/>
    <col width="9" bestFit="1" customWidth="1" style="366" min="5" max="5"/>
    <col width="20.140625" bestFit="1" customWidth="1" style="366" min="6" max="6"/>
    <col width="16.85546875" bestFit="1" customWidth="1" style="366" min="7" max="7"/>
    <col width="15.42578125" bestFit="1" customWidth="1" style="366" min="8" max="8"/>
    <col width="6.7109375" bestFit="1" customWidth="1" style="366" min="9" max="9"/>
    <col width="4.140625" customWidth="1" style="366" min="11" max="11"/>
    <col hidden="1" width="14.28515625" customWidth="1" style="366" min="12" max="12"/>
    <col width="49.28515625" customWidth="1" style="366" min="13" max="13"/>
  </cols>
  <sheetData>
    <row r="1">
      <c r="A1" s="49" t="inlineStr">
        <is>
          <t>Flat Numbers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 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 xml:space="preserve">Topay </t>
        </is>
      </c>
      <c r="J1" s="146" t="inlineStr">
        <is>
          <t>Receive Amount</t>
        </is>
      </c>
      <c r="K1" s="146" t="inlineStr">
        <is>
          <t>Payment Status</t>
        </is>
      </c>
      <c r="L1" s="146" t="inlineStr">
        <is>
          <t>Payment Status</t>
        </is>
      </c>
      <c r="M1" s="154" t="inlineStr">
        <is>
          <t>Balance amount (July)-25</t>
        </is>
      </c>
      <c r="N1" s="215" t="n"/>
    </row>
    <row r="2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 t="n">
        <v>300</v>
      </c>
      <c r="H2" s="29" t="n">
        <v>0</v>
      </c>
      <c r="I2" s="29" t="n">
        <v>300</v>
      </c>
      <c r="J2" s="29" t="n"/>
      <c r="K2" s="29" t="inlineStr"/>
      <c r="L2" s="158" t="n"/>
      <c r="M2" s="148" t="n"/>
      <c r="N2" s="149" t="n"/>
    </row>
    <row r="3">
      <c r="A3" s="72" t="inlineStr">
        <is>
          <t>Shop-2</t>
        </is>
      </c>
      <c r="B3" s="30" t="inlineStr">
        <is>
          <t>NA</t>
        </is>
      </c>
      <c r="C3" s="30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300</v>
      </c>
      <c r="J3" s="29" t="n"/>
      <c r="K3" s="29" t="inlineStr"/>
      <c r="L3" s="158" t="n"/>
      <c r="M3" s="148" t="n"/>
      <c r="N3" s="148" t="n"/>
    </row>
    <row r="4">
      <c r="A4" s="32" t="inlineStr">
        <is>
          <t>G1</t>
        </is>
      </c>
      <c r="B4" s="30" t="n">
        <v>177.59</v>
      </c>
      <c r="C4" s="30" t="n">
        <v>183.63</v>
      </c>
      <c r="D4" s="29" t="n">
        <v>6040</v>
      </c>
      <c r="E4" s="64" t="n">
        <v>0</v>
      </c>
      <c r="F4" s="29" t="n">
        <v>1200</v>
      </c>
      <c r="G4" s="29" t="n">
        <v>1200</v>
      </c>
      <c r="H4" s="29" t="n">
        <v>50</v>
      </c>
      <c r="I4" s="29" t="n">
        <v>1250</v>
      </c>
      <c r="J4" s="29" t="n"/>
      <c r="K4" s="156" t="inlineStr"/>
      <c r="L4" s="158" t="n"/>
      <c r="M4" s="160" t="n"/>
      <c r="N4" s="160" t="n"/>
    </row>
    <row r="5">
      <c r="A5" s="32" t="inlineStr">
        <is>
          <t>G2</t>
        </is>
      </c>
      <c r="B5" s="30" t="n">
        <v>254.47</v>
      </c>
      <c r="C5" s="30" t="n">
        <v>260.68</v>
      </c>
      <c r="D5" s="29" t="n">
        <v>6210</v>
      </c>
      <c r="E5" s="64" t="n">
        <v>0</v>
      </c>
      <c r="F5" s="29" t="n">
        <v>1200</v>
      </c>
      <c r="G5" s="29" t="n">
        <v>1200</v>
      </c>
      <c r="H5" s="29" t="n">
        <v>50</v>
      </c>
      <c r="I5" s="29" t="n">
        <v>1250</v>
      </c>
      <c r="J5" s="29" t="n"/>
      <c r="K5" s="29" t="inlineStr"/>
      <c r="L5" s="158" t="n"/>
      <c r="M5" s="114" t="n"/>
      <c r="N5" s="114" t="n"/>
    </row>
    <row r="6">
      <c r="A6" s="32" t="inlineStr">
        <is>
          <t>G3</t>
        </is>
      </c>
      <c r="B6" s="30" t="n">
        <v>491.65</v>
      </c>
      <c r="C6" s="30" t="n">
        <v>503.49</v>
      </c>
      <c r="D6" s="29" t="n">
        <v>11840</v>
      </c>
      <c r="E6" s="64" t="n">
        <v>0</v>
      </c>
      <c r="F6" s="29" t="n">
        <v>1200</v>
      </c>
      <c r="G6" s="29" t="n">
        <v>1200</v>
      </c>
      <c r="H6" s="29" t="n">
        <v>50</v>
      </c>
      <c r="I6" s="29" t="n">
        <v>1250</v>
      </c>
      <c r="J6" s="29" t="n"/>
      <c r="K6" s="29" t="inlineStr"/>
      <c r="L6" s="158" t="n"/>
      <c r="M6" s="114" t="n"/>
      <c r="N6" s="114" t="n"/>
    </row>
    <row r="7">
      <c r="A7" s="32" t="inlineStr">
        <is>
          <t>G4</t>
        </is>
      </c>
      <c r="B7" s="30" t="n">
        <v>414.2</v>
      </c>
      <c r="C7" s="30" t="n">
        <v>419.93</v>
      </c>
      <c r="D7" s="29" t="n">
        <v>5730</v>
      </c>
      <c r="E7" s="64" t="n">
        <v>0</v>
      </c>
      <c r="F7" s="29" t="n">
        <v>1200</v>
      </c>
      <c r="G7" s="29" t="n">
        <v>1200</v>
      </c>
      <c r="H7" s="29" t="n">
        <v>50</v>
      </c>
      <c r="I7" s="29" t="n">
        <v>1250</v>
      </c>
      <c r="J7" s="29" t="n"/>
      <c r="K7" s="29" t="inlineStr"/>
      <c r="L7" s="158" t="n"/>
      <c r="M7" s="114" t="n"/>
      <c r="N7" s="114" t="n"/>
    </row>
    <row r="8">
      <c r="A8" s="32" t="inlineStr">
        <is>
          <t>101</t>
        </is>
      </c>
      <c r="B8" s="218" t="n">
        <v>103.38</v>
      </c>
      <c r="C8" s="218" t="n">
        <v>105.48</v>
      </c>
      <c r="D8" s="29" t="n">
        <v>2100</v>
      </c>
      <c r="E8" s="64" t="n">
        <v>0</v>
      </c>
      <c r="F8" s="29" t="n">
        <v>1200</v>
      </c>
      <c r="G8" s="29" t="n">
        <v>1200</v>
      </c>
      <c r="H8" s="29" t="n">
        <v>50</v>
      </c>
      <c r="I8" s="29" t="n">
        <v>1250</v>
      </c>
      <c r="J8" s="29" t="n"/>
      <c r="K8" s="29" t="inlineStr"/>
      <c r="L8" s="158" t="n"/>
      <c r="M8" s="153" t="n"/>
      <c r="N8" s="153" t="n"/>
    </row>
    <row r="9">
      <c r="A9" s="32" t="inlineStr">
        <is>
          <t>102</t>
        </is>
      </c>
      <c r="B9" s="30" t="n">
        <v>645.49</v>
      </c>
      <c r="C9" s="30" t="n">
        <v>646.3099999999999</v>
      </c>
      <c r="D9" s="29" t="n">
        <v>820</v>
      </c>
      <c r="E9" s="64" t="n">
        <v>0</v>
      </c>
      <c r="F9" s="29" t="n">
        <v>1200</v>
      </c>
      <c r="G9" s="29" t="n">
        <v>1200</v>
      </c>
      <c r="H9" s="29" t="n">
        <v>50</v>
      </c>
      <c r="I9" s="29" t="n">
        <v>1250</v>
      </c>
      <c r="J9" s="29" t="n"/>
      <c r="K9" s="29" t="inlineStr"/>
      <c r="L9" s="158" t="n"/>
      <c r="M9" s="114" t="n"/>
      <c r="N9" s="213" t="n"/>
    </row>
    <row r="10">
      <c r="A10" s="32" t="inlineStr">
        <is>
          <t>103</t>
        </is>
      </c>
      <c r="B10" s="29" t="n">
        <v>302.63</v>
      </c>
      <c r="C10" s="29" t="n">
        <v>317.71</v>
      </c>
      <c r="D10" s="29" t="n">
        <v>15080</v>
      </c>
      <c r="E10" s="64" t="n">
        <v>0</v>
      </c>
      <c r="F10" s="29" t="n">
        <v>1200</v>
      </c>
      <c r="G10" s="29" t="n">
        <v>1200</v>
      </c>
      <c r="H10" s="29" t="n">
        <v>50</v>
      </c>
      <c r="I10" s="29" t="n">
        <v>1250</v>
      </c>
      <c r="J10" s="29" t="n"/>
      <c r="K10" s="29" t="inlineStr"/>
      <c r="L10" s="158" t="n"/>
      <c r="M10" s="160" t="n"/>
      <c r="N10" s="213" t="n"/>
    </row>
    <row r="11">
      <c r="A11" s="32" t="inlineStr">
        <is>
          <t>104</t>
        </is>
      </c>
      <c r="B11" s="30" t="n">
        <v>181.12</v>
      </c>
      <c r="C11" s="30" t="n">
        <v>196.49</v>
      </c>
      <c r="D11" s="29" t="n">
        <v>15370</v>
      </c>
      <c r="E11" s="64" t="n">
        <v>0</v>
      </c>
      <c r="F11" s="29" t="n">
        <v>1200</v>
      </c>
      <c r="G11" s="29" t="n">
        <v>1200</v>
      </c>
      <c r="H11" s="29" t="n">
        <v>50</v>
      </c>
      <c r="I11" s="29" t="n">
        <v>1250</v>
      </c>
      <c r="J11" s="29" t="n"/>
      <c r="K11" s="29" t="inlineStr"/>
      <c r="L11" s="158" t="n"/>
      <c r="M11" s="160" t="n"/>
      <c r="N11" s="213" t="n"/>
    </row>
    <row r="12">
      <c r="A12" s="32" t="inlineStr">
        <is>
          <t>201</t>
        </is>
      </c>
      <c r="B12" s="30" t="n">
        <v>172.13</v>
      </c>
      <c r="C12" s="30" t="n">
        <v>178.24</v>
      </c>
      <c r="D12" s="29" t="n">
        <v>6110</v>
      </c>
      <c r="E12" s="64" t="n">
        <v>0</v>
      </c>
      <c r="F12" s="29" t="n">
        <v>1200</v>
      </c>
      <c r="G12" s="29" t="n">
        <v>1200</v>
      </c>
      <c r="H12" s="29" t="n">
        <v>50</v>
      </c>
      <c r="I12" s="29" t="n">
        <v>1250</v>
      </c>
      <c r="J12" s="29" t="n"/>
      <c r="K12" s="29" t="inlineStr"/>
      <c r="L12" s="158" t="n"/>
      <c r="M12" s="160" t="n"/>
      <c r="N12" s="213" t="n"/>
    </row>
    <row r="13">
      <c r="A13" s="32" t="inlineStr">
        <is>
          <t>202</t>
        </is>
      </c>
      <c r="B13" s="30" t="n">
        <v>352.53</v>
      </c>
      <c r="C13" s="30" t="n">
        <v>358.92</v>
      </c>
      <c r="D13" s="29" t="n">
        <v>6390</v>
      </c>
      <c r="E13" s="64" t="n">
        <v>0</v>
      </c>
      <c r="F13" s="29" t="n">
        <v>1200</v>
      </c>
      <c r="G13" s="29" t="n">
        <v>1200</v>
      </c>
      <c r="H13" s="29" t="n">
        <v>50</v>
      </c>
      <c r="I13" s="29" t="n">
        <v>1250</v>
      </c>
      <c r="J13" s="29" t="n"/>
      <c r="K13" s="29" t="inlineStr"/>
      <c r="L13" s="158" t="n"/>
      <c r="M13" s="160" t="n"/>
      <c r="N13" s="223" t="n"/>
    </row>
    <row r="14">
      <c r="A14" s="32" t="inlineStr">
        <is>
          <t>203</t>
        </is>
      </c>
      <c r="B14" s="30" t="n">
        <v>100.4</v>
      </c>
      <c r="C14" s="30" t="n">
        <v>110.61</v>
      </c>
      <c r="D14" s="29" t="n">
        <v>10210</v>
      </c>
      <c r="E14" s="64" t="n">
        <v>0</v>
      </c>
      <c r="F14" s="29" t="n">
        <v>1200</v>
      </c>
      <c r="G14" s="29" t="n">
        <v>1200</v>
      </c>
      <c r="H14" s="29" t="n">
        <v>50</v>
      </c>
      <c r="I14" s="29" t="n">
        <v>1250</v>
      </c>
      <c r="J14" s="29" t="n"/>
      <c r="K14" s="29" t="inlineStr"/>
      <c r="L14" s="158" t="n"/>
      <c r="M14" s="114" t="n"/>
      <c r="N14" s="213" t="n"/>
    </row>
    <row r="15">
      <c r="A15" s="32" t="inlineStr">
        <is>
          <t>204</t>
        </is>
      </c>
      <c r="B15" s="30" t="n">
        <v>343.37</v>
      </c>
      <c r="C15" s="30" t="n">
        <v>350.16</v>
      </c>
      <c r="D15" s="29" t="n">
        <v>6790</v>
      </c>
      <c r="E15" s="64" t="n">
        <v>0</v>
      </c>
      <c r="F15" s="29" t="n">
        <v>1200</v>
      </c>
      <c r="G15" s="29" t="n">
        <v>1200</v>
      </c>
      <c r="H15" s="29" t="n">
        <v>50</v>
      </c>
      <c r="I15" s="29" t="n">
        <v>1250</v>
      </c>
      <c r="J15" s="29" t="n"/>
      <c r="K15" s="29" t="inlineStr"/>
      <c r="L15" s="158" t="n"/>
      <c r="M15" s="160" t="n"/>
      <c r="N15" s="214" t="n"/>
    </row>
    <row r="16">
      <c r="A16" s="32" t="inlineStr">
        <is>
          <t>301</t>
        </is>
      </c>
      <c r="B16" s="30" t="n">
        <v>130.23</v>
      </c>
      <c r="C16" s="30" t="n">
        <v>139.39</v>
      </c>
      <c r="D16" s="29" t="n">
        <v>9160</v>
      </c>
      <c r="E16" s="64" t="n">
        <v>0</v>
      </c>
      <c r="F16" s="29" t="n">
        <v>1200</v>
      </c>
      <c r="G16" s="29" t="n">
        <v>1200</v>
      </c>
      <c r="H16" s="29" t="n">
        <v>50</v>
      </c>
      <c r="I16" s="29" t="n">
        <v>1250</v>
      </c>
      <c r="J16" s="29" t="n"/>
      <c r="K16" s="29" t="inlineStr"/>
      <c r="L16" s="158" t="n"/>
      <c r="M16" s="114" t="n"/>
      <c r="N16" s="214" t="n"/>
    </row>
    <row r="17">
      <c r="A17" s="32" t="inlineStr">
        <is>
          <t>302</t>
        </is>
      </c>
      <c r="B17" s="30" t="n">
        <v>261.94</v>
      </c>
      <c r="C17" s="30" t="n">
        <v>271.3</v>
      </c>
      <c r="D17" s="29" t="n">
        <v>9360</v>
      </c>
      <c r="E17" s="64" t="n">
        <v>0</v>
      </c>
      <c r="F17" s="29" t="n">
        <v>1200</v>
      </c>
      <c r="G17" s="29" t="n">
        <v>1200</v>
      </c>
      <c r="H17" s="29" t="n">
        <v>50</v>
      </c>
      <c r="I17" s="29" t="n">
        <v>1250</v>
      </c>
      <c r="J17" s="29" t="n"/>
      <c r="K17" s="119" t="inlineStr"/>
      <c r="L17" s="158" t="n"/>
      <c r="M17" s="160" t="n"/>
      <c r="N17" s="214" t="n"/>
    </row>
    <row r="18">
      <c r="A18" s="32" t="inlineStr">
        <is>
          <t>303</t>
        </is>
      </c>
      <c r="B18" s="29" t="n">
        <v>120.37</v>
      </c>
      <c r="C18" s="29" t="n">
        <v>133.03</v>
      </c>
      <c r="D18" s="29" t="n">
        <v>12660</v>
      </c>
      <c r="E18" s="64" t="n">
        <v>0</v>
      </c>
      <c r="F18" s="29" t="n">
        <v>1200</v>
      </c>
      <c r="G18" s="29" t="n">
        <v>1200</v>
      </c>
      <c r="H18" s="29" t="n">
        <v>50</v>
      </c>
      <c r="I18" s="29" t="n">
        <v>1250</v>
      </c>
      <c r="J18" s="29" t="n"/>
      <c r="K18" s="29" t="inlineStr"/>
      <c r="L18" s="158" t="n"/>
      <c r="M18" s="224" t="n"/>
      <c r="N18" s="214" t="n"/>
    </row>
    <row r="19">
      <c r="A19" s="32" t="inlineStr">
        <is>
          <t>304</t>
        </is>
      </c>
      <c r="B19" s="30" t="n">
        <v>446.65</v>
      </c>
      <c r="C19" s="30" t="n">
        <v>458.08</v>
      </c>
      <c r="D19" s="29" t="n">
        <v>11430</v>
      </c>
      <c r="E19" s="64" t="n">
        <v>0</v>
      </c>
      <c r="F19" s="29" t="n">
        <v>1200</v>
      </c>
      <c r="G19" s="29" t="n">
        <v>1200</v>
      </c>
      <c r="H19" s="29" t="n">
        <v>50</v>
      </c>
      <c r="I19" s="29" t="n">
        <v>1250</v>
      </c>
      <c r="J19" s="29" t="n"/>
      <c r="K19" s="29" t="inlineStr"/>
      <c r="L19" s="158" t="n"/>
      <c r="M19" s="160" t="n"/>
      <c r="N19" s="214" t="n"/>
    </row>
    <row r="20">
      <c r="A20" s="29" t="inlineStr">
        <is>
          <t>Common</t>
        </is>
      </c>
      <c r="B20" s="30" t="n">
        <v>457.52</v>
      </c>
      <c r="C20" s="30" t="n">
        <v>468.88</v>
      </c>
      <c r="D20" s="29" t="n">
        <v>11360</v>
      </c>
      <c r="E20" s="64" t="n">
        <v>0</v>
      </c>
      <c r="F20" s="29" t="n">
        <v>0</v>
      </c>
      <c r="G20" s="29" t="n"/>
      <c r="H20" s="29" t="n">
        <v>0</v>
      </c>
      <c r="I20" s="29" t="n">
        <v>0</v>
      </c>
      <c r="J20" s="29" t="n"/>
      <c r="K20" s="29" t="n"/>
      <c r="L20" s="51" t="n"/>
      <c r="M20" s="114" t="n"/>
      <c r="N20" s="214" t="n"/>
    </row>
    <row r="21">
      <c r="A21" s="29" t="n"/>
      <c r="B21" s="29" t="n"/>
      <c r="C21" s="29" t="n"/>
      <c r="D21" s="29" t="n"/>
      <c r="E21" s="29" t="n"/>
      <c r="F21" s="49" t="n"/>
      <c r="G21" s="49" t="n"/>
      <c r="H21" s="49" t="n">
        <v>800</v>
      </c>
      <c r="I21" s="49" t="n">
        <v>20600</v>
      </c>
      <c r="J21" s="49" t="n">
        <v>0</v>
      </c>
      <c r="K21" s="49" t="n"/>
      <c r="L21" s="29" t="n"/>
      <c r="M21" s="114" t="n"/>
      <c r="N21" s="121" t="n"/>
    </row>
    <row r="22">
      <c r="A22" s="29" t="n"/>
      <c r="B22" s="29" t="inlineStr">
        <is>
          <t>Total Usage Units</t>
        </is>
      </c>
      <c r="C22" s="29" t="n"/>
      <c r="D22" s="30" t="n">
        <v>146660</v>
      </c>
      <c r="E22" s="202" t="n">
        <v>0</v>
      </c>
      <c r="F22" s="29" t="n"/>
      <c r="G22" s="29" t="n"/>
      <c r="H22" s="29" t="n"/>
      <c r="I22" s="29" t="n"/>
      <c r="J22" s="29" t="n"/>
      <c r="K22" s="29" t="n"/>
      <c r="L22" s="29" t="n"/>
      <c r="M22" s="152" t="n"/>
      <c r="N22" s="152" t="n"/>
    </row>
    <row r="23" ht="30" customHeight="1" s="366">
      <c r="A23" s="29" t="n"/>
      <c r="B23" s="29" t="inlineStr">
        <is>
          <t>Per Lt cost</t>
        </is>
      </c>
      <c r="C23" s="119" t="inlineStr">
        <is>
          <t>Number of tankers / Number of litters</t>
        </is>
      </c>
      <c r="D23" s="111" t="n">
        <v>0</v>
      </c>
      <c r="E23" s="29" t="n"/>
      <c r="F23" s="29" t="n"/>
      <c r="G23" s="29" t="n"/>
      <c r="H23" s="29" t="n"/>
      <c r="I23" s="29" t="n"/>
      <c r="J23" s="29" t="n"/>
      <c r="K23" s="29" t="n"/>
      <c r="L23" s="29" t="n"/>
      <c r="M23" s="114" t="n"/>
      <c r="N23" s="114" t="n"/>
    </row>
    <row r="24" ht="30" customHeight="1" s="366">
      <c r="A24" s="119" t="inlineStr">
        <is>
          <t>Total Water Bill</t>
        </is>
      </c>
      <c r="B24" s="30" t="n">
        <v>0</v>
      </c>
      <c r="C24" s="119" t="inlineStr">
        <is>
          <t>WATER Tankers(0) One Tanker Cost: 1200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24"/>
  <sheetViews>
    <sheetView zoomScale="80" zoomScaleNormal="80" workbookViewId="0">
      <selection activeCell="M9" sqref="M9"/>
    </sheetView>
  </sheetViews>
  <sheetFormatPr baseColWidth="8" defaultRowHeight="15"/>
  <cols>
    <col width="12.140625" bestFit="1" customWidth="1" style="366" min="1" max="1"/>
    <col width="21.28515625" bestFit="1" customWidth="1" style="366" min="2" max="2"/>
    <col width="20.28515625" customWidth="1" style="345" min="3" max="3"/>
    <col width="12" customWidth="1" style="366" min="4" max="4"/>
    <col width="9" bestFit="1" customWidth="1" style="366" min="5" max="5"/>
    <col width="20.140625" bestFit="1" customWidth="1" style="366" min="6" max="6"/>
    <col width="16.85546875" bestFit="1" customWidth="1" style="366" min="7" max="7"/>
    <col width="15.42578125" bestFit="1" customWidth="1" style="366" min="8" max="8"/>
    <col width="6.7109375" bestFit="1" customWidth="1" style="366" min="9" max="9"/>
    <col width="4.140625" customWidth="1" style="366" min="11" max="11"/>
    <col hidden="1" width="14.28515625" customWidth="1" style="366" min="12" max="12"/>
    <col width="49.28515625" customWidth="1" style="366" min="13" max="13"/>
  </cols>
  <sheetData>
    <row r="1">
      <c r="A1" s="49" t="inlineStr">
        <is>
          <t>Flat Numbers</t>
        </is>
      </c>
      <c r="B1" s="49" t="inlineStr">
        <is>
          <t>Previous Meter Reading</t>
        </is>
      </c>
      <c r="C1" s="49" t="inlineStr">
        <is>
          <t>Current Meter Reading</t>
        </is>
      </c>
      <c r="D1" s="146" t="inlineStr">
        <is>
          <t>Total Units</t>
        </is>
      </c>
      <c r="E1" s="147" t="inlineStr">
        <is>
          <t>Water Bill</t>
        </is>
      </c>
      <c r="F1" s="146" t="inlineStr">
        <is>
          <t>Common Maintanence</t>
        </is>
      </c>
      <c r="G1" s="146" t="inlineStr">
        <is>
          <t>Total Maintenance</t>
        </is>
      </c>
      <c r="H1" s="146" t="inlineStr">
        <is>
          <t>Garbage Amount</t>
        </is>
      </c>
      <c r="I1" s="146" t="inlineStr">
        <is>
          <t xml:space="preserve">Topay </t>
        </is>
      </c>
      <c r="J1" s="146" t="inlineStr">
        <is>
          <t>Receive Amount</t>
        </is>
      </c>
      <c r="K1" s="146" t="inlineStr">
        <is>
          <t>Payment Status</t>
        </is>
      </c>
      <c r="L1" s="146" t="inlineStr">
        <is>
          <t>Payment Status</t>
        </is>
      </c>
      <c r="M1" s="154" t="inlineStr">
        <is>
          <t>Balance amount (Aug)-25</t>
        </is>
      </c>
      <c r="N1" s="215" t="n"/>
    </row>
    <row r="2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 t="n">
        <v>300</v>
      </c>
      <c r="H2" s="29" t="n">
        <v>0</v>
      </c>
      <c r="I2" s="29" t="n">
        <v>300</v>
      </c>
      <c r="J2" s="29" t="n"/>
      <c r="K2" s="29" t="inlineStr"/>
      <c r="L2" s="158" t="n"/>
      <c r="M2" s="148" t="n"/>
      <c r="N2" s="149" t="n"/>
    </row>
    <row r="3">
      <c r="A3" s="72" t="inlineStr">
        <is>
          <t>Shop-2</t>
        </is>
      </c>
      <c r="B3" s="30" t="inlineStr">
        <is>
          <t>NA</t>
        </is>
      </c>
      <c r="C3" s="2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300</v>
      </c>
      <c r="J3" s="29" t="n"/>
      <c r="K3" s="29" t="inlineStr"/>
      <c r="L3" s="158" t="n"/>
      <c r="M3" s="148" t="n"/>
      <c r="N3" s="148" t="n"/>
    </row>
    <row r="4">
      <c r="A4" s="32" t="inlineStr">
        <is>
          <t>G1</t>
        </is>
      </c>
      <c r="B4" s="225" t="n">
        <v>183.63</v>
      </c>
      <c r="C4" s="232" t="n">
        <v>189.3</v>
      </c>
      <c r="D4" s="228" t="n">
        <v>5670</v>
      </c>
      <c r="E4" s="64" t="n">
        <v>0</v>
      </c>
      <c r="F4" s="29" t="n">
        <v>1200</v>
      </c>
      <c r="G4" s="29" t="n">
        <v>1200</v>
      </c>
      <c r="H4" s="29" t="n">
        <v>50</v>
      </c>
      <c r="I4" s="29" t="n">
        <v>1250</v>
      </c>
      <c r="J4" s="29" t="n"/>
      <c r="K4" s="156" t="inlineStr"/>
      <c r="L4" s="158" t="n"/>
      <c r="M4" s="160" t="n"/>
      <c r="N4" s="160" t="n"/>
    </row>
    <row r="5">
      <c r="A5" s="32" t="inlineStr">
        <is>
          <t>G2</t>
        </is>
      </c>
      <c r="B5" s="225" t="n">
        <v>260.68</v>
      </c>
      <c r="C5" s="232" t="n">
        <v>266.14</v>
      </c>
      <c r="D5" s="228" t="n">
        <v>5460</v>
      </c>
      <c r="E5" s="64" t="n">
        <v>0</v>
      </c>
      <c r="F5" s="29" t="n">
        <v>1200</v>
      </c>
      <c r="G5" s="29" t="n">
        <v>1200</v>
      </c>
      <c r="H5" s="29" t="n">
        <v>50</v>
      </c>
      <c r="I5" s="29" t="n">
        <v>1250</v>
      </c>
      <c r="J5" s="29" t="n"/>
      <c r="K5" s="29" t="inlineStr"/>
      <c r="L5" s="158" t="n"/>
      <c r="M5" s="114" t="n"/>
      <c r="N5" s="114" t="n"/>
    </row>
    <row r="6">
      <c r="A6" s="32" t="inlineStr">
        <is>
          <t>G3</t>
        </is>
      </c>
      <c r="B6" s="225" t="n">
        <v>503.49</v>
      </c>
      <c r="C6" s="232" t="n">
        <v>514.13</v>
      </c>
      <c r="D6" s="228" t="n">
        <v>10640</v>
      </c>
      <c r="E6" s="64" t="n">
        <v>0</v>
      </c>
      <c r="F6" s="29" t="n">
        <v>1200</v>
      </c>
      <c r="G6" s="29" t="n">
        <v>1200</v>
      </c>
      <c r="H6" s="29" t="n">
        <v>50</v>
      </c>
      <c r="I6" s="29" t="n">
        <v>1250</v>
      </c>
      <c r="J6" s="29" t="n"/>
      <c r="K6" s="29" t="inlineStr"/>
      <c r="L6" s="158" t="n"/>
      <c r="M6" s="114" t="n"/>
      <c r="N6" s="114" t="n"/>
    </row>
    <row r="7">
      <c r="A7" s="32" t="inlineStr">
        <is>
          <t>G4</t>
        </is>
      </c>
      <c r="B7" s="225" t="n">
        <v>419.93</v>
      </c>
      <c r="C7" s="232" t="n">
        <v>427</v>
      </c>
      <c r="D7" s="228" t="n">
        <v>7070</v>
      </c>
      <c r="E7" s="64" t="n">
        <v>0</v>
      </c>
      <c r="F7" s="29" t="n">
        <v>1200</v>
      </c>
      <c r="G7" s="29" t="n">
        <v>1200</v>
      </c>
      <c r="H7" s="29" t="n">
        <v>50</v>
      </c>
      <c r="I7" s="29" t="n">
        <v>1250</v>
      </c>
      <c r="J7" s="29" t="n"/>
      <c r="K7" s="29" t="inlineStr"/>
      <c r="L7" s="158" t="n"/>
      <c r="M7" s="114" t="n"/>
      <c r="N7" s="114" t="n"/>
    </row>
    <row r="8">
      <c r="A8" s="32" t="inlineStr">
        <is>
          <t>101</t>
        </is>
      </c>
      <c r="B8" s="226" t="n">
        <v>105.48</v>
      </c>
      <c r="C8" s="232" t="n">
        <v>106.48</v>
      </c>
      <c r="D8" s="228" t="n">
        <v>1000</v>
      </c>
      <c r="E8" s="64" t="n">
        <v>0</v>
      </c>
      <c r="F8" s="29" t="n">
        <v>1200</v>
      </c>
      <c r="G8" s="29" t="n">
        <v>1200</v>
      </c>
      <c r="H8" s="29" t="n">
        <v>50</v>
      </c>
      <c r="I8" s="29" t="n">
        <v>1250</v>
      </c>
      <c r="J8" s="29" t="n"/>
      <c r="K8" s="29" t="inlineStr"/>
      <c r="L8" s="158" t="n"/>
      <c r="M8" s="153" t="n"/>
      <c r="N8" s="153" t="n"/>
    </row>
    <row r="9">
      <c r="A9" s="32" t="inlineStr">
        <is>
          <t>102</t>
        </is>
      </c>
      <c r="B9" s="225" t="n">
        <v>646.3099999999999</v>
      </c>
      <c r="C9" s="232" t="n">
        <v>646.96</v>
      </c>
      <c r="D9" s="228" t="n">
        <v>650</v>
      </c>
      <c r="E9" s="64" t="n">
        <v>0</v>
      </c>
      <c r="F9" s="29" t="n">
        <v>1200</v>
      </c>
      <c r="G9" s="29" t="n">
        <v>1200</v>
      </c>
      <c r="H9" s="29" t="n">
        <v>50</v>
      </c>
      <c r="I9" s="29" t="n">
        <v>1250</v>
      </c>
      <c r="J9" s="29" t="n"/>
      <c r="K9" s="29" t="inlineStr"/>
      <c r="L9" s="158" t="n"/>
      <c r="M9" s="114" t="n"/>
      <c r="N9" s="213" t="n"/>
    </row>
    <row r="10">
      <c r="A10" s="32" t="inlineStr">
        <is>
          <t>103</t>
        </is>
      </c>
      <c r="B10" s="227" t="n">
        <v>317.71</v>
      </c>
      <c r="C10" s="232" t="n">
        <v>324.93</v>
      </c>
      <c r="D10" s="228" t="n">
        <v>7220</v>
      </c>
      <c r="E10" s="64" t="n">
        <v>0</v>
      </c>
      <c r="F10" s="29" t="n">
        <v>1200</v>
      </c>
      <c r="G10" s="29" t="n">
        <v>1200</v>
      </c>
      <c r="H10" s="29" t="n">
        <v>50</v>
      </c>
      <c r="I10" s="29" t="n">
        <v>1250</v>
      </c>
      <c r="J10" s="29" t="n"/>
      <c r="K10" s="29" t="inlineStr"/>
      <c r="L10" s="158" t="n"/>
      <c r="M10" s="160" t="n"/>
      <c r="N10" s="213" t="n"/>
    </row>
    <row r="11">
      <c r="A11" s="32" t="inlineStr">
        <is>
          <t>104</t>
        </is>
      </c>
      <c r="B11" s="225" t="n">
        <v>196.49</v>
      </c>
      <c r="C11" s="232" t="n">
        <v>208.19</v>
      </c>
      <c r="D11" s="228" t="n">
        <v>11700</v>
      </c>
      <c r="E11" s="64" t="n">
        <v>0</v>
      </c>
      <c r="F11" s="29" t="n">
        <v>1200</v>
      </c>
      <c r="G11" s="29" t="n">
        <v>1200</v>
      </c>
      <c r="H11" s="29" t="n">
        <v>50</v>
      </c>
      <c r="I11" s="29" t="n">
        <v>1250</v>
      </c>
      <c r="J11" s="29" t="n"/>
      <c r="K11" s="29" t="inlineStr"/>
      <c r="L11" s="158" t="n"/>
      <c r="M11" s="160" t="n"/>
      <c r="N11" s="213" t="n"/>
    </row>
    <row r="12">
      <c r="A12" s="32" t="inlineStr">
        <is>
          <t>201</t>
        </is>
      </c>
      <c r="B12" s="225" t="n">
        <v>178.24</v>
      </c>
      <c r="C12" s="232" t="n">
        <v>180.97</v>
      </c>
      <c r="D12" s="228" t="n">
        <v>2730</v>
      </c>
      <c r="E12" s="64" t="n">
        <v>0</v>
      </c>
      <c r="F12" s="29" t="n">
        <v>1200</v>
      </c>
      <c r="G12" s="29" t="n">
        <v>1200</v>
      </c>
      <c r="H12" s="29" t="n">
        <v>50</v>
      </c>
      <c r="I12" s="29" t="n">
        <v>1250</v>
      </c>
      <c r="J12" s="29" t="n"/>
      <c r="K12" s="29" t="inlineStr"/>
      <c r="L12" s="158" t="n"/>
      <c r="M12" s="160" t="n"/>
      <c r="N12" s="213" t="n"/>
    </row>
    <row r="13">
      <c r="A13" s="32" t="inlineStr">
        <is>
          <t>202</t>
        </is>
      </c>
      <c r="B13" s="225" t="n">
        <v>358.92</v>
      </c>
      <c r="C13" s="232" t="n">
        <v>365.27</v>
      </c>
      <c r="D13" s="228" t="n">
        <v>6350</v>
      </c>
      <c r="E13" s="64" t="n">
        <v>0</v>
      </c>
      <c r="F13" s="29" t="n">
        <v>1200</v>
      </c>
      <c r="G13" s="29" t="n">
        <v>1200</v>
      </c>
      <c r="H13" s="29" t="n">
        <v>50</v>
      </c>
      <c r="I13" s="29" t="n">
        <v>1250</v>
      </c>
      <c r="J13" s="29" t="n"/>
      <c r="K13" s="29" t="inlineStr"/>
      <c r="L13" s="158" t="n"/>
      <c r="M13" s="114" t="n"/>
      <c r="N13" s="213" t="n"/>
    </row>
    <row r="14">
      <c r="A14" s="32" t="inlineStr">
        <is>
          <t>203</t>
        </is>
      </c>
      <c r="B14" s="225" t="n">
        <v>110.61</v>
      </c>
      <c r="C14" s="232" t="n">
        <v>120.94</v>
      </c>
      <c r="D14" s="228" t="n">
        <v>10330</v>
      </c>
      <c r="E14" s="64" t="n">
        <v>0</v>
      </c>
      <c r="F14" s="29" t="n">
        <v>1200</v>
      </c>
      <c r="G14" s="29" t="n">
        <v>1200</v>
      </c>
      <c r="H14" s="29" t="n">
        <v>50</v>
      </c>
      <c r="I14" s="29" t="n">
        <v>1250</v>
      </c>
      <c r="J14" s="29" t="n"/>
      <c r="K14" s="29" t="inlineStr"/>
      <c r="L14" s="158" t="n"/>
      <c r="M14" s="160" t="n"/>
      <c r="N14" s="214" t="n"/>
    </row>
    <row r="15">
      <c r="A15" s="32" t="inlineStr">
        <is>
          <t>204</t>
        </is>
      </c>
      <c r="B15" s="225" t="n">
        <v>350.16</v>
      </c>
      <c r="C15" s="232" t="n">
        <v>357.09</v>
      </c>
      <c r="D15" s="228" t="n">
        <v>6930</v>
      </c>
      <c r="E15" s="64" t="n">
        <v>0</v>
      </c>
      <c r="F15" s="29" t="n">
        <v>1200</v>
      </c>
      <c r="G15" s="29" t="n">
        <v>1200</v>
      </c>
      <c r="H15" s="29" t="n">
        <v>50</v>
      </c>
      <c r="I15" s="29" t="n">
        <v>1250</v>
      </c>
      <c r="J15" s="29" t="n"/>
      <c r="K15" s="29" t="inlineStr"/>
      <c r="L15" s="158" t="n"/>
      <c r="M15" s="160" t="n"/>
      <c r="N15" s="214" t="n"/>
    </row>
    <row r="16">
      <c r="A16" s="32" t="inlineStr">
        <is>
          <t>301</t>
        </is>
      </c>
      <c r="B16" s="225" t="n">
        <v>139.39</v>
      </c>
      <c r="C16" s="232" t="n">
        <v>145.74</v>
      </c>
      <c r="D16" s="228" t="n">
        <v>6350</v>
      </c>
      <c r="E16" s="64" t="n">
        <v>0</v>
      </c>
      <c r="F16" s="29" t="n">
        <v>1200</v>
      </c>
      <c r="G16" s="29" t="n">
        <v>1200</v>
      </c>
      <c r="H16" s="29" t="n">
        <v>50</v>
      </c>
      <c r="I16" s="29" t="n">
        <v>1250</v>
      </c>
      <c r="J16" s="29" t="n"/>
      <c r="K16" s="29" t="inlineStr"/>
      <c r="L16" s="158" t="n"/>
      <c r="M16" s="114" t="n"/>
      <c r="N16" s="214" t="n"/>
    </row>
    <row r="17">
      <c r="A17" s="32" t="inlineStr">
        <is>
          <t>302</t>
        </is>
      </c>
      <c r="B17" s="225" t="n">
        <v>271.3</v>
      </c>
      <c r="C17" s="232" t="n">
        <v>288.82</v>
      </c>
      <c r="D17" s="228" t="n">
        <v>17520</v>
      </c>
      <c r="E17" s="64" t="n">
        <v>0</v>
      </c>
      <c r="F17" s="29" t="n">
        <v>1200</v>
      </c>
      <c r="G17" s="29" t="n">
        <v>1200</v>
      </c>
      <c r="H17" s="29" t="n">
        <v>50</v>
      </c>
      <c r="I17" s="29" t="n">
        <v>1250</v>
      </c>
      <c r="J17" s="29" t="n"/>
      <c r="K17" s="119" t="inlineStr"/>
      <c r="L17" s="158" t="n"/>
      <c r="M17" s="331" t="n"/>
      <c r="N17" s="214" t="n"/>
    </row>
    <row r="18">
      <c r="A18" s="32" t="inlineStr">
        <is>
          <t>303</t>
        </is>
      </c>
      <c r="B18" s="227" t="n">
        <v>133.03</v>
      </c>
      <c r="C18" s="232" t="n">
        <v>142.57</v>
      </c>
      <c r="D18" s="228" t="n">
        <v>9540</v>
      </c>
      <c r="E18" s="64" t="n">
        <v>0</v>
      </c>
      <c r="F18" s="29" t="n">
        <v>1200</v>
      </c>
      <c r="G18" s="29" t="n">
        <v>1200</v>
      </c>
      <c r="H18" s="29" t="n">
        <v>50</v>
      </c>
      <c r="I18" s="29" t="n">
        <v>1250</v>
      </c>
      <c r="J18" s="29" t="n"/>
      <c r="K18" s="29" t="inlineStr"/>
      <c r="L18" s="158" t="n"/>
      <c r="M18" s="224" t="n"/>
      <c r="N18" s="214" t="n"/>
    </row>
    <row r="19">
      <c r="A19" s="32" t="inlineStr">
        <is>
          <t>304</t>
        </is>
      </c>
      <c r="B19" s="225" t="n">
        <v>458.08</v>
      </c>
      <c r="C19" s="232" t="n">
        <v>468.36</v>
      </c>
      <c r="D19" s="228" t="n">
        <v>10280</v>
      </c>
      <c r="E19" s="64" t="n">
        <v>0</v>
      </c>
      <c r="F19" s="29" t="n">
        <v>1200</v>
      </c>
      <c r="G19" s="29" t="n">
        <v>1200</v>
      </c>
      <c r="H19" s="29" t="n">
        <v>50</v>
      </c>
      <c r="I19" s="29" t="n">
        <v>1250</v>
      </c>
      <c r="J19" s="29" t="n"/>
      <c r="K19" s="29" t="inlineStr"/>
      <c r="L19" s="158" t="n"/>
      <c r="M19" s="160" t="n"/>
      <c r="N19" s="214" t="n"/>
    </row>
    <row r="20">
      <c r="A20" s="29" t="inlineStr">
        <is>
          <t>Common</t>
        </is>
      </c>
      <c r="B20" s="225" t="n">
        <v>468.88</v>
      </c>
      <c r="C20" s="232" t="n">
        <v>480.14</v>
      </c>
      <c r="D20" s="228" t="n">
        <v>11260</v>
      </c>
      <c r="E20" s="64" t="n">
        <v>0</v>
      </c>
      <c r="F20" s="29" t="n">
        <v>0</v>
      </c>
      <c r="G20" s="29" t="n"/>
      <c r="H20" s="29" t="n">
        <v>0</v>
      </c>
      <c r="I20" s="29" t="n">
        <v>0</v>
      </c>
      <c r="J20" s="29" t="n"/>
      <c r="K20" s="29" t="n"/>
      <c r="L20" s="51" t="n"/>
      <c r="M20" s="114" t="n"/>
      <c r="N20" s="214" t="n"/>
    </row>
    <row r="21">
      <c r="A21" s="29" t="n"/>
      <c r="B21" s="29" t="n"/>
      <c r="C21" s="230" t="n"/>
      <c r="D21" s="29" t="n"/>
      <c r="E21" s="29" t="n"/>
      <c r="F21" s="49" t="n"/>
      <c r="G21" s="49" t="n"/>
      <c r="H21" s="49" t="n">
        <v>800</v>
      </c>
      <c r="I21" s="49" t="n">
        <v>20600</v>
      </c>
      <c r="J21" s="49" t="n">
        <v>0</v>
      </c>
      <c r="K21" s="49" t="n"/>
      <c r="L21" s="29" t="n"/>
      <c r="M21" s="114" t="n"/>
      <c r="N21" s="121" t="n"/>
    </row>
    <row r="22">
      <c r="A22" s="29" t="n"/>
      <c r="B22" s="29" t="inlineStr">
        <is>
          <t>Total Usage Units</t>
        </is>
      </c>
      <c r="C22" s="29" t="n"/>
      <c r="D22" s="30" t="n">
        <v>130700</v>
      </c>
      <c r="E22" s="202" t="n">
        <v>0</v>
      </c>
      <c r="F22" s="29" t="n"/>
      <c r="G22" s="29" t="n"/>
      <c r="H22" s="29" t="n"/>
      <c r="I22" s="29" t="n"/>
      <c r="J22" s="29" t="n"/>
      <c r="K22" s="29" t="n"/>
      <c r="L22" s="29" t="n"/>
      <c r="M22" s="152" t="n"/>
      <c r="N22" s="152" t="n"/>
    </row>
    <row r="23" ht="30" customHeight="1" s="366">
      <c r="A23" s="29" t="n"/>
      <c r="B23" s="29" t="inlineStr">
        <is>
          <t>Per Lt cost</t>
        </is>
      </c>
      <c r="C23" s="119" t="inlineStr">
        <is>
          <t>Number of tankers / Number of litters</t>
        </is>
      </c>
      <c r="D23" s="111" t="n">
        <v>0</v>
      </c>
      <c r="E23" s="29" t="n"/>
      <c r="F23" s="29" t="n"/>
      <c r="G23" s="29" t="n"/>
      <c r="H23" s="29" t="n"/>
      <c r="I23" s="29" t="n"/>
      <c r="J23" s="29" t="n"/>
      <c r="K23" s="29" t="n"/>
      <c r="L23" s="29" t="n"/>
      <c r="M23" s="114" t="n"/>
      <c r="N23" s="114" t="n"/>
    </row>
    <row r="24" ht="30" customHeight="1" s="366">
      <c r="A24" s="119" t="inlineStr">
        <is>
          <t>Total Water Bill</t>
        </is>
      </c>
      <c r="B24" s="30" t="n">
        <v>0</v>
      </c>
      <c r="C24" s="119" t="inlineStr">
        <is>
          <t>WATER Tankers(0) One Tanker Cost: 1200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24"/>
  <sheetViews>
    <sheetView zoomScale="76" zoomScaleNormal="80" workbookViewId="0">
      <selection activeCell="N1" sqref="N1"/>
    </sheetView>
  </sheetViews>
  <sheetFormatPr baseColWidth="8" defaultRowHeight="15"/>
  <cols>
    <col width="12.140625" bestFit="1" customWidth="1" style="366" min="1" max="1"/>
    <col width="21.28515625" bestFit="1" customWidth="1" style="366" min="2" max="2"/>
    <col width="20.28515625" customWidth="1" style="345" min="3" max="3"/>
    <col width="12" customWidth="1" style="366" min="4" max="4"/>
    <col width="9" bestFit="1" customWidth="1" style="366" min="5" max="5"/>
    <col width="20.140625" bestFit="1" customWidth="1" style="366" min="6" max="6"/>
    <col width="16.85546875" bestFit="1" customWidth="1" style="366" min="7" max="7"/>
    <col width="15.42578125" bestFit="1" customWidth="1" style="366" min="8" max="8"/>
    <col width="6.7109375" bestFit="1" customWidth="1" style="366" min="9" max="9"/>
    <col width="7.28515625" customWidth="1" style="366" min="10" max="10"/>
    <col width="7.42578125" customWidth="1" style="366" min="11" max="11"/>
    <col width="14.85546875" bestFit="1" customWidth="1" style="366" min="12" max="12"/>
    <col width="27.28515625" customWidth="1" style="366" min="13" max="13"/>
  </cols>
  <sheetData>
    <row r="1" ht="39.6" customHeight="1" s="366">
      <c r="A1" s="261" t="inlineStr">
        <is>
          <t>Flat Numbers</t>
        </is>
      </c>
      <c r="B1" s="261" t="inlineStr">
        <is>
          <t>Previous Meter Reading</t>
        </is>
      </c>
      <c r="C1" s="261" t="inlineStr">
        <is>
          <t>Current Meter Reading</t>
        </is>
      </c>
      <c r="D1" s="262" t="inlineStr">
        <is>
          <t>Total Units</t>
        </is>
      </c>
      <c r="E1" s="263" t="inlineStr">
        <is>
          <t>Water Bill</t>
        </is>
      </c>
      <c r="F1" s="262" t="inlineStr">
        <is>
          <t>Common Maintanence</t>
        </is>
      </c>
      <c r="G1" s="262" t="inlineStr">
        <is>
          <t>Total Maintenance</t>
        </is>
      </c>
      <c r="H1" s="262" t="inlineStr">
        <is>
          <t>Garbage Amount</t>
        </is>
      </c>
      <c r="I1" s="262" t="inlineStr">
        <is>
          <t xml:space="preserve">Topay </t>
        </is>
      </c>
      <c r="J1" s="262" t="inlineStr">
        <is>
          <t>Receive Amount</t>
        </is>
      </c>
      <c r="K1" s="262" t="inlineStr">
        <is>
          <t>Payment Status</t>
        </is>
      </c>
      <c r="L1" s="264" t="inlineStr">
        <is>
          <t>dussara bonus for watch man</t>
        </is>
      </c>
      <c r="M1" s="150" t="inlineStr">
        <is>
          <t>Balance amount (sep)-25</t>
        </is>
      </c>
      <c r="N1" s="265" t="n"/>
    </row>
    <row r="2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 t="n">
        <v>300</v>
      </c>
      <c r="H2" s="29" t="n">
        <v>0</v>
      </c>
      <c r="I2" s="29" t="n">
        <v>300</v>
      </c>
      <c r="J2" s="29" t="n"/>
      <c r="K2" s="29" t="inlineStr"/>
      <c r="L2" s="158" t="n"/>
      <c r="M2" s="148" t="n"/>
      <c r="N2" s="149" t="n"/>
    </row>
    <row r="3">
      <c r="A3" s="72" t="inlineStr">
        <is>
          <t>Shop-2</t>
        </is>
      </c>
      <c r="B3" s="30" t="inlineStr">
        <is>
          <t>NA</t>
        </is>
      </c>
      <c r="C3" s="2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300</v>
      </c>
      <c r="J3" s="29" t="n"/>
      <c r="K3" s="29" t="inlineStr"/>
      <c r="L3" s="158" t="n"/>
      <c r="M3" s="148" t="n"/>
      <c r="N3" s="148" t="n"/>
    </row>
    <row r="4">
      <c r="A4" s="32" t="inlineStr">
        <is>
          <t>G1</t>
        </is>
      </c>
      <c r="B4" s="225" t="n">
        <v>189.3</v>
      </c>
      <c r="C4" s="232" t="n">
        <v>195.15</v>
      </c>
      <c r="D4" s="228" t="n">
        <v>5850</v>
      </c>
      <c r="E4" s="64" t="n">
        <v>0</v>
      </c>
      <c r="F4" s="29" t="n">
        <v>1200</v>
      </c>
      <c r="G4" s="29" t="n">
        <v>1200</v>
      </c>
      <c r="H4" s="29" t="n">
        <v>50</v>
      </c>
      <c r="I4" s="29" t="n">
        <v>1250</v>
      </c>
      <c r="J4" s="29" t="n"/>
      <c r="K4" s="156" t="inlineStr"/>
      <c r="L4" s="158" t="n"/>
      <c r="M4" s="160" t="n"/>
      <c r="N4" s="160" t="n"/>
    </row>
    <row r="5">
      <c r="A5" s="32" t="inlineStr">
        <is>
          <t>G2</t>
        </is>
      </c>
      <c r="B5" s="225" t="n">
        <v>266.14</v>
      </c>
      <c r="C5" s="232" t="n">
        <v>269.71</v>
      </c>
      <c r="D5" s="228" t="n">
        <v>3570</v>
      </c>
      <c r="E5" s="64" t="n">
        <v>0</v>
      </c>
      <c r="F5" s="29" t="n">
        <v>1200</v>
      </c>
      <c r="G5" s="29" t="n">
        <v>1200</v>
      </c>
      <c r="H5" s="29" t="n">
        <v>50</v>
      </c>
      <c r="I5" s="29" t="n">
        <v>1250</v>
      </c>
      <c r="J5" s="29" t="n"/>
      <c r="K5" s="29" t="inlineStr"/>
      <c r="L5" s="158" t="n"/>
      <c r="M5" s="272" t="n"/>
      <c r="N5" s="272" t="n"/>
    </row>
    <row r="6">
      <c r="A6" s="32" t="inlineStr">
        <is>
          <t>G3</t>
        </is>
      </c>
      <c r="B6" s="225" t="n">
        <v>514.13</v>
      </c>
      <c r="C6" s="232" t="n">
        <v>523.61</v>
      </c>
      <c r="D6" s="228" t="n">
        <v>9480</v>
      </c>
      <c r="E6" s="64" t="n">
        <v>0</v>
      </c>
      <c r="F6" s="29" t="n">
        <v>1200</v>
      </c>
      <c r="G6" s="29" t="n">
        <v>1200</v>
      </c>
      <c r="H6" s="29" t="n">
        <v>50</v>
      </c>
      <c r="I6" s="29" t="n">
        <v>1250</v>
      </c>
      <c r="J6" s="29" t="n"/>
      <c r="K6" s="29" t="inlineStr"/>
      <c r="L6" s="158" t="n"/>
      <c r="M6" s="114" t="n"/>
      <c r="N6" s="213" t="n"/>
    </row>
    <row r="7">
      <c r="A7" s="32" t="inlineStr">
        <is>
          <t>G4</t>
        </is>
      </c>
      <c r="B7" s="225" t="n">
        <v>427</v>
      </c>
      <c r="C7" s="232" t="n">
        <v>434.12</v>
      </c>
      <c r="D7" s="228" t="n">
        <v>7120</v>
      </c>
      <c r="E7" s="64" t="n">
        <v>0</v>
      </c>
      <c r="F7" s="29" t="n">
        <v>1200</v>
      </c>
      <c r="G7" s="29" t="n">
        <v>1200</v>
      </c>
      <c r="H7" s="29" t="n">
        <v>50</v>
      </c>
      <c r="I7" s="29" t="n">
        <v>1250</v>
      </c>
      <c r="J7" s="29" t="n"/>
      <c r="K7" s="29" t="inlineStr"/>
      <c r="L7" s="158" t="n"/>
      <c r="M7" s="160" t="n"/>
      <c r="N7" s="213" t="n"/>
    </row>
    <row r="8">
      <c r="A8" s="32" t="inlineStr">
        <is>
          <t>101</t>
        </is>
      </c>
      <c r="B8" s="226" t="n">
        <v>106.48</v>
      </c>
      <c r="C8" s="232" t="n">
        <v>107.67</v>
      </c>
      <c r="D8" s="228" t="n">
        <v>1190</v>
      </c>
      <c r="E8" s="64" t="n">
        <v>0</v>
      </c>
      <c r="F8" s="29" t="n">
        <v>1200</v>
      </c>
      <c r="G8" s="29" t="n">
        <v>1200</v>
      </c>
      <c r="H8" s="29" t="n">
        <v>50</v>
      </c>
      <c r="I8" s="29" t="n">
        <v>1250</v>
      </c>
      <c r="J8" s="29" t="n"/>
      <c r="K8" s="29" t="inlineStr"/>
      <c r="L8" s="158" t="n"/>
      <c r="M8" s="160" t="n"/>
      <c r="N8" s="213" t="n"/>
    </row>
    <row r="9">
      <c r="A9" s="32" t="inlineStr">
        <is>
          <t>102</t>
        </is>
      </c>
      <c r="B9" s="225" t="n">
        <v>646.96</v>
      </c>
      <c r="C9" s="232" t="n">
        <v>648.17</v>
      </c>
      <c r="D9" s="228" t="n">
        <v>1210</v>
      </c>
      <c r="E9" s="64" t="n">
        <v>0</v>
      </c>
      <c r="F9" s="29" t="n">
        <v>1200</v>
      </c>
      <c r="G9" s="29" t="n">
        <v>1200</v>
      </c>
      <c r="H9" s="29" t="n">
        <v>50</v>
      </c>
      <c r="I9" s="29" t="n">
        <v>1250</v>
      </c>
      <c r="J9" s="29" t="n"/>
      <c r="K9" s="29" t="inlineStr"/>
      <c r="L9" s="158" t="n"/>
      <c r="M9" s="160" t="n"/>
      <c r="N9" s="213" t="n"/>
    </row>
    <row r="10">
      <c r="A10" s="32" t="inlineStr">
        <is>
          <t>103</t>
        </is>
      </c>
      <c r="B10" s="227" t="n">
        <v>324.93</v>
      </c>
      <c r="C10" s="232" t="n">
        <v>331.49</v>
      </c>
      <c r="D10" s="228" t="n">
        <v>6560</v>
      </c>
      <c r="E10" s="64" t="n">
        <v>0</v>
      </c>
      <c r="F10" s="29" t="n">
        <v>1200</v>
      </c>
      <c r="G10" s="29" t="n">
        <v>1200</v>
      </c>
      <c r="H10" s="29" t="n">
        <v>50</v>
      </c>
      <c r="I10" s="29" t="n">
        <v>1250</v>
      </c>
      <c r="J10" s="29" t="n"/>
      <c r="K10" s="29" t="inlineStr"/>
      <c r="L10" s="158" t="n"/>
      <c r="M10" s="114" t="n"/>
      <c r="N10" s="213" t="n"/>
    </row>
    <row r="11">
      <c r="A11" s="32" t="inlineStr">
        <is>
          <t>104</t>
        </is>
      </c>
      <c r="B11" s="225" t="n">
        <v>208.19</v>
      </c>
      <c r="C11" s="232" t="n">
        <v>218.38</v>
      </c>
      <c r="D11" s="228" t="n">
        <v>10190</v>
      </c>
      <c r="E11" s="64" t="n">
        <v>0</v>
      </c>
      <c r="F11" s="29" t="n">
        <v>1200</v>
      </c>
      <c r="G11" s="29" t="n">
        <v>1200</v>
      </c>
      <c r="H11" s="29" t="n">
        <v>50</v>
      </c>
      <c r="I11" s="29" t="n">
        <v>1250</v>
      </c>
      <c r="J11" s="29" t="n"/>
      <c r="K11" s="29" t="inlineStr"/>
      <c r="L11" s="158" t="n"/>
      <c r="M11" s="160" t="n"/>
      <c r="N11" s="214" t="n"/>
    </row>
    <row r="12">
      <c r="A12" s="32" t="inlineStr">
        <is>
          <t>201</t>
        </is>
      </c>
      <c r="B12" s="225" t="n">
        <v>180.97</v>
      </c>
      <c r="C12" s="232" t="n">
        <v>186.16</v>
      </c>
      <c r="D12" s="228" t="n">
        <v>5190</v>
      </c>
      <c r="E12" s="64" t="n">
        <v>0</v>
      </c>
      <c r="F12" s="29" t="n">
        <v>1200</v>
      </c>
      <c r="G12" s="29" t="n">
        <v>1200</v>
      </c>
      <c r="H12" s="29" t="n">
        <v>50</v>
      </c>
      <c r="I12" s="29" t="n">
        <v>1250</v>
      </c>
      <c r="J12" s="29" t="n"/>
      <c r="K12" s="29" t="inlineStr"/>
      <c r="L12" s="158" t="n"/>
      <c r="M12" s="160" t="n"/>
      <c r="N12" s="214" t="n"/>
    </row>
    <row r="13">
      <c r="A13" s="32" t="inlineStr">
        <is>
          <t>202</t>
        </is>
      </c>
      <c r="B13" s="225" t="n">
        <v>365.27</v>
      </c>
      <c r="C13" s="232" t="n">
        <v>371.37</v>
      </c>
      <c r="D13" s="228" t="n">
        <v>6100</v>
      </c>
      <c r="E13" s="64" t="n">
        <v>0</v>
      </c>
      <c r="F13" s="29" t="n">
        <v>1200</v>
      </c>
      <c r="G13" s="29" t="n">
        <v>1200</v>
      </c>
      <c r="H13" s="29" t="n">
        <v>50</v>
      </c>
      <c r="I13" s="29" t="n">
        <v>1250</v>
      </c>
      <c r="J13" s="29" t="n"/>
      <c r="K13" s="29" t="inlineStr"/>
      <c r="L13" s="158" t="n"/>
      <c r="M13" s="114" t="n"/>
      <c r="N13" s="214" t="n"/>
    </row>
    <row r="14">
      <c r="A14" s="32" t="inlineStr">
        <is>
          <t>203</t>
        </is>
      </c>
      <c r="B14" s="225" t="n">
        <v>120.94</v>
      </c>
      <c r="C14" s="232" t="n">
        <v>128.87</v>
      </c>
      <c r="D14" s="228" t="n">
        <v>7930</v>
      </c>
      <c r="E14" s="64" t="n">
        <v>0</v>
      </c>
      <c r="F14" s="29" t="n">
        <v>1200</v>
      </c>
      <c r="G14" s="29" t="n">
        <v>1200</v>
      </c>
      <c r="H14" s="29" t="n">
        <v>50</v>
      </c>
      <c r="I14" s="29" t="n">
        <v>1250</v>
      </c>
      <c r="J14" s="29" t="n"/>
      <c r="K14" s="29" t="inlineStr"/>
      <c r="L14" s="158" t="n"/>
      <c r="M14" s="254" t="n"/>
      <c r="N14" s="214" t="n"/>
    </row>
    <row r="15">
      <c r="A15" s="32" t="inlineStr">
        <is>
          <t>204</t>
        </is>
      </c>
      <c r="B15" s="225" t="n">
        <v>357.09</v>
      </c>
      <c r="C15" s="232" t="n">
        <v>362.78</v>
      </c>
      <c r="D15" s="228" t="n">
        <v>5690</v>
      </c>
      <c r="E15" s="64" t="n">
        <v>0</v>
      </c>
      <c r="F15" s="29" t="n">
        <v>1200</v>
      </c>
      <c r="G15" s="29" t="n">
        <v>1200</v>
      </c>
      <c r="H15" s="29" t="n">
        <v>50</v>
      </c>
      <c r="I15" s="29" t="n">
        <v>1250</v>
      </c>
      <c r="J15" s="29" t="n"/>
      <c r="K15" s="29" t="inlineStr"/>
      <c r="L15" s="158" t="n"/>
      <c r="M15" s="224" t="n"/>
      <c r="N15" s="214" t="n"/>
    </row>
    <row r="16">
      <c r="A16" s="32" t="inlineStr">
        <is>
          <t>301</t>
        </is>
      </c>
      <c r="B16" s="225" t="n">
        <v>145.74</v>
      </c>
      <c r="C16" s="232" t="n">
        <v>150.06</v>
      </c>
      <c r="D16" s="228" t="n">
        <v>4320</v>
      </c>
      <c r="E16" s="64" t="n">
        <v>0</v>
      </c>
      <c r="F16" s="29" t="n">
        <v>1200</v>
      </c>
      <c r="G16" s="29" t="n">
        <v>1200</v>
      </c>
      <c r="H16" s="29" t="n">
        <v>50</v>
      </c>
      <c r="I16" s="29" t="n">
        <v>1250</v>
      </c>
      <c r="J16" s="29" t="n"/>
      <c r="K16" s="29" t="inlineStr"/>
      <c r="L16" s="158" t="n"/>
      <c r="M16" s="160" t="n"/>
      <c r="N16" s="214" t="n"/>
    </row>
    <row r="17">
      <c r="A17" s="32" t="inlineStr">
        <is>
          <t>302</t>
        </is>
      </c>
      <c r="B17" s="225" t="n">
        <v>288.82</v>
      </c>
      <c r="C17" s="232" t="n">
        <v>298.43</v>
      </c>
      <c r="D17" s="228" t="n">
        <v>9610</v>
      </c>
      <c r="E17" s="64" t="n">
        <v>0</v>
      </c>
      <c r="F17" s="29" t="n">
        <v>1200</v>
      </c>
      <c r="G17" s="29" t="n">
        <v>1200</v>
      </c>
      <c r="H17" s="29" t="n">
        <v>50</v>
      </c>
      <c r="I17" s="29" t="n">
        <v>1250</v>
      </c>
      <c r="J17" s="29" t="n"/>
      <c r="K17" s="119" t="inlineStr"/>
      <c r="L17" s="158" t="n"/>
      <c r="M17" s="114" t="n"/>
      <c r="N17" s="214" t="n"/>
    </row>
    <row r="18">
      <c r="A18" s="32" t="inlineStr">
        <is>
          <t>303</t>
        </is>
      </c>
      <c r="B18" s="227" t="n">
        <v>142.57</v>
      </c>
      <c r="C18" s="232" t="n">
        <v>152.01</v>
      </c>
      <c r="D18" s="228" t="n">
        <v>9440</v>
      </c>
      <c r="E18" s="64" t="n">
        <v>0</v>
      </c>
      <c r="F18" s="29" t="n">
        <v>1200</v>
      </c>
      <c r="G18" s="29" t="n">
        <v>1200</v>
      </c>
      <c r="H18" s="29" t="n">
        <v>50</v>
      </c>
      <c r="I18" s="29" t="n">
        <v>1250</v>
      </c>
      <c r="J18" s="29" t="n"/>
      <c r="K18" s="29" t="inlineStr"/>
      <c r="L18" s="158" t="n"/>
      <c r="M18" s="114" t="n"/>
      <c r="N18" s="258" t="n"/>
    </row>
    <row r="19">
      <c r="A19" s="32" t="inlineStr">
        <is>
          <t>304</t>
        </is>
      </c>
      <c r="B19" s="225" t="n">
        <v>468.36</v>
      </c>
      <c r="C19" s="232" t="n">
        <v>479.68</v>
      </c>
      <c r="D19" s="228" t="n">
        <v>11320</v>
      </c>
      <c r="E19" s="64" t="n">
        <v>0</v>
      </c>
      <c r="F19" s="29" t="n">
        <v>1200</v>
      </c>
      <c r="G19" s="29" t="n">
        <v>1200</v>
      </c>
      <c r="H19" s="29" t="n">
        <v>50</v>
      </c>
      <c r="I19" s="29" t="n">
        <v>1250</v>
      </c>
      <c r="J19" s="29" t="n"/>
      <c r="K19" s="29" t="inlineStr"/>
      <c r="L19" s="158" t="n"/>
      <c r="M19" s="256" t="n"/>
      <c r="N19" s="259" t="n"/>
    </row>
    <row r="20">
      <c r="A20" s="29" t="inlineStr">
        <is>
          <t>Common</t>
        </is>
      </c>
      <c r="B20" s="225" t="n">
        <v>480.14</v>
      </c>
      <c r="C20" s="232" t="n">
        <v>490.08</v>
      </c>
      <c r="D20" s="228" t="n">
        <v>9940</v>
      </c>
      <c r="E20" s="64" t="n">
        <v>0</v>
      </c>
      <c r="F20" s="29" t="n">
        <v>0</v>
      </c>
      <c r="G20" s="29" t="n"/>
      <c r="H20" s="29" t="n">
        <v>0</v>
      </c>
      <c r="I20" s="29" t="n">
        <v>0</v>
      </c>
      <c r="J20" s="29" t="n"/>
      <c r="K20" s="29" t="n"/>
      <c r="L20" s="255" t="n"/>
      <c r="M20" s="231" t="n"/>
      <c r="N20" s="260" t="n"/>
    </row>
    <row r="21">
      <c r="A21" s="29" t="n"/>
      <c r="B21" s="29" t="n"/>
      <c r="C21" s="230" t="n"/>
      <c r="D21" s="29" t="n"/>
      <c r="E21" s="29" t="n"/>
      <c r="F21" s="49" t="n"/>
      <c r="G21" s="49" t="n"/>
      <c r="H21" s="49" t="n">
        <v>800</v>
      </c>
      <c r="I21" s="49" t="n">
        <v>20600</v>
      </c>
      <c r="J21" s="49" t="n">
        <v>0</v>
      </c>
      <c r="K21" s="49" t="n"/>
      <c r="L21" s="227" t="n"/>
      <c r="M21" s="231" t="n"/>
      <c r="N21" s="260" t="n"/>
    </row>
    <row r="22">
      <c r="A22" s="29" t="n"/>
      <c r="B22" s="29" t="inlineStr">
        <is>
          <t>Total Usage Units</t>
        </is>
      </c>
      <c r="C22" s="29" t="n"/>
      <c r="D22" s="30" t="n">
        <v>114710</v>
      </c>
      <c r="E22" s="202" t="n">
        <v>0</v>
      </c>
      <c r="F22" s="29" t="n"/>
      <c r="G22" s="29" t="n"/>
      <c r="H22" s="29" t="n"/>
      <c r="I22" s="29" t="n"/>
      <c r="J22" s="29" t="n"/>
      <c r="K22" s="29" t="n"/>
      <c r="L22" s="227" t="n"/>
      <c r="M22" s="231" t="n"/>
      <c r="N22" s="231" t="n"/>
    </row>
    <row r="23" ht="30" customHeight="1" s="366">
      <c r="A23" s="29" t="n"/>
      <c r="B23" s="29" t="inlineStr">
        <is>
          <t>Per Lt cost</t>
        </is>
      </c>
      <c r="C23" s="119" t="inlineStr">
        <is>
          <t>Number of tankers / Number of litters</t>
        </is>
      </c>
      <c r="D23" s="111" t="n">
        <v>0</v>
      </c>
      <c r="E23" s="29" t="n"/>
      <c r="F23" s="29" t="n"/>
      <c r="G23" s="29" t="n"/>
      <c r="H23" s="29" t="n"/>
      <c r="I23" s="29" t="n"/>
      <c r="J23" s="29" t="n"/>
      <c r="K23" s="29" t="n"/>
      <c r="L23" s="29" t="n"/>
      <c r="M23" s="257" t="n"/>
      <c r="N23" s="257" t="n"/>
    </row>
    <row r="24" ht="30" customHeight="1" s="366">
      <c r="A24" s="119" t="inlineStr">
        <is>
          <t>Total Water Bill</t>
        </is>
      </c>
      <c r="B24" s="30" t="n">
        <v>0</v>
      </c>
      <c r="C24" s="119" t="inlineStr">
        <is>
          <t>WATER Tankers(0) One Tanker Cost: 1200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4"/>
  <sheetViews>
    <sheetView tabSelected="1" zoomScale="74" workbookViewId="0">
      <selection activeCell="J9" sqref="J9"/>
    </sheetView>
  </sheetViews>
  <sheetFormatPr baseColWidth="8" defaultColWidth="10" defaultRowHeight="15"/>
  <cols>
    <col width="16.28515625" bestFit="1" customWidth="1" style="366" min="2" max="2"/>
    <col width="19.7109375" customWidth="1" style="345" min="3" max="3"/>
    <col width="11.28515625" bestFit="1" customWidth="1" style="366" min="4" max="4"/>
    <col width="9.85546875" bestFit="1" customWidth="1" style="366" min="5" max="5"/>
    <col width="12.7109375" bestFit="1" customWidth="1" style="366" min="6" max="7"/>
    <col width="8.42578125" bestFit="1" customWidth="1" style="366" min="8" max="8"/>
    <col width="7.140625" bestFit="1" customWidth="1" style="366" min="9" max="9"/>
    <col width="8.5703125" bestFit="1" customWidth="1" style="366" min="10" max="10"/>
    <col width="8.85546875" bestFit="1" customWidth="1" style="366" min="11" max="11"/>
    <col width="28.5703125" bestFit="1" customWidth="1" style="366" min="12" max="12"/>
    <col width="8.42578125" bestFit="1" customWidth="1" style="366" min="13" max="13"/>
    <col width="25" bestFit="1" customWidth="1" style="366" min="15" max="15"/>
  </cols>
  <sheetData>
    <row r="1" ht="39.6" customHeight="1" s="366">
      <c r="A1" s="261" t="inlineStr">
        <is>
          <t>Flat Numbers</t>
        </is>
      </c>
      <c r="B1" s="261" t="inlineStr">
        <is>
          <t>Previous Meter Reading</t>
        </is>
      </c>
      <c r="C1" s="261" t="inlineStr">
        <is>
          <t>Current Meter Reading</t>
        </is>
      </c>
      <c r="D1" s="262" t="inlineStr">
        <is>
          <t>Total Units</t>
        </is>
      </c>
      <c r="E1" s="263" t="inlineStr">
        <is>
          <t>Water Bill</t>
        </is>
      </c>
      <c r="F1" s="262" t="inlineStr">
        <is>
          <t>Common Maintanence</t>
        </is>
      </c>
      <c r="G1" s="262" t="inlineStr">
        <is>
          <t>Total Maintenance</t>
        </is>
      </c>
      <c r="H1" s="262" t="inlineStr">
        <is>
          <t>Garbage Amount</t>
        </is>
      </c>
      <c r="I1" s="262" t="inlineStr">
        <is>
          <t xml:space="preserve">Topay </t>
        </is>
      </c>
      <c r="J1" s="262" t="inlineStr">
        <is>
          <t>Receive Amount</t>
        </is>
      </c>
      <c r="K1" s="262" t="inlineStr">
        <is>
          <t>Payment Status</t>
        </is>
      </c>
      <c r="L1" s="150" t="inlineStr">
        <is>
          <t>Balance amount (Oct)-25</t>
        </is>
      </c>
      <c r="M1" s="265" t="n">
        <v>12058</v>
      </c>
    </row>
    <row r="2">
      <c r="A2" s="72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64" t="inlineStr">
        <is>
          <t>NA</t>
        </is>
      </c>
      <c r="F2" s="29" t="n">
        <v>300</v>
      </c>
      <c r="G2" s="29" t="n">
        <v>300</v>
      </c>
      <c r="H2" s="29" t="n">
        <v>0</v>
      </c>
      <c r="I2" s="29" t="n">
        <v>300</v>
      </c>
      <c r="J2" s="29" t="n"/>
      <c r="K2" s="29" t="inlineStr">
        <is>
          <t>Paid</t>
        </is>
      </c>
      <c r="L2" s="148" t="n"/>
      <c r="M2" s="149" t="n"/>
    </row>
    <row r="3">
      <c r="A3" s="72" t="inlineStr">
        <is>
          <t>Shop-2</t>
        </is>
      </c>
      <c r="B3" s="30" t="inlineStr">
        <is>
          <t>NA</t>
        </is>
      </c>
      <c r="C3" s="229" t="inlineStr">
        <is>
          <t>NA</t>
        </is>
      </c>
      <c r="D3" s="29" t="inlineStr">
        <is>
          <t>NA</t>
        </is>
      </c>
      <c r="E3" s="64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300</v>
      </c>
      <c r="J3" s="29" t="n"/>
      <c r="K3" s="29" t="inlineStr">
        <is>
          <t>Paid</t>
        </is>
      </c>
      <c r="L3" s="148" t="n"/>
      <c r="M3" s="148" t="n"/>
    </row>
    <row r="4">
      <c r="A4" s="32" t="inlineStr">
        <is>
          <t>G1</t>
        </is>
      </c>
      <c r="B4" s="232" t="n">
        <v>195.15</v>
      </c>
      <c r="C4" s="232" t="n">
        <v>198.03</v>
      </c>
      <c r="D4" s="228" t="n">
        <v>2880</v>
      </c>
      <c r="E4" s="64" t="n">
        <v>0</v>
      </c>
      <c r="F4" s="29" t="n">
        <v>1200</v>
      </c>
      <c r="G4" s="29" t="n">
        <v>1200</v>
      </c>
      <c r="H4" s="29" t="n">
        <v>50</v>
      </c>
      <c r="I4" s="29" t="n">
        <v>1250</v>
      </c>
      <c r="J4" s="29" t="n"/>
      <c r="K4" s="156" t="inlineStr">
        <is>
          <t>Paid</t>
        </is>
      </c>
      <c r="L4" s="160" t="n"/>
      <c r="M4" s="160" t="n"/>
    </row>
    <row r="5">
      <c r="A5" s="32" t="inlineStr">
        <is>
          <t>G2</t>
        </is>
      </c>
      <c r="B5" s="232" t="n">
        <v>269.71</v>
      </c>
      <c r="C5" s="232" t="n">
        <v>274.22</v>
      </c>
      <c r="D5" s="228" t="n">
        <v>4510</v>
      </c>
      <c r="E5" s="64" t="n">
        <v>0</v>
      </c>
      <c r="F5" s="29" t="n">
        <v>1200</v>
      </c>
      <c r="G5" s="29" t="n">
        <v>1200</v>
      </c>
      <c r="H5" s="29" t="n">
        <v>50</v>
      </c>
      <c r="I5" s="29" t="n">
        <v>1250</v>
      </c>
      <c r="J5" s="29" t="n"/>
      <c r="K5" s="29" t="inlineStr">
        <is>
          <t>Paid</t>
        </is>
      </c>
      <c r="L5" s="272" t="n"/>
      <c r="M5" s="272" t="n"/>
      <c r="O5" s="374" t="n"/>
    </row>
    <row r="6">
      <c r="A6" s="32" t="inlineStr">
        <is>
          <t>G3</t>
        </is>
      </c>
      <c r="B6" s="232" t="n">
        <v>523.61</v>
      </c>
      <c r="C6" s="232" t="n">
        <v>535.33</v>
      </c>
      <c r="D6" s="228" t="n">
        <v>11720</v>
      </c>
      <c r="E6" s="64" t="n">
        <v>0</v>
      </c>
      <c r="F6" s="29" t="n">
        <v>1200</v>
      </c>
      <c r="G6" s="29" t="n">
        <v>1200</v>
      </c>
      <c r="H6" s="29" t="n">
        <v>50</v>
      </c>
      <c r="I6" s="29" t="n">
        <v>1250</v>
      </c>
      <c r="J6" s="29" t="n"/>
      <c r="K6" s="29" t="inlineStr">
        <is>
          <t>Paid</t>
        </is>
      </c>
      <c r="L6" s="114" t="n"/>
      <c r="M6" s="160" t="n"/>
      <c r="O6" s="274" t="n"/>
      <c r="P6" s="275" t="n"/>
      <c r="Q6" s="233" t="n"/>
    </row>
    <row r="7">
      <c r="A7" s="32" t="inlineStr">
        <is>
          <t>G4</t>
        </is>
      </c>
      <c r="B7" s="232" t="n">
        <v>434.12</v>
      </c>
      <c r="C7" s="232" t="n">
        <v>442.87</v>
      </c>
      <c r="D7" s="228" t="n">
        <v>8750</v>
      </c>
      <c r="E7" s="64" t="n">
        <v>0</v>
      </c>
      <c r="F7" s="29" t="n">
        <v>1200</v>
      </c>
      <c r="G7" s="29" t="n">
        <v>1200</v>
      </c>
      <c r="H7" s="29" t="n">
        <v>50</v>
      </c>
      <c r="I7" s="29" t="n">
        <v>1250</v>
      </c>
      <c r="J7" s="29" t="n"/>
      <c r="K7" s="29" t="inlineStr">
        <is>
          <t>Paid</t>
        </is>
      </c>
      <c r="L7" s="160" t="n"/>
      <c r="M7" s="160" t="n"/>
      <c r="O7" s="231" t="n"/>
      <c r="P7" s="231" t="n"/>
      <c r="Q7" s="233" t="n"/>
    </row>
    <row r="8">
      <c r="A8" s="32" t="inlineStr">
        <is>
          <t>101</t>
        </is>
      </c>
      <c r="B8" s="232" t="n">
        <v>107.67</v>
      </c>
      <c r="C8" s="232" t="n">
        <v>108.72</v>
      </c>
      <c r="D8" s="228" t="n">
        <v>1050</v>
      </c>
      <c r="E8" s="64" t="n">
        <v>0</v>
      </c>
      <c r="F8" s="29" t="n">
        <v>1200</v>
      </c>
      <c r="G8" s="29" t="n">
        <v>1200</v>
      </c>
      <c r="H8" s="29" t="n">
        <v>50</v>
      </c>
      <c r="I8" s="29" t="n">
        <v>1250</v>
      </c>
      <c r="J8" s="29" t="n"/>
      <c r="K8" s="29" t="inlineStr">
        <is>
          <t>Paid</t>
        </is>
      </c>
      <c r="L8" s="160" t="n"/>
      <c r="M8" s="160" t="n"/>
      <c r="O8" s="231" t="n"/>
      <c r="P8" s="231" t="n"/>
      <c r="Q8" s="233" t="n"/>
    </row>
    <row r="9">
      <c r="A9" s="32" t="inlineStr">
        <is>
          <t>102</t>
        </is>
      </c>
      <c r="B9" s="232" t="n">
        <v>648.17</v>
      </c>
      <c r="C9" s="232" t="n">
        <v>655.98</v>
      </c>
      <c r="D9" s="228" t="n">
        <v>7810</v>
      </c>
      <c r="E9" s="64" t="n">
        <v>0</v>
      </c>
      <c r="F9" s="29" t="n">
        <v>1200</v>
      </c>
      <c r="G9" s="29" t="n">
        <v>1200</v>
      </c>
      <c r="H9" s="29" t="n">
        <v>50</v>
      </c>
      <c r="I9" s="29" t="n">
        <v>1250</v>
      </c>
      <c r="J9" s="29" t="n"/>
      <c r="K9" s="29" t="inlineStr">
        <is>
          <t>Paid</t>
        </is>
      </c>
      <c r="L9" s="114" t="n"/>
      <c r="M9" s="160" t="n"/>
      <c r="O9" s="275" t="n"/>
      <c r="P9" s="231" t="n"/>
      <c r="Q9" s="233" t="n"/>
    </row>
    <row r="10">
      <c r="A10" s="32" t="inlineStr">
        <is>
          <t>103</t>
        </is>
      </c>
      <c r="B10" s="232" t="n">
        <v>331.49</v>
      </c>
      <c r="C10" s="232" t="n">
        <v>341.83</v>
      </c>
      <c r="D10" s="228" t="n">
        <v>10340</v>
      </c>
      <c r="E10" s="64" t="n">
        <v>0</v>
      </c>
      <c r="F10" s="29" t="n">
        <v>1200</v>
      </c>
      <c r="G10" s="29" t="n">
        <v>1200</v>
      </c>
      <c r="H10" s="29" t="n">
        <v>50</v>
      </c>
      <c r="I10" s="29" t="n">
        <v>1250</v>
      </c>
      <c r="J10" s="29" t="n"/>
      <c r="K10" s="29" t="inlineStr">
        <is>
          <t>Paid</t>
        </is>
      </c>
      <c r="L10" s="216" t="n"/>
      <c r="M10" s="160" t="n"/>
      <c r="O10" s="275" t="n"/>
      <c r="P10" s="231" t="n"/>
      <c r="Q10" s="276" t="n"/>
    </row>
    <row r="11">
      <c r="A11" s="32" t="inlineStr">
        <is>
          <t>104</t>
        </is>
      </c>
      <c r="B11" s="232" t="n">
        <v>218.38</v>
      </c>
      <c r="C11" s="232" t="n">
        <v>229.61</v>
      </c>
      <c r="D11" s="228" t="n">
        <v>11230</v>
      </c>
      <c r="E11" s="64" t="n">
        <v>0</v>
      </c>
      <c r="F11" s="29" t="n">
        <v>1200</v>
      </c>
      <c r="G11" s="29" t="n">
        <v>1200</v>
      </c>
      <c r="H11" s="29" t="n">
        <v>50</v>
      </c>
      <c r="I11" s="29" t="n">
        <v>1250</v>
      </c>
      <c r="J11" s="29" t="n"/>
      <c r="K11" s="29" t="inlineStr">
        <is>
          <t>Paid</t>
        </is>
      </c>
      <c r="L11" s="160" t="n"/>
      <c r="M11" s="114" t="n"/>
      <c r="O11" s="236" t="n"/>
      <c r="P11" s="231" t="n"/>
      <c r="Q11" s="233" t="n"/>
    </row>
    <row r="12">
      <c r="A12" s="32" t="inlineStr">
        <is>
          <t>201</t>
        </is>
      </c>
      <c r="B12" s="232" t="n">
        <v>186.16</v>
      </c>
      <c r="C12" s="232" t="n">
        <v>195.46</v>
      </c>
      <c r="D12" s="228" t="n">
        <v>9300</v>
      </c>
      <c r="E12" s="64" t="n">
        <v>0</v>
      </c>
      <c r="F12" s="29" t="n">
        <v>1200</v>
      </c>
      <c r="G12" s="29" t="n">
        <v>1200</v>
      </c>
      <c r="H12" s="29" t="n">
        <v>50</v>
      </c>
      <c r="I12" s="29" t="n">
        <v>1250</v>
      </c>
      <c r="J12" s="29" t="n"/>
      <c r="K12" s="29" t="inlineStr">
        <is>
          <t>Paid</t>
        </is>
      </c>
      <c r="L12" s="160" t="n"/>
      <c r="M12" s="114" t="n"/>
      <c r="O12" s="236" t="n"/>
      <c r="P12" s="231" t="n"/>
      <c r="Q12" s="233" t="n"/>
    </row>
    <row r="13">
      <c r="A13" s="32" t="inlineStr">
        <is>
          <t>202</t>
        </is>
      </c>
      <c r="B13" s="232" t="n">
        <v>371.37</v>
      </c>
      <c r="C13" s="232" t="n">
        <v>377.81</v>
      </c>
      <c r="D13" s="228" t="n">
        <v>6440</v>
      </c>
      <c r="E13" s="64" t="n">
        <v>0</v>
      </c>
      <c r="F13" s="29" t="n">
        <v>1200</v>
      </c>
      <c r="G13" s="29" t="n">
        <v>1200</v>
      </c>
      <c r="H13" s="29" t="n">
        <v>50</v>
      </c>
      <c r="I13" s="29" t="n">
        <v>1250</v>
      </c>
      <c r="J13" s="29" t="n"/>
      <c r="K13" s="29" t="inlineStr">
        <is>
          <t>Paid</t>
        </is>
      </c>
      <c r="L13" s="114" t="n"/>
      <c r="M13" s="114" t="n"/>
      <c r="O13" s="257" t="n"/>
      <c r="P13" s="257" t="n"/>
    </row>
    <row r="14">
      <c r="A14" s="32" t="inlineStr">
        <is>
          <t>203</t>
        </is>
      </c>
      <c r="B14" s="232" t="n">
        <v>128.87</v>
      </c>
      <c r="C14" s="232" t="n">
        <v>138</v>
      </c>
      <c r="D14" s="228" t="n">
        <v>9130</v>
      </c>
      <c r="E14" s="64" t="n">
        <v>0</v>
      </c>
      <c r="F14" s="29" t="n">
        <v>1200</v>
      </c>
      <c r="G14" s="29" t="n">
        <v>1200</v>
      </c>
      <c r="H14" s="29" t="n">
        <v>50</v>
      </c>
      <c r="I14" s="29" t="n">
        <v>1250</v>
      </c>
      <c r="J14" s="29" t="n"/>
      <c r="K14" s="29" t="inlineStr">
        <is>
          <t>Paid</t>
        </is>
      </c>
      <c r="L14" s="254" t="n"/>
      <c r="M14" s="114" t="n"/>
    </row>
    <row r="15">
      <c r="A15" s="32" t="inlineStr">
        <is>
          <t>204</t>
        </is>
      </c>
      <c r="B15" s="232" t="n">
        <v>362.78</v>
      </c>
      <c r="C15" s="232" t="n">
        <v>372.34</v>
      </c>
      <c r="D15" s="228" t="n">
        <v>9560</v>
      </c>
      <c r="E15" s="64" t="n">
        <v>0</v>
      </c>
      <c r="F15" s="29" t="n">
        <v>1200</v>
      </c>
      <c r="G15" s="29" t="n">
        <v>1200</v>
      </c>
      <c r="H15" s="29" t="n">
        <v>50</v>
      </c>
      <c r="I15" s="29" t="n">
        <v>1250</v>
      </c>
      <c r="J15" s="29" t="n"/>
      <c r="K15" s="29" t="inlineStr">
        <is>
          <t>Paid</t>
        </is>
      </c>
      <c r="L15" s="224" t="n"/>
      <c r="M15" s="114" t="n"/>
      <c r="P15" s="331" t="n"/>
    </row>
    <row r="16">
      <c r="A16" s="32" t="inlineStr">
        <is>
          <t>301</t>
        </is>
      </c>
      <c r="B16" s="232" t="n">
        <v>150.06</v>
      </c>
      <c r="C16" s="232" t="n">
        <v>156.27</v>
      </c>
      <c r="D16" s="228" t="n">
        <v>6210</v>
      </c>
      <c r="E16" s="64" t="n">
        <v>0</v>
      </c>
      <c r="F16" s="29" t="n">
        <v>1200</v>
      </c>
      <c r="G16" s="29" t="n">
        <v>1200</v>
      </c>
      <c r="H16" s="29" t="n">
        <v>50</v>
      </c>
      <c r="I16" s="29" t="n">
        <v>1250</v>
      </c>
      <c r="J16" s="29" t="n"/>
      <c r="K16" s="29" t="inlineStr">
        <is>
          <t>Paid</t>
        </is>
      </c>
      <c r="L16" s="160" t="n"/>
      <c r="M16" s="114" t="n"/>
    </row>
    <row r="17">
      <c r="A17" s="32" t="inlineStr">
        <is>
          <t>302</t>
        </is>
      </c>
      <c r="B17" s="232" t="n">
        <v>298.43</v>
      </c>
      <c r="C17" s="232" t="n">
        <v>306.19</v>
      </c>
      <c r="D17" s="228" t="n">
        <v>7760</v>
      </c>
      <c r="E17" s="64" t="n">
        <v>0</v>
      </c>
      <c r="F17" s="29" t="n">
        <v>1200</v>
      </c>
      <c r="G17" s="29" t="n">
        <v>1200</v>
      </c>
      <c r="H17" s="29" t="n">
        <v>50</v>
      </c>
      <c r="I17" s="29" t="n">
        <v>1250</v>
      </c>
      <c r="J17" s="29" t="n"/>
      <c r="K17" s="119" t="inlineStr">
        <is>
          <t>Paid</t>
        </is>
      </c>
      <c r="L17" s="114" t="n"/>
      <c r="M17" s="114" t="n"/>
    </row>
    <row r="18">
      <c r="A18" s="32" t="inlineStr">
        <is>
          <t>303</t>
        </is>
      </c>
      <c r="B18" s="232" t="n">
        <v>152.01</v>
      </c>
      <c r="C18" s="232" t="n">
        <v>169.66</v>
      </c>
      <c r="D18" s="228" t="n">
        <v>17650</v>
      </c>
      <c r="E18" s="64" t="n">
        <v>0</v>
      </c>
      <c r="F18" s="29" t="n">
        <v>1200</v>
      </c>
      <c r="G18" s="29" t="n">
        <v>1200</v>
      </c>
      <c r="H18" s="29" t="n">
        <v>50</v>
      </c>
      <c r="I18" s="29" t="n">
        <v>1250</v>
      </c>
      <c r="J18" s="29" t="n"/>
      <c r="K18" s="29" t="inlineStr">
        <is>
          <t>Paid</t>
        </is>
      </c>
      <c r="L18" s="114" t="n"/>
      <c r="M18" s="121" t="n"/>
    </row>
    <row r="19">
      <c r="A19" s="32" t="inlineStr">
        <is>
          <t>304</t>
        </is>
      </c>
      <c r="B19" s="232" t="n">
        <v>479.68</v>
      </c>
      <c r="C19" s="232" t="n">
        <v>489.97</v>
      </c>
      <c r="D19" s="228" t="n">
        <v>10290</v>
      </c>
      <c r="E19" s="64" t="n">
        <v>0</v>
      </c>
      <c r="F19" s="29" t="n">
        <v>1200</v>
      </c>
      <c r="G19" s="29" t="n">
        <v>1200</v>
      </c>
      <c r="H19" s="29" t="n">
        <v>50</v>
      </c>
      <c r="I19" s="29" t="n">
        <v>1250</v>
      </c>
      <c r="J19" s="29" t="n"/>
      <c r="K19" s="29" t="inlineStr">
        <is>
          <t>Paid</t>
        </is>
      </c>
      <c r="L19" s="256" t="n"/>
      <c r="M19" s="256" t="n"/>
    </row>
    <row r="20">
      <c r="A20" s="29" t="inlineStr">
        <is>
          <t>Common</t>
        </is>
      </c>
      <c r="B20" s="232" t="n">
        <v>490.08</v>
      </c>
      <c r="C20" s="232" t="n">
        <v>502.32</v>
      </c>
      <c r="D20" s="228" t="n">
        <v>12240</v>
      </c>
      <c r="E20" s="64" t="n">
        <v>0</v>
      </c>
      <c r="F20" s="29" t="n">
        <v>0</v>
      </c>
      <c r="G20" s="29" t="n"/>
      <c r="H20" s="29" t="n">
        <v>0</v>
      </c>
      <c r="I20" s="29" t="n">
        <v>0</v>
      </c>
      <c r="J20" s="29" t="n"/>
      <c r="K20" s="29" t="n"/>
      <c r="L20" s="231" t="n"/>
      <c r="M20" s="231" t="n"/>
    </row>
    <row r="21">
      <c r="A21" s="29" t="n"/>
      <c r="B21" s="29" t="n"/>
      <c r="C21" s="230" t="n"/>
      <c r="D21" s="29" t="n"/>
      <c r="E21" s="29" t="n"/>
      <c r="F21" s="49" t="n"/>
      <c r="G21" s="49" t="n"/>
      <c r="H21" s="49" t="n">
        <v>800</v>
      </c>
      <c r="I21" s="49" t="n">
        <v>20600</v>
      </c>
      <c r="J21" s="49" t="n">
        <v>0</v>
      </c>
      <c r="K21" s="49" t="n"/>
      <c r="L21" s="231" t="n"/>
      <c r="M21" s="231" t="n"/>
    </row>
    <row r="22">
      <c r="A22" s="29" t="n"/>
      <c r="B22" s="29" t="inlineStr">
        <is>
          <t>Total Usage Units</t>
        </is>
      </c>
      <c r="C22" s="29" t="n"/>
      <c r="D22" s="30" t="n">
        <v>146870</v>
      </c>
      <c r="E22" s="202" t="n">
        <v>0</v>
      </c>
      <c r="F22" s="29" t="n"/>
      <c r="G22" s="29" t="n"/>
      <c r="H22" s="29" t="n"/>
      <c r="I22" s="29" t="n"/>
      <c r="J22" s="29" t="n"/>
      <c r="K22" s="29" t="n"/>
      <c r="L22" s="231" t="n"/>
      <c r="M22" s="231" t="n"/>
    </row>
    <row r="23" ht="30" customHeight="1" s="366">
      <c r="A23" s="29" t="n"/>
      <c r="B23" s="29" t="inlineStr">
        <is>
          <t>Per Lt cost</t>
        </is>
      </c>
      <c r="C23" s="119" t="inlineStr">
        <is>
          <t>Number of tankers / Number of litters</t>
        </is>
      </c>
      <c r="D23" s="111" t="n">
        <v>0</v>
      </c>
      <c r="E23" s="29" t="n"/>
      <c r="F23" s="29" t="n"/>
      <c r="G23" s="29" t="n"/>
      <c r="H23" s="29" t="n"/>
      <c r="I23" s="29" t="n"/>
      <c r="J23" s="29" t="n"/>
      <c r="K23" s="29" t="n"/>
      <c r="L23" s="257" t="n"/>
      <c r="M23" s="257" t="n"/>
    </row>
    <row r="24" ht="45" customHeight="1" s="366">
      <c r="A24" s="119" t="inlineStr">
        <is>
          <t>Total Water Bill</t>
        </is>
      </c>
      <c r="B24" s="30" t="n">
        <v>0</v>
      </c>
      <c r="C24" s="119" t="inlineStr">
        <is>
          <t>WATER Tankers(0) One Tanker Cost: 1200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</row>
  </sheetData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40"/>
  <sheetViews>
    <sheetView zoomScale="70" zoomScaleNormal="70" workbookViewId="0">
      <selection activeCell="O20" sqref="O20"/>
    </sheetView>
  </sheetViews>
  <sheetFormatPr baseColWidth="8" defaultColWidth="10" defaultRowHeight="15"/>
  <cols>
    <col width="14.42578125" customWidth="1" style="366" min="1" max="1"/>
    <col width="23" customWidth="1" style="366" min="2" max="2"/>
    <col width="22" customWidth="1" style="345" min="3" max="3"/>
    <col width="12.28515625" customWidth="1" style="366" min="4" max="4"/>
    <col width="9.85546875" bestFit="1" customWidth="1" style="366" min="5" max="5"/>
    <col width="21.5703125" bestFit="1" customWidth="1" style="366" min="6" max="6"/>
    <col width="18.7109375" customWidth="1" style="366" min="7" max="7"/>
    <col width="17.28515625" customWidth="1" style="366" min="8" max="8"/>
    <col width="8.7109375" customWidth="1" style="366" min="9" max="9"/>
    <col width="15.7109375" bestFit="1" customWidth="1" style="366" min="10" max="10"/>
    <col width="14.85546875" bestFit="1" customWidth="1" style="366" min="11" max="11"/>
    <col width="28.5703125" bestFit="1" customWidth="1" style="366" min="12" max="12"/>
    <col width="8.42578125" bestFit="1" customWidth="1" style="366" min="13" max="13"/>
    <col width="29.7109375" bestFit="1" customWidth="1" style="366" min="15" max="15"/>
    <col width="6.28515625" bestFit="1" customWidth="1" style="366" min="18" max="18"/>
    <col width="19.7109375" bestFit="1" customWidth="1" style="366" min="19" max="19"/>
  </cols>
  <sheetData>
    <row r="1" ht="39.6" customHeight="1" s="366">
      <c r="A1" s="282" t="inlineStr">
        <is>
          <t>Flat Numbers</t>
        </is>
      </c>
      <c r="B1" s="283" t="inlineStr">
        <is>
          <t>Previous Meter Reading</t>
        </is>
      </c>
      <c r="C1" s="283" t="inlineStr">
        <is>
          <t>Current Meter Reading</t>
        </is>
      </c>
      <c r="D1" s="284" t="inlineStr">
        <is>
          <t>Total Units</t>
        </is>
      </c>
      <c r="E1" s="284" t="inlineStr">
        <is>
          <t>Water Bill</t>
        </is>
      </c>
      <c r="F1" s="284" t="inlineStr">
        <is>
          <t>Common Maintanence</t>
        </is>
      </c>
      <c r="G1" s="284" t="inlineStr">
        <is>
          <t>Total Maintenance</t>
        </is>
      </c>
      <c r="H1" s="284" t="inlineStr">
        <is>
          <t>Garbage Amount</t>
        </is>
      </c>
      <c r="I1" s="284" t="inlineStr">
        <is>
          <t xml:space="preserve">Topay </t>
        </is>
      </c>
      <c r="J1" s="284" t="inlineStr">
        <is>
          <t>Receive Amount</t>
        </is>
      </c>
      <c r="K1" s="284" t="inlineStr">
        <is>
          <t>Payment Status</t>
        </is>
      </c>
      <c r="L1" s="285" t="inlineStr">
        <is>
          <t>Balance amount (nov)-25 After Expendatures</t>
        </is>
      </c>
      <c r="M1" s="286" t="inlineStr">
        <is>
          <t>15784</t>
        </is>
      </c>
    </row>
    <row r="2">
      <c r="A2" s="279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29" t="inlineStr">
        <is>
          <t>NA</t>
        </is>
      </c>
      <c r="F2" s="29" t="n">
        <v>300</v>
      </c>
      <c r="G2" s="29" t="n">
        <v>300</v>
      </c>
      <c r="H2" s="29" t="n">
        <v>0</v>
      </c>
      <c r="I2" s="29" t="n">
        <v>300</v>
      </c>
      <c r="J2" s="287" t="n"/>
      <c r="K2" s="29" t="inlineStr">
        <is>
          <t>Paid</t>
        </is>
      </c>
      <c r="L2" s="148" t="n"/>
      <c r="M2" s="149" t="n"/>
    </row>
    <row r="3">
      <c r="A3" s="279" t="inlineStr">
        <is>
          <t>Shop-2</t>
        </is>
      </c>
      <c r="B3" s="30" t="inlineStr">
        <is>
          <t>NA</t>
        </is>
      </c>
      <c r="C3" s="229" t="inlineStr">
        <is>
          <t>NA</t>
        </is>
      </c>
      <c r="D3" s="29" t="inlineStr">
        <is>
          <t>NA</t>
        </is>
      </c>
      <c r="E3" s="29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300</v>
      </c>
      <c r="J3" s="287" t="n"/>
      <c r="K3" s="29" t="inlineStr">
        <is>
          <t>Paid</t>
        </is>
      </c>
      <c r="L3" s="148" t="n"/>
      <c r="M3" s="148" t="n"/>
    </row>
    <row r="4">
      <c r="A4" s="280" t="inlineStr">
        <is>
          <t>G1</t>
        </is>
      </c>
      <c r="B4" s="232" t="n">
        <v>198.03</v>
      </c>
      <c r="C4" s="232" t="n">
        <v>203.13</v>
      </c>
      <c r="D4" s="228" t="n">
        <v>5100</v>
      </c>
      <c r="E4" s="29" t="n">
        <v>0</v>
      </c>
      <c r="F4" s="29" t="n">
        <v>1200</v>
      </c>
      <c r="G4" s="29" t="n">
        <v>1200</v>
      </c>
      <c r="H4" s="29" t="n">
        <v>50</v>
      </c>
      <c r="I4" s="29" t="n">
        <v>1250</v>
      </c>
      <c r="J4" s="287" t="n"/>
      <c r="K4" s="156" t="inlineStr">
        <is>
          <t>Paid</t>
        </is>
      </c>
      <c r="L4" s="160" t="n"/>
      <c r="M4" s="160" t="n"/>
    </row>
    <row r="5">
      <c r="A5" s="280" t="inlineStr">
        <is>
          <t>G2</t>
        </is>
      </c>
      <c r="B5" s="232" t="n">
        <v>274.22</v>
      </c>
      <c r="C5" s="232" t="n">
        <v>279.37</v>
      </c>
      <c r="D5" s="228" t="n">
        <v>5150</v>
      </c>
      <c r="E5" s="29" t="n">
        <v>0</v>
      </c>
      <c r="F5" s="29" t="n">
        <v>1200</v>
      </c>
      <c r="G5" s="29" t="n">
        <v>1200</v>
      </c>
      <c r="H5" s="29" t="n">
        <v>50</v>
      </c>
      <c r="I5" s="29" t="n">
        <v>1250</v>
      </c>
      <c r="J5" s="287" t="n"/>
      <c r="K5" s="29" t="inlineStr">
        <is>
          <t>Paid</t>
        </is>
      </c>
      <c r="L5" s="341" t="n"/>
      <c r="M5" s="342" t="n"/>
      <c r="O5" s="291" t="n"/>
      <c r="P5" s="292" t="n"/>
      <c r="R5" s="349" t="n"/>
    </row>
    <row r="6">
      <c r="A6" s="280" t="inlineStr">
        <is>
          <t>G3</t>
        </is>
      </c>
      <c r="B6" s="232" t="n">
        <v>535.33</v>
      </c>
      <c r="C6" s="232" t="n">
        <v>550.58</v>
      </c>
      <c r="D6" s="228" t="n">
        <v>15250</v>
      </c>
      <c r="E6" s="29" t="n">
        <v>0</v>
      </c>
      <c r="F6" s="29" t="n">
        <v>1200</v>
      </c>
      <c r="G6" s="29" t="n">
        <v>1200</v>
      </c>
      <c r="H6" s="29" t="n">
        <v>50</v>
      </c>
      <c r="I6" s="29" t="n">
        <v>1250</v>
      </c>
      <c r="J6" s="287" t="n"/>
      <c r="K6" s="227" t="inlineStr">
        <is>
          <t>Paid</t>
        </is>
      </c>
      <c r="L6" s="274" t="n"/>
      <c r="M6" s="275" t="n"/>
      <c r="O6" s="274" t="n"/>
      <c r="P6" s="288" t="n"/>
    </row>
    <row r="7">
      <c r="A7" s="280" t="inlineStr">
        <is>
          <t>G4</t>
        </is>
      </c>
      <c r="B7" s="232" t="n">
        <v>442.87</v>
      </c>
      <c r="C7" s="232" t="n">
        <v>450.36</v>
      </c>
      <c r="D7" s="228" t="n">
        <v>7490</v>
      </c>
      <c r="E7" s="29" t="n">
        <v>0</v>
      </c>
      <c r="F7" s="29" t="n">
        <v>1200</v>
      </c>
      <c r="G7" s="29" t="n">
        <v>1200</v>
      </c>
      <c r="H7" s="29" t="n">
        <v>50</v>
      </c>
      <c r="I7" s="29" t="n">
        <v>1250</v>
      </c>
      <c r="J7" s="287" t="n"/>
      <c r="K7" s="227" t="inlineStr">
        <is>
          <t>Paid</t>
        </is>
      </c>
      <c r="L7" s="231" t="n"/>
      <c r="M7" s="231" t="n"/>
      <c r="O7" s="289" t="n"/>
      <c r="P7" s="288" t="n"/>
      <c r="R7" s="349" t="n"/>
    </row>
    <row r="8">
      <c r="A8" s="280" t="inlineStr">
        <is>
          <t>101</t>
        </is>
      </c>
      <c r="B8" s="232" t="n">
        <v>108.72</v>
      </c>
      <c r="C8" s="232" t="n">
        <v>109.83</v>
      </c>
      <c r="D8" s="228" t="n">
        <v>1110</v>
      </c>
      <c r="E8" s="29" t="n">
        <v>0</v>
      </c>
      <c r="F8" s="29" t="n">
        <v>1200</v>
      </c>
      <c r="G8" s="29" t="n">
        <v>1200</v>
      </c>
      <c r="H8" s="29" t="n">
        <v>50</v>
      </c>
      <c r="I8" s="29" t="n">
        <v>1250</v>
      </c>
      <c r="J8" s="287" t="n"/>
      <c r="K8" s="227" t="inlineStr">
        <is>
          <t>Paid</t>
        </is>
      </c>
      <c r="L8" s="231" t="n"/>
      <c r="M8" s="231" t="n"/>
      <c r="O8" s="289" t="n"/>
      <c r="P8" s="288" t="n"/>
      <c r="R8" s="345" t="n"/>
      <c r="S8" s="331" t="n"/>
    </row>
    <row r="9">
      <c r="A9" s="280" t="inlineStr">
        <is>
          <t>102</t>
        </is>
      </c>
      <c r="B9" s="232" t="n">
        <v>655.98</v>
      </c>
      <c r="C9" s="232" t="n">
        <v>661.34</v>
      </c>
      <c r="D9" s="228" t="n">
        <v>5360</v>
      </c>
      <c r="E9" s="29" t="n">
        <v>0</v>
      </c>
      <c r="F9" s="29" t="n">
        <v>1200</v>
      </c>
      <c r="G9" s="29" t="n">
        <v>1200</v>
      </c>
      <c r="H9" s="29" t="n">
        <v>50</v>
      </c>
      <c r="I9" s="29" t="n">
        <v>1250</v>
      </c>
      <c r="J9" s="287" t="n"/>
      <c r="K9" s="227" t="inlineStr">
        <is>
          <t>Paid</t>
        </is>
      </c>
      <c r="L9" s="275" t="n"/>
      <c r="M9" s="231" t="n"/>
      <c r="O9" s="274" t="n"/>
      <c r="P9" s="288" t="n"/>
      <c r="R9" s="345" t="n"/>
      <c r="S9" s="331" t="n"/>
    </row>
    <row r="10">
      <c r="A10" s="280" t="inlineStr">
        <is>
          <t>103</t>
        </is>
      </c>
      <c r="B10" s="232" t="n">
        <v>341.83</v>
      </c>
      <c r="C10" s="232" t="n">
        <v>344.27</v>
      </c>
      <c r="D10" s="228" t="n">
        <v>2440</v>
      </c>
      <c r="E10" s="29" t="n">
        <v>0</v>
      </c>
      <c r="F10" s="29" t="n">
        <v>1200</v>
      </c>
      <c r="G10" s="29" t="n">
        <v>1200</v>
      </c>
      <c r="H10" s="29" t="n">
        <v>50</v>
      </c>
      <c r="I10" s="29" t="n">
        <v>1250</v>
      </c>
      <c r="J10" s="287" t="n"/>
      <c r="K10" s="227" t="inlineStr">
        <is>
          <t>Paid</t>
        </is>
      </c>
      <c r="L10" s="275" t="n"/>
      <c r="M10" s="231" t="n"/>
      <c r="O10" s="274" t="n"/>
      <c r="P10" s="288" t="n"/>
      <c r="R10" s="345" t="n"/>
      <c r="S10" s="331" t="n"/>
    </row>
    <row r="11">
      <c r="A11" s="280" t="inlineStr">
        <is>
          <t>104</t>
        </is>
      </c>
      <c r="B11" s="232" t="n">
        <v>229.61</v>
      </c>
      <c r="C11" s="232" t="n">
        <v>244.69</v>
      </c>
      <c r="D11" s="228" t="n">
        <v>15080</v>
      </c>
      <c r="E11" s="29" t="n">
        <v>0</v>
      </c>
      <c r="F11" s="29" t="n">
        <v>1200</v>
      </c>
      <c r="G11" s="29" t="n">
        <v>1200</v>
      </c>
      <c r="H11" s="29" t="n">
        <v>50</v>
      </c>
      <c r="I11" s="29" t="n">
        <v>1250</v>
      </c>
      <c r="J11" s="287" t="n"/>
      <c r="K11" s="227" t="inlineStr">
        <is>
          <t>Paid</t>
        </is>
      </c>
      <c r="L11" s="236" t="n"/>
      <c r="M11" s="231" t="n"/>
      <c r="O11" s="293" t="n"/>
      <c r="P11" s="289" t="n"/>
      <c r="R11" s="345" t="n"/>
      <c r="S11" s="331" t="n"/>
    </row>
    <row r="12">
      <c r="A12" s="280" t="inlineStr">
        <is>
          <t>201</t>
        </is>
      </c>
      <c r="B12" s="232" t="n">
        <v>195.46</v>
      </c>
      <c r="C12" s="232" t="n">
        <v>203.55</v>
      </c>
      <c r="D12" s="228" t="n">
        <v>8090</v>
      </c>
      <c r="E12" s="29" t="n">
        <v>0</v>
      </c>
      <c r="F12" s="29" t="n">
        <v>1200</v>
      </c>
      <c r="G12" s="29" t="n">
        <v>1200</v>
      </c>
      <c r="H12" s="29" t="n">
        <v>50</v>
      </c>
      <c r="I12" s="29" t="n">
        <v>1250</v>
      </c>
      <c r="J12" s="287" t="n"/>
      <c r="K12" s="227" t="inlineStr">
        <is>
          <t>Paid</t>
        </is>
      </c>
      <c r="L12" s="236" t="n"/>
      <c r="M12" s="231" t="n"/>
      <c r="O12" s="293" t="n"/>
      <c r="P12" s="289" t="n"/>
      <c r="R12" s="345" t="n"/>
      <c r="S12" s="331" t="n"/>
    </row>
    <row r="13">
      <c r="A13" s="280" t="inlineStr">
        <is>
          <t>202</t>
        </is>
      </c>
      <c r="B13" s="232" t="n">
        <v>377.81</v>
      </c>
      <c r="C13" s="232" t="n">
        <v>383.41</v>
      </c>
      <c r="D13" s="228" t="n">
        <v>5600</v>
      </c>
      <c r="E13" s="29" t="n">
        <v>0</v>
      </c>
      <c r="F13" s="29" t="n">
        <v>1200</v>
      </c>
      <c r="G13" s="29" t="n">
        <v>1200</v>
      </c>
      <c r="H13" s="29" t="n">
        <v>50</v>
      </c>
      <c r="I13" s="29" t="n">
        <v>1250</v>
      </c>
      <c r="J13" s="287" t="n"/>
      <c r="K13" s="29" t="inlineStr">
        <is>
          <t>Paid</t>
        </is>
      </c>
      <c r="L13" s="257" t="n"/>
      <c r="M13" s="257" t="n"/>
      <c r="O13" s="294" t="n"/>
      <c r="P13" s="294" t="n"/>
      <c r="R13" s="345" t="n"/>
      <c r="S13" s="331" t="n"/>
    </row>
    <row r="14">
      <c r="A14" s="280" t="inlineStr">
        <is>
          <t>203</t>
        </is>
      </c>
      <c r="B14" s="232" t="n">
        <v>138</v>
      </c>
      <c r="C14" s="232" t="n">
        <v>148</v>
      </c>
      <c r="D14" s="228" t="n">
        <v>10000</v>
      </c>
      <c r="E14" s="29" t="n">
        <v>0</v>
      </c>
      <c r="F14" s="29" t="n">
        <v>1200</v>
      </c>
      <c r="G14" s="29" t="n">
        <v>1200</v>
      </c>
      <c r="H14" s="29" t="n">
        <v>50</v>
      </c>
      <c r="I14" s="29" t="n">
        <v>1250</v>
      </c>
      <c r="J14" s="287" t="n"/>
      <c r="K14" s="29" t="inlineStr">
        <is>
          <t>Paid</t>
        </is>
      </c>
      <c r="L14" s="254" t="n"/>
      <c r="M14" s="114" t="n"/>
      <c r="P14" s="331" t="n"/>
      <c r="R14" s="345" t="n"/>
      <c r="S14" s="331" t="n"/>
    </row>
    <row r="15">
      <c r="A15" s="280" t="inlineStr">
        <is>
          <t>204</t>
        </is>
      </c>
      <c r="B15" s="232" t="n">
        <v>372.34</v>
      </c>
      <c r="C15" s="232" t="n">
        <v>379.09</v>
      </c>
      <c r="D15" s="228" t="n">
        <v>6750</v>
      </c>
      <c r="E15" s="29" t="n">
        <v>0</v>
      </c>
      <c r="F15" s="29" t="n">
        <v>1200</v>
      </c>
      <c r="G15" s="29" t="n">
        <v>1200</v>
      </c>
      <c r="H15" s="29" t="n">
        <v>50</v>
      </c>
      <c r="I15" s="29" t="n">
        <v>1250</v>
      </c>
      <c r="J15" s="287" t="n"/>
      <c r="K15" s="29" t="inlineStr">
        <is>
          <t>Paid</t>
        </is>
      </c>
      <c r="L15" s="224" t="n"/>
      <c r="M15" s="114" t="n"/>
      <c r="R15" s="345" t="n"/>
      <c r="S15" s="331" t="n"/>
    </row>
    <row r="16">
      <c r="A16" s="280" t="inlineStr">
        <is>
          <t>301</t>
        </is>
      </c>
      <c r="B16" s="232" t="n">
        <v>156.27</v>
      </c>
      <c r="C16" s="232" t="n">
        <v>160.92</v>
      </c>
      <c r="D16" s="228" t="n">
        <v>4650</v>
      </c>
      <c r="E16" s="29" t="n">
        <v>0</v>
      </c>
      <c r="F16" s="29" t="n">
        <v>1200</v>
      </c>
      <c r="G16" s="29" t="n">
        <v>1200</v>
      </c>
      <c r="H16" s="29" t="n">
        <v>50</v>
      </c>
      <c r="I16" s="29" t="n">
        <v>1250</v>
      </c>
      <c r="J16" s="287" t="n"/>
      <c r="K16" s="29" t="inlineStr">
        <is>
          <t>Paid</t>
        </is>
      </c>
      <c r="L16" s="160" t="n"/>
      <c r="M16" s="114" t="n"/>
      <c r="R16" s="345" t="n"/>
      <c r="S16" s="331" t="n"/>
    </row>
    <row r="17">
      <c r="A17" s="280" t="inlineStr">
        <is>
          <t>302</t>
        </is>
      </c>
      <c r="B17" s="232" t="n">
        <v>306.19</v>
      </c>
      <c r="C17" s="232" t="n">
        <v>316.02</v>
      </c>
      <c r="D17" s="228" t="n">
        <v>9830</v>
      </c>
      <c r="E17" s="29" t="n">
        <v>0</v>
      </c>
      <c r="F17" s="29" t="n">
        <v>1200</v>
      </c>
      <c r="G17" s="29" t="n">
        <v>1200</v>
      </c>
      <c r="H17" s="29" t="n">
        <v>50</v>
      </c>
      <c r="I17" s="29" t="n">
        <v>1250</v>
      </c>
      <c r="J17" s="287" t="n"/>
      <c r="K17" s="119" t="inlineStr">
        <is>
          <t>Paid</t>
        </is>
      </c>
      <c r="L17" s="114" t="n"/>
      <c r="M17" s="114" t="n"/>
      <c r="R17" s="345" t="n"/>
      <c r="S17" s="331" t="n"/>
    </row>
    <row r="18">
      <c r="A18" s="280" t="inlineStr">
        <is>
          <t>303</t>
        </is>
      </c>
      <c r="B18" s="232" t="n">
        <v>169.66</v>
      </c>
      <c r="C18" s="232" t="n">
        <v>179.26</v>
      </c>
      <c r="D18" s="228" t="n">
        <v>9600</v>
      </c>
      <c r="E18" s="29" t="n">
        <v>0</v>
      </c>
      <c r="F18" s="29" t="n">
        <v>1200</v>
      </c>
      <c r="G18" s="29" t="n">
        <v>1200</v>
      </c>
      <c r="H18" s="29" t="n">
        <v>50</v>
      </c>
      <c r="I18" s="29" t="n">
        <v>1250</v>
      </c>
      <c r="J18" s="287" t="n"/>
      <c r="K18" s="29" t="inlineStr">
        <is>
          <t>Paid</t>
        </is>
      </c>
      <c r="L18" s="114" t="n"/>
      <c r="M18" s="121" t="n"/>
      <c r="R18" s="345" t="n"/>
      <c r="S18" s="331" t="n"/>
    </row>
    <row r="19">
      <c r="A19" s="280" t="inlineStr">
        <is>
          <t>304</t>
        </is>
      </c>
      <c r="B19" s="232" t="n">
        <v>489.97</v>
      </c>
      <c r="C19" s="232" t="n">
        <v>498.37</v>
      </c>
      <c r="D19" s="228" t="n">
        <v>8400</v>
      </c>
      <c r="E19" s="29" t="n">
        <v>0</v>
      </c>
      <c r="F19" s="29" t="n">
        <v>1200</v>
      </c>
      <c r="G19" s="29" t="n">
        <v>1200</v>
      </c>
      <c r="H19" s="29" t="n">
        <v>50</v>
      </c>
      <c r="I19" s="29" t="n">
        <v>1250</v>
      </c>
      <c r="J19" s="287" t="n"/>
      <c r="K19" s="29" t="inlineStr">
        <is>
          <t>Paid</t>
        </is>
      </c>
      <c r="L19" s="256" t="n"/>
      <c r="M19" s="256" t="n"/>
      <c r="O19" s="331" t="n"/>
      <c r="R19" s="345" t="n"/>
      <c r="S19" s="331" t="n"/>
    </row>
    <row r="20">
      <c r="A20" s="228" t="inlineStr">
        <is>
          <t>Common</t>
        </is>
      </c>
      <c r="B20" s="232" t="n">
        <v>502.32</v>
      </c>
      <c r="C20" s="232" t="n">
        <v>514.66</v>
      </c>
      <c r="D20" s="228" t="n">
        <v>12340</v>
      </c>
      <c r="E20" s="29" t="n">
        <v>0</v>
      </c>
      <c r="F20" s="29" t="n">
        <v>0</v>
      </c>
      <c r="G20" s="29" t="n"/>
      <c r="H20" s="29" t="n">
        <v>0</v>
      </c>
      <c r="I20" s="29" t="n">
        <v>0</v>
      </c>
      <c r="J20" s="29" t="n"/>
      <c r="K20" s="29" t="n"/>
      <c r="L20" s="231" t="n"/>
      <c r="M20" s="231" t="n"/>
      <c r="R20" s="345" t="n"/>
      <c r="S20" s="331" t="n"/>
    </row>
    <row r="21">
      <c r="A21" s="228" t="n"/>
      <c r="B21" s="29" t="n"/>
      <c r="C21" s="230" t="n"/>
      <c r="D21" s="29" t="n"/>
      <c r="E21" s="49" t="n"/>
      <c r="F21" s="49" t="n"/>
      <c r="G21" s="49" t="n"/>
      <c r="H21" s="49" t="n">
        <v>800</v>
      </c>
      <c r="I21" s="49" t="n">
        <v>20600</v>
      </c>
      <c r="J21" s="49" t="n">
        <v>0</v>
      </c>
      <c r="K21" s="49" t="n"/>
      <c r="L21" s="231" t="n"/>
      <c r="M21" s="231" t="n"/>
      <c r="R21" s="345" t="n"/>
      <c r="S21" s="331" t="n"/>
    </row>
    <row r="22">
      <c r="A22" s="228" t="n"/>
      <c r="B22" s="29" t="inlineStr">
        <is>
          <t>Total Usage Units</t>
        </is>
      </c>
      <c r="C22" s="29" t="n"/>
      <c r="D22" s="30" t="n">
        <v>132240</v>
      </c>
      <c r="E22" s="29" t="n">
        <v>0</v>
      </c>
      <c r="F22" s="29" t="n"/>
      <c r="G22" s="29" t="n"/>
      <c r="H22" s="29" t="n"/>
      <c r="I22" s="29" t="n"/>
      <c r="J22" s="29" t="n"/>
      <c r="K22" s="29" t="n"/>
      <c r="L22" s="231" t="n"/>
      <c r="M22" s="231" t="n"/>
      <c r="R22" s="345" t="n"/>
      <c r="S22" s="331" t="n"/>
    </row>
    <row r="23" ht="30" customHeight="1" s="366">
      <c r="A23" s="228" t="n"/>
      <c r="B23" s="29" t="inlineStr">
        <is>
          <t>Per Lt cost</t>
        </is>
      </c>
      <c r="C23" s="119" t="inlineStr">
        <is>
          <t>Number of tankers / Number of litters</t>
        </is>
      </c>
      <c r="D23" s="111" t="n">
        <v>0</v>
      </c>
      <c r="E23" s="29" t="n"/>
      <c r="F23" s="29" t="n"/>
      <c r="G23" s="29" t="n"/>
      <c r="H23" s="29" t="n"/>
      <c r="I23" s="29" t="n"/>
      <c r="J23" s="29" t="n"/>
      <c r="K23" s="29" t="n"/>
      <c r="L23" s="257" t="n"/>
      <c r="M23" s="257" t="n"/>
      <c r="R23" s="345" t="n"/>
      <c r="S23" s="331" t="n"/>
    </row>
    <row r="24" ht="30" customHeight="1" s="366">
      <c r="A24" s="281" t="inlineStr">
        <is>
          <t>Total Water Bill</t>
        </is>
      </c>
      <c r="B24" s="30" t="n">
        <v>0</v>
      </c>
      <c r="C24" s="119" t="inlineStr">
        <is>
          <t>WATER Tankers(0) One Tanker Cost: 1200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S24" s="331" t="n"/>
    </row>
    <row r="25">
      <c r="R25" s="375" t="n"/>
    </row>
    <row r="26"/>
    <row r="27">
      <c r="R27" s="245" t="n"/>
      <c r="S27" s="245" t="n"/>
      <c r="T27" s="245" t="n"/>
    </row>
    <row r="28">
      <c r="R28" s="231" t="n"/>
      <c r="S28" s="236" t="n"/>
      <c r="T28" s="231" t="n"/>
    </row>
    <row r="29">
      <c r="R29" s="231" t="n"/>
      <c r="S29" s="231" t="n"/>
      <c r="T29" s="231" t="n"/>
    </row>
    <row r="30">
      <c r="L30" s="331" t="n"/>
      <c r="R30" s="231" t="n"/>
      <c r="S30" s="231" t="n"/>
      <c r="T30" s="231" t="n"/>
    </row>
    <row r="31">
      <c r="J31" s="216" t="n"/>
      <c r="R31" s="231" t="n"/>
      <c r="S31" s="236" t="n"/>
      <c r="T31" s="231" t="n"/>
    </row>
    <row r="32">
      <c r="J32" s="216" t="n"/>
      <c r="L32" s="216" t="n"/>
      <c r="R32" s="236" t="n"/>
      <c r="S32" s="236" t="n"/>
      <c r="T32" s="231" t="n"/>
    </row>
    <row r="33">
      <c r="R33" s="231" t="n"/>
      <c r="S33" s="236" t="n"/>
      <c r="T33" s="231" t="n"/>
    </row>
    <row r="34">
      <c r="R34" s="231" t="n"/>
      <c r="S34" s="236" t="n"/>
      <c r="T34" s="260" t="n"/>
    </row>
    <row r="35">
      <c r="R35" s="231" t="n"/>
      <c r="S35" s="231" t="n"/>
      <c r="T35" s="260" t="n"/>
    </row>
    <row r="36">
      <c r="R36" s="231" t="n"/>
      <c r="S36" s="231" t="n"/>
      <c r="T36" s="260" t="n"/>
    </row>
    <row r="37">
      <c r="R37" s="231" t="n"/>
      <c r="S37" s="231" t="n"/>
      <c r="T37" s="260" t="n"/>
    </row>
    <row r="38"/>
    <row r="39">
      <c r="S39" s="216" t="n"/>
      <c r="T39" s="331" t="n"/>
    </row>
    <row r="40">
      <c r="S40" s="216" t="n"/>
      <c r="T40" s="33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P24"/>
  <sheetViews>
    <sheetView zoomScale="80" workbookViewId="0">
      <selection activeCell="J21" sqref="J21"/>
    </sheetView>
  </sheetViews>
  <sheetFormatPr baseColWidth="8" defaultRowHeight="15"/>
  <cols>
    <col width="14.7109375" bestFit="1" customWidth="1" style="366" min="1" max="1"/>
    <col width="16.28515625" bestFit="1" customWidth="1" style="366" min="2" max="2"/>
    <col width="22.5703125" customWidth="1" style="366" min="3" max="3"/>
    <col width="10.28515625" bestFit="1" customWidth="1" style="366" min="4" max="4"/>
    <col width="6.5703125" bestFit="1" customWidth="1" style="366" min="5" max="5"/>
    <col width="12.7109375" bestFit="1" customWidth="1" style="366" min="6" max="7"/>
    <col width="8.42578125" bestFit="1" customWidth="1" style="366" min="8" max="8"/>
    <col width="6.28515625" bestFit="1" customWidth="1" style="366" min="9" max="9"/>
    <col width="8.140625" bestFit="1" customWidth="1" style="366" min="10" max="10"/>
    <col width="8.85546875" bestFit="1" customWidth="1" style="366" min="11" max="11"/>
    <col width="26.7109375" bestFit="1" customWidth="1" style="366" min="12" max="12"/>
    <col width="6.5703125" bestFit="1" customWidth="1" style="366" min="13" max="13"/>
    <col width="28.140625" bestFit="1" customWidth="1" style="366" min="15" max="15"/>
    <col width="6.5703125" bestFit="1" customWidth="1" style="366" min="16" max="16"/>
    <col width="14.28515625" bestFit="1" customWidth="1" style="366" min="24" max="24"/>
  </cols>
  <sheetData>
    <row r="1" ht="45" customHeight="1" s="366">
      <c r="A1" s="282" t="inlineStr">
        <is>
          <t>Flat Numbers</t>
        </is>
      </c>
      <c r="B1" s="283" t="inlineStr">
        <is>
          <t>Previous Meter Reading</t>
        </is>
      </c>
      <c r="C1" s="283" t="inlineStr">
        <is>
          <t>Current Meter Reading</t>
        </is>
      </c>
      <c r="D1" s="284" t="inlineStr">
        <is>
          <t>Total Units</t>
        </is>
      </c>
      <c r="E1" s="284" t="inlineStr">
        <is>
          <t>Water Bill</t>
        </is>
      </c>
      <c r="F1" s="284" t="inlineStr">
        <is>
          <t>Common Maintanence</t>
        </is>
      </c>
      <c r="G1" s="284" t="inlineStr">
        <is>
          <t>Total Maintenance</t>
        </is>
      </c>
      <c r="H1" s="284" t="inlineStr">
        <is>
          <t>Garbage Amount</t>
        </is>
      </c>
      <c r="I1" s="284" t="inlineStr">
        <is>
          <t xml:space="preserve">Topay </t>
        </is>
      </c>
      <c r="J1" s="284" t="inlineStr">
        <is>
          <t>Receive Amount</t>
        </is>
      </c>
      <c r="K1" s="284" t="inlineStr">
        <is>
          <t>Payment Status</t>
        </is>
      </c>
      <c r="L1" s="285" t="inlineStr">
        <is>
          <t>Balance amount (nov)-25 COD: 31-12-2025</t>
        </is>
      </c>
      <c r="M1" s="290" t="inlineStr">
        <is>
          <t>19301</t>
        </is>
      </c>
    </row>
    <row r="2">
      <c r="A2" s="279" t="inlineStr">
        <is>
          <t>Shop-1</t>
        </is>
      </c>
      <c r="B2" s="29" t="inlineStr">
        <is>
          <t>NA</t>
        </is>
      </c>
      <c r="C2" s="29" t="inlineStr">
        <is>
          <t>NA</t>
        </is>
      </c>
      <c r="D2" s="29" t="inlineStr">
        <is>
          <t>NA</t>
        </is>
      </c>
      <c r="E2" s="29" t="inlineStr">
        <is>
          <t>NA</t>
        </is>
      </c>
      <c r="F2" s="29" t="n">
        <v>300</v>
      </c>
      <c r="G2" s="29" t="n">
        <v>300</v>
      </c>
      <c r="H2" s="29" t="n">
        <v>0</v>
      </c>
      <c r="I2" s="29" t="n">
        <v>300</v>
      </c>
      <c r="J2" s="29" t="n"/>
      <c r="K2" s="29" t="inlineStr">
        <is>
          <t>Paid</t>
        </is>
      </c>
      <c r="L2" s="148" t="n"/>
      <c r="M2" s="149" t="n"/>
    </row>
    <row r="3">
      <c r="A3" s="279" t="inlineStr">
        <is>
          <t>Shop-2</t>
        </is>
      </c>
      <c r="B3" s="229" t="inlineStr">
        <is>
          <t>NA</t>
        </is>
      </c>
      <c r="C3" s="229" t="inlineStr">
        <is>
          <t>NA</t>
        </is>
      </c>
      <c r="D3" s="29" t="inlineStr">
        <is>
          <t>NA</t>
        </is>
      </c>
      <c r="E3" s="29" t="inlineStr">
        <is>
          <t>NA</t>
        </is>
      </c>
      <c r="F3" s="29" t="n">
        <v>300</v>
      </c>
      <c r="G3" s="29" t="n">
        <v>300</v>
      </c>
      <c r="H3" s="29" t="n">
        <v>0</v>
      </c>
      <c r="I3" s="29" t="n">
        <v>300</v>
      </c>
      <c r="J3" s="29" t="n"/>
      <c r="K3" s="29" t="inlineStr">
        <is>
          <t>Paid</t>
        </is>
      </c>
      <c r="L3" s="148" t="n"/>
      <c r="M3" s="148" t="n"/>
    </row>
    <row r="4">
      <c r="A4" s="280" t="inlineStr">
        <is>
          <t>G1</t>
        </is>
      </c>
      <c r="B4" s="232" t="n">
        <v>0</v>
      </c>
      <c r="C4" s="232" t="n">
        <v>5.037</v>
      </c>
      <c r="D4" s="228" t="n">
        <v>5037</v>
      </c>
      <c r="E4" s="29" t="n">
        <v>0</v>
      </c>
      <c r="F4" s="29" t="n">
        <v>1200</v>
      </c>
      <c r="G4" s="29" t="n">
        <v>1200</v>
      </c>
      <c r="H4" s="29" t="n">
        <v>50</v>
      </c>
      <c r="I4" s="29" t="n">
        <v>1250</v>
      </c>
      <c r="J4" s="296" t="n"/>
      <c r="K4" s="156" t="inlineStr">
        <is>
          <t>Paid</t>
        </is>
      </c>
      <c r="L4" s="160" t="n"/>
      <c r="M4" s="160" t="n"/>
    </row>
    <row r="5">
      <c r="A5" s="280" t="inlineStr">
        <is>
          <t>G2</t>
        </is>
      </c>
      <c r="B5" s="232" t="n">
        <v>279.37</v>
      </c>
      <c r="C5" s="232" t="n">
        <v>286.04</v>
      </c>
      <c r="D5" s="228" t="n">
        <v>6670</v>
      </c>
      <c r="E5" s="29" t="n">
        <v>0</v>
      </c>
      <c r="F5" s="29" t="n">
        <v>1200</v>
      </c>
      <c r="G5" s="29" t="n">
        <v>1200</v>
      </c>
      <c r="H5" s="29" t="n">
        <v>50</v>
      </c>
      <c r="I5" s="29" t="n">
        <v>1250</v>
      </c>
      <c r="J5" s="296" t="n"/>
      <c r="K5" s="29" t="inlineStr">
        <is>
          <t>Paid</t>
        </is>
      </c>
      <c r="L5" s="341" t="n"/>
      <c r="M5" s="342" t="n"/>
      <c r="O5" s="346" t="n"/>
    </row>
    <row r="6">
      <c r="A6" s="280" t="inlineStr">
        <is>
          <t>G3</t>
        </is>
      </c>
      <c r="B6" s="232" t="n">
        <v>550.58</v>
      </c>
      <c r="C6" s="232" t="n">
        <v>561.83</v>
      </c>
      <c r="D6" s="228" t="n">
        <v>11250</v>
      </c>
      <c r="E6" s="29" t="n">
        <v>0</v>
      </c>
      <c r="F6" s="29" t="n">
        <v>1200</v>
      </c>
      <c r="G6" s="29" t="n">
        <v>1200</v>
      </c>
      <c r="H6" s="29" t="n">
        <v>50</v>
      </c>
      <c r="I6" s="29" t="n">
        <v>1250</v>
      </c>
      <c r="J6" s="296" t="n"/>
      <c r="K6" s="227" t="inlineStr">
        <is>
          <t>Paid</t>
        </is>
      </c>
      <c r="L6" s="274" t="n"/>
      <c r="M6" s="331" t="n"/>
      <c r="O6" s="274" t="n"/>
      <c r="P6" s="297" t="n"/>
    </row>
    <row r="7">
      <c r="A7" s="280" t="inlineStr">
        <is>
          <t>G4</t>
        </is>
      </c>
      <c r="B7" s="232" t="n">
        <v>450.36</v>
      </c>
      <c r="C7" s="232" t="n">
        <v>458.46</v>
      </c>
      <c r="D7" s="228" t="n">
        <v>8100</v>
      </c>
      <c r="E7" s="29" t="n">
        <v>0</v>
      </c>
      <c r="F7" s="29" t="n">
        <v>1200</v>
      </c>
      <c r="G7" s="29" t="n">
        <v>1200</v>
      </c>
      <c r="H7" s="29" t="n">
        <v>50</v>
      </c>
      <c r="I7" s="29" t="n">
        <v>1250</v>
      </c>
      <c r="J7" s="296" t="n"/>
      <c r="K7" s="227" t="inlineStr">
        <is>
          <t>Paid</t>
        </is>
      </c>
      <c r="L7" s="231" t="n"/>
      <c r="M7" s="331" t="n"/>
      <c r="O7" s="289" t="n"/>
      <c r="P7" s="297" t="n"/>
    </row>
    <row r="8">
      <c r="A8" s="280" t="inlineStr">
        <is>
          <t>101</t>
        </is>
      </c>
      <c r="B8" s="232" t="n">
        <v>109.83</v>
      </c>
      <c r="C8" s="232" t="n">
        <v>111.41</v>
      </c>
      <c r="D8" s="228" t="n">
        <v>1580</v>
      </c>
      <c r="E8" s="29" t="n">
        <v>0</v>
      </c>
      <c r="F8" s="29" t="n">
        <v>1200</v>
      </c>
      <c r="G8" s="29" t="n">
        <v>1200</v>
      </c>
      <c r="H8" s="29" t="n">
        <v>50</v>
      </c>
      <c r="I8" s="29" t="n">
        <v>1250</v>
      </c>
      <c r="J8" s="296" t="n"/>
      <c r="K8" s="227" t="inlineStr">
        <is>
          <t>Paid</t>
        </is>
      </c>
      <c r="L8" s="231" t="n"/>
      <c r="M8" s="331" t="n"/>
      <c r="O8" s="231" t="n"/>
      <c r="P8" s="299" t="n"/>
    </row>
    <row r="9">
      <c r="A9" s="280" t="inlineStr">
        <is>
          <t>102</t>
        </is>
      </c>
      <c r="B9" s="232" t="n">
        <v>661.34</v>
      </c>
      <c r="C9" s="232" t="n">
        <v>666.88</v>
      </c>
      <c r="D9" s="228" t="n">
        <v>5540</v>
      </c>
      <c r="E9" s="29" t="n">
        <v>0</v>
      </c>
      <c r="F9" s="29" t="n">
        <v>1200</v>
      </c>
      <c r="G9" s="29" t="n">
        <v>1200</v>
      </c>
      <c r="H9" s="29" t="n">
        <v>50</v>
      </c>
      <c r="I9" s="29" t="n">
        <v>1250</v>
      </c>
      <c r="J9" s="296" t="n"/>
      <c r="K9" s="227" t="inlineStr">
        <is>
          <t>Paid</t>
        </is>
      </c>
      <c r="L9" s="275" t="n"/>
      <c r="M9" s="331" t="n"/>
      <c r="O9" s="231" t="n"/>
      <c r="P9" s="299" t="n"/>
    </row>
    <row r="10">
      <c r="A10" s="280" t="inlineStr">
        <is>
          <t>103</t>
        </is>
      </c>
      <c r="B10" s="232" t="n">
        <v>344.27</v>
      </c>
      <c r="C10" s="232" t="n">
        <v>355.18</v>
      </c>
      <c r="D10" s="228" t="n">
        <v>10910</v>
      </c>
      <c r="E10" s="29" t="n">
        <v>0</v>
      </c>
      <c r="F10" s="29" t="n">
        <v>1200</v>
      </c>
      <c r="G10" s="29" t="n">
        <v>1200</v>
      </c>
      <c r="H10" s="29" t="n">
        <v>50</v>
      </c>
      <c r="I10" s="29" t="n">
        <v>1250</v>
      </c>
      <c r="J10" s="296" t="n"/>
      <c r="K10" s="227" t="inlineStr">
        <is>
          <t>Paid</t>
        </is>
      </c>
      <c r="L10" s="275" t="n"/>
      <c r="M10" s="331" t="n"/>
      <c r="O10" s="231" t="n"/>
      <c r="P10" s="299" t="n"/>
    </row>
    <row r="11">
      <c r="A11" s="280" t="inlineStr">
        <is>
          <t>104</t>
        </is>
      </c>
      <c r="B11" s="232" t="n">
        <v>244.69</v>
      </c>
      <c r="C11" s="232" t="n">
        <v>259.09</v>
      </c>
      <c r="D11" s="228" t="n">
        <v>14400</v>
      </c>
      <c r="E11" s="29" t="n">
        <v>0</v>
      </c>
      <c r="F11" s="29" t="n">
        <v>1200</v>
      </c>
      <c r="G11" s="29" t="n">
        <v>1200</v>
      </c>
      <c r="H11" s="29" t="n">
        <v>50</v>
      </c>
      <c r="I11" s="29" t="n">
        <v>1250</v>
      </c>
      <c r="J11" s="296" t="n"/>
      <c r="K11" s="227" t="inlineStr">
        <is>
          <t>Paid</t>
        </is>
      </c>
      <c r="L11" s="236" t="n"/>
      <c r="M11" s="231" t="n"/>
      <c r="O11" s="231" t="n"/>
      <c r="P11" s="299" t="n"/>
    </row>
    <row r="12">
      <c r="A12" s="280" t="inlineStr">
        <is>
          <t>201</t>
        </is>
      </c>
      <c r="B12" s="232" t="n">
        <v>203.55</v>
      </c>
      <c r="C12" s="232" t="n">
        <v>210.21</v>
      </c>
      <c r="D12" s="228" t="n">
        <v>6660</v>
      </c>
      <c r="E12" s="29" t="n">
        <v>0</v>
      </c>
      <c r="F12" s="29" t="n">
        <v>1200</v>
      </c>
      <c r="G12" s="29" t="n">
        <v>1200</v>
      </c>
      <c r="H12" s="29" t="n">
        <v>50</v>
      </c>
      <c r="I12" s="29" t="n">
        <v>1250</v>
      </c>
      <c r="J12" s="296" t="n"/>
      <c r="K12" s="227" t="inlineStr">
        <is>
          <t>Paid</t>
        </is>
      </c>
      <c r="L12" s="236" t="n"/>
      <c r="M12" s="231" t="n"/>
      <c r="O12" s="231" t="n"/>
      <c r="P12" s="299" t="n"/>
    </row>
    <row r="13">
      <c r="A13" s="280" t="inlineStr">
        <is>
          <t>202</t>
        </is>
      </c>
      <c r="B13" s="232" t="n">
        <v>383.41</v>
      </c>
      <c r="C13" s="232" t="n">
        <v>390.75</v>
      </c>
      <c r="D13" s="228" t="n">
        <v>7340</v>
      </c>
      <c r="E13" s="29" t="n">
        <v>0</v>
      </c>
      <c r="F13" s="29" t="n">
        <v>1200</v>
      </c>
      <c r="G13" s="29" t="n">
        <v>1200</v>
      </c>
      <c r="H13" s="29" t="n">
        <v>50</v>
      </c>
      <c r="I13" s="29" t="n">
        <v>1250</v>
      </c>
      <c r="J13" s="296" t="n"/>
      <c r="K13" s="29" t="inlineStr">
        <is>
          <t>Paid</t>
        </is>
      </c>
      <c r="L13" s="257" t="n"/>
      <c r="M13" s="257" t="n"/>
      <c r="O13" s="331" t="n"/>
      <c r="P13" s="298" t="n"/>
    </row>
    <row r="14">
      <c r="A14" s="280" t="inlineStr">
        <is>
          <t>203</t>
        </is>
      </c>
      <c r="B14" s="232" t="n">
        <v>0</v>
      </c>
      <c r="C14" s="232" t="n">
        <v>8.589</v>
      </c>
      <c r="D14" s="228" t="n">
        <v>8589</v>
      </c>
      <c r="E14" s="29" t="n">
        <v>0</v>
      </c>
      <c r="F14" s="29" t="n">
        <v>1200</v>
      </c>
      <c r="G14" s="29" t="n">
        <v>1200</v>
      </c>
      <c r="H14" s="29" t="n">
        <v>50</v>
      </c>
      <c r="I14" s="29" t="n">
        <v>1250</v>
      </c>
      <c r="J14" s="296" t="n"/>
      <c r="K14" s="29" t="inlineStr">
        <is>
          <t>Paid</t>
        </is>
      </c>
      <c r="L14" s="254" t="n"/>
      <c r="M14" s="114" t="n"/>
      <c r="O14" s="331" t="n"/>
      <c r="P14" s="298" t="n"/>
    </row>
    <row r="15">
      <c r="A15" s="280" t="inlineStr">
        <is>
          <t>204</t>
        </is>
      </c>
      <c r="B15" s="232" t="n">
        <v>379.09</v>
      </c>
      <c r="C15" s="232" t="n">
        <v>385.45</v>
      </c>
      <c r="D15" s="228" t="n">
        <v>6360</v>
      </c>
      <c r="E15" s="29" t="n">
        <v>0</v>
      </c>
      <c r="F15" s="29" t="n">
        <v>1200</v>
      </c>
      <c r="G15" s="29" t="n">
        <v>1200</v>
      </c>
      <c r="H15" s="29" t="n">
        <v>50</v>
      </c>
      <c r="I15" s="29" t="n">
        <v>1250</v>
      </c>
      <c r="J15" s="296" t="n"/>
      <c r="K15" s="29" t="inlineStr">
        <is>
          <t>Paid</t>
        </is>
      </c>
      <c r="L15" s="224" t="n"/>
      <c r="M15" s="114" t="n"/>
      <c r="O15" s="331" t="n"/>
      <c r="P15" s="331" t="n"/>
    </row>
    <row r="16">
      <c r="A16" s="280" t="inlineStr">
        <is>
          <t>301</t>
        </is>
      </c>
      <c r="B16" s="232" t="n">
        <v>160.92</v>
      </c>
      <c r="C16" s="232" t="n">
        <v>166.67</v>
      </c>
      <c r="D16" s="228" t="n">
        <v>5750</v>
      </c>
      <c r="E16" s="29" t="n">
        <v>0</v>
      </c>
      <c r="F16" s="29" t="n">
        <v>1200</v>
      </c>
      <c r="G16" s="29" t="n">
        <v>1200</v>
      </c>
      <c r="H16" s="29" t="n">
        <v>50</v>
      </c>
      <c r="I16" s="29" t="n">
        <v>1250</v>
      </c>
      <c r="J16" s="296" t="n"/>
      <c r="K16" s="29" t="inlineStr">
        <is>
          <t>Paid</t>
        </is>
      </c>
      <c r="L16" s="160" t="n"/>
      <c r="M16" s="114" t="n"/>
      <c r="O16" s="331" t="n"/>
      <c r="P16" s="331" t="n"/>
    </row>
    <row r="17">
      <c r="A17" s="280" t="inlineStr">
        <is>
          <t>302</t>
        </is>
      </c>
      <c r="B17" s="232" t="n">
        <v>316.02</v>
      </c>
      <c r="C17" s="232" t="n">
        <v>327.09</v>
      </c>
      <c r="D17" s="228" t="n">
        <v>11070</v>
      </c>
      <c r="E17" s="29" t="n">
        <v>0</v>
      </c>
      <c r="F17" s="29" t="n">
        <v>1200</v>
      </c>
      <c r="G17" s="29" t="n">
        <v>1200</v>
      </c>
      <c r="H17" s="29" t="n">
        <v>50</v>
      </c>
      <c r="I17" s="29" t="n">
        <v>1250</v>
      </c>
      <c r="J17" s="296" t="n"/>
      <c r="K17" s="119" t="inlineStr">
        <is>
          <t>Paid</t>
        </is>
      </c>
      <c r="L17" s="114" t="n"/>
      <c r="M17" s="114" t="n"/>
    </row>
    <row r="18">
      <c r="A18" s="280" t="inlineStr">
        <is>
          <t>303</t>
        </is>
      </c>
      <c r="B18" s="232" t="n">
        <v>179.26</v>
      </c>
      <c r="C18" s="232" t="n">
        <v>188.411</v>
      </c>
      <c r="D18" s="228" t="n">
        <v>9151</v>
      </c>
      <c r="E18" s="29" t="n">
        <v>0</v>
      </c>
      <c r="F18" s="29" t="n">
        <v>1200</v>
      </c>
      <c r="G18" s="29" t="n">
        <v>1200</v>
      </c>
      <c r="H18" s="29" t="n">
        <v>50</v>
      </c>
      <c r="I18" s="29" t="n">
        <v>1250</v>
      </c>
      <c r="J18" s="296" t="n"/>
      <c r="K18" s="29" t="inlineStr">
        <is>
          <t>Paid</t>
        </is>
      </c>
      <c r="L18" s="114" t="n"/>
      <c r="M18" s="121" t="n"/>
      <c r="P18" s="331" t="n"/>
    </row>
    <row r="19">
      <c r="A19" s="280" t="inlineStr">
        <is>
          <t>304</t>
        </is>
      </c>
      <c r="B19" s="232" t="n">
        <v>498.37</v>
      </c>
      <c r="C19" s="232" t="n">
        <v>509.79</v>
      </c>
      <c r="D19" s="228" t="n">
        <v>11420</v>
      </c>
      <c r="E19" s="29" t="n">
        <v>0</v>
      </c>
      <c r="F19" s="29" t="n">
        <v>1200</v>
      </c>
      <c r="G19" s="29" t="n">
        <v>1200</v>
      </c>
      <c r="H19" s="29" t="n">
        <v>50</v>
      </c>
      <c r="I19" s="29" t="n">
        <v>1250</v>
      </c>
      <c r="J19" s="296" t="n"/>
      <c r="K19" s="29" t="inlineStr">
        <is>
          <t>Paid</t>
        </is>
      </c>
      <c r="L19" s="256" t="n"/>
      <c r="M19" s="256" t="n"/>
    </row>
    <row r="20">
      <c r="A20" s="228" t="inlineStr">
        <is>
          <t>Common</t>
        </is>
      </c>
      <c r="B20" s="232" t="n">
        <v>514.66</v>
      </c>
      <c r="C20" s="232" t="n">
        <v>527.01</v>
      </c>
      <c r="D20" s="228" t="n">
        <v>12350</v>
      </c>
      <c r="E20" s="29" t="n">
        <v>0</v>
      </c>
      <c r="F20" s="29" t="n">
        <v>0</v>
      </c>
      <c r="G20" s="29" t="n"/>
      <c r="H20" s="29" t="n">
        <v>0</v>
      </c>
      <c r="I20" s="29" t="n">
        <v>0</v>
      </c>
      <c r="J20" s="29" t="n"/>
      <c r="K20" s="29" t="n"/>
      <c r="L20" s="231" t="n"/>
      <c r="M20" s="231" t="n"/>
    </row>
    <row r="21">
      <c r="A21" s="228" t="n"/>
      <c r="B21" s="29" t="n"/>
      <c r="C21" s="230" t="n"/>
      <c r="D21" s="29" t="n"/>
      <c r="E21" s="49" t="n"/>
      <c r="F21" s="49" t="n"/>
      <c r="G21" s="49" t="n"/>
      <c r="H21" s="49" t="n">
        <v>800</v>
      </c>
      <c r="I21" s="49" t="n">
        <v>20600</v>
      </c>
      <c r="J21" s="49" t="n">
        <v>0</v>
      </c>
      <c r="K21" s="49" t="n"/>
      <c r="L21" s="231" t="n"/>
      <c r="M21" s="231" t="n"/>
      <c r="O21" s="331" t="n"/>
    </row>
    <row r="22">
      <c r="A22" s="228" t="n"/>
      <c r="B22" s="29" t="inlineStr">
        <is>
          <t>Total Usage Units</t>
        </is>
      </c>
      <c r="C22" s="29" t="n"/>
      <c r="D22" s="30" t="n">
        <v>142177</v>
      </c>
      <c r="E22" s="29" t="n">
        <v>0</v>
      </c>
      <c r="F22" s="29" t="n"/>
      <c r="G22" s="29" t="n"/>
      <c r="H22" s="29" t="n"/>
      <c r="I22" s="29" t="n"/>
      <c r="J22" s="29" t="n"/>
      <c r="K22" s="29" t="n"/>
      <c r="L22" s="231" t="n"/>
      <c r="M22" s="245" t="n"/>
    </row>
    <row r="23" ht="30" customHeight="1" s="366">
      <c r="A23" s="228" t="n"/>
      <c r="B23" s="29" t="inlineStr">
        <is>
          <t>Per Lt cost</t>
        </is>
      </c>
      <c r="C23" s="119" t="inlineStr">
        <is>
          <t>Number of tankers / Number of litters</t>
        </is>
      </c>
      <c r="D23" s="111" t="n">
        <v>0</v>
      </c>
      <c r="E23" s="29" t="n"/>
      <c r="F23" s="29" t="n"/>
      <c r="G23" s="29" t="n"/>
      <c r="H23" s="29" t="n"/>
      <c r="I23" s="29" t="n"/>
      <c r="J23" s="29" t="n"/>
      <c r="K23" s="29" t="n"/>
      <c r="L23" s="257" t="n"/>
      <c r="M23" s="257" t="n"/>
    </row>
    <row r="24" ht="30" customHeight="1" s="366">
      <c r="A24" s="281" t="inlineStr">
        <is>
          <t>Total Water Bill</t>
        </is>
      </c>
      <c r="B24" s="30" t="n">
        <v>0</v>
      </c>
      <c r="C24" s="119" t="inlineStr">
        <is>
          <t>WATER Tankers(0) One Tanker Cost: 1200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K18" sqref="K18"/>
    </sheetView>
  </sheetViews>
  <sheetFormatPr baseColWidth="8" defaultRowHeight="15"/>
  <cols>
    <col width="14.7109375" bestFit="1" customWidth="1" style="366" min="1" max="1"/>
    <col width="16.28515625" bestFit="1" customWidth="1" style="366" min="2" max="2"/>
    <col width="16.7109375" bestFit="1" customWidth="1" style="366" min="3" max="3"/>
    <col width="9.5703125" bestFit="1" customWidth="1" style="366" min="4" max="4"/>
    <col width="6.5703125" bestFit="1" customWidth="1" style="366" min="5" max="5"/>
    <col width="12.7109375" bestFit="1" customWidth="1" style="366" min="6" max="7"/>
    <col width="8.42578125" bestFit="1" customWidth="1" style="366" min="8" max="8"/>
    <col width="6.28515625" bestFit="1" customWidth="1" style="366" min="9" max="9"/>
    <col width="8.140625" bestFit="1" customWidth="1" style="366" min="10" max="10"/>
    <col width="8.85546875" bestFit="1" customWidth="1" style="366" min="11" max="11"/>
    <col width="25.7109375" bestFit="1" customWidth="1" style="366" min="12" max="12"/>
    <col width="12.28515625" customWidth="1" style="366" min="13" max="13"/>
    <col width="25.7109375" bestFit="1" customWidth="1" style="366" min="16" max="16"/>
  </cols>
  <sheetData>
    <row r="1" ht="30" customHeight="1" s="366">
      <c r="A1" s="307" t="inlineStr">
        <is>
          <t>Flat Numbers</t>
        </is>
      </c>
      <c r="B1" s="307" t="inlineStr">
        <is>
          <t>Previous Meter Reading</t>
        </is>
      </c>
      <c r="C1" s="307" t="inlineStr">
        <is>
          <t>Current Meter Reading</t>
        </is>
      </c>
      <c r="D1" s="308" t="inlineStr">
        <is>
          <t>Total Units</t>
        </is>
      </c>
      <c r="E1" s="308" t="inlineStr">
        <is>
          <t>Water Bill</t>
        </is>
      </c>
      <c r="F1" s="308" t="inlineStr">
        <is>
          <t>Common Maintanence</t>
        </is>
      </c>
      <c r="G1" s="308" t="inlineStr">
        <is>
          <t>Total Maintenance</t>
        </is>
      </c>
      <c r="H1" s="308" t="inlineStr">
        <is>
          <t>Garbage Amount</t>
        </is>
      </c>
      <c r="I1" s="308" t="inlineStr">
        <is>
          <t xml:space="preserve">Topay </t>
        </is>
      </c>
      <c r="J1" s="308" t="inlineStr">
        <is>
          <t>Receive Amount</t>
        </is>
      </c>
      <c r="K1" s="308" t="inlineStr">
        <is>
          <t>Payment Status</t>
        </is>
      </c>
      <c r="L1" s="314" t="inlineStr">
        <is>
          <t>Balance amount (jan)-26 COD: 31-01-2026</t>
        </is>
      </c>
      <c r="M1" s="290" t="inlineStr">
        <is>
          <t>17199</t>
        </is>
      </c>
    </row>
    <row r="2">
      <c r="A2" s="232" t="inlineStr">
        <is>
          <t>Shop-1</t>
        </is>
      </c>
      <c r="B2" s="309" t="inlineStr">
        <is>
          <t>NA</t>
        </is>
      </c>
      <c r="C2" s="309" t="inlineStr">
        <is>
          <t>NA</t>
        </is>
      </c>
      <c r="D2" s="309" t="inlineStr">
        <is>
          <t>NA</t>
        </is>
      </c>
      <c r="E2" s="309" t="inlineStr">
        <is>
          <t>NA</t>
        </is>
      </c>
      <c r="F2" s="309" t="n">
        <v>300</v>
      </c>
      <c r="G2" s="309" t="n">
        <v>300</v>
      </c>
      <c r="H2" s="309" t="n">
        <v>0</v>
      </c>
      <c r="I2" s="309" t="n">
        <v>300</v>
      </c>
      <c r="J2" s="309" t="n"/>
      <c r="K2" s="309" t="inlineStr">
        <is>
          <t>Paid</t>
        </is>
      </c>
      <c r="L2" s="231" t="n"/>
      <c r="M2" s="231" t="n"/>
    </row>
    <row r="3">
      <c r="A3" s="232" t="inlineStr">
        <is>
          <t>Shop-2</t>
        </is>
      </c>
      <c r="B3" s="310" t="inlineStr">
        <is>
          <t>NA</t>
        </is>
      </c>
      <c r="C3" s="310" t="inlineStr">
        <is>
          <t>NA</t>
        </is>
      </c>
      <c r="D3" s="309" t="inlineStr">
        <is>
          <t>NA</t>
        </is>
      </c>
      <c r="E3" s="309" t="inlineStr">
        <is>
          <t>NA</t>
        </is>
      </c>
      <c r="F3" s="309" t="n">
        <v>300</v>
      </c>
      <c r="G3" s="309" t="n">
        <v>300</v>
      </c>
      <c r="H3" s="309" t="n">
        <v>0</v>
      </c>
      <c r="I3" s="309" t="n">
        <v>300</v>
      </c>
      <c r="J3" s="309" t="n"/>
      <c r="K3" s="309" t="inlineStr">
        <is>
          <t>Paid</t>
        </is>
      </c>
      <c r="L3" s="231" t="n"/>
      <c r="M3" s="231" t="n"/>
    </row>
    <row r="4">
      <c r="A4" s="232" t="inlineStr">
        <is>
          <t>G1</t>
        </is>
      </c>
      <c r="B4" s="232" t="n">
        <v>5.037</v>
      </c>
      <c r="C4" s="232" t="n">
        <v>8.651</v>
      </c>
      <c r="D4" s="309" t="n">
        <v>3614</v>
      </c>
      <c r="E4" s="309" t="n">
        <v>0</v>
      </c>
      <c r="F4" s="309" t="n">
        <v>1200</v>
      </c>
      <c r="G4" s="309" t="n">
        <v>1200</v>
      </c>
      <c r="H4" s="309" t="n">
        <v>50</v>
      </c>
      <c r="I4" s="309" t="n">
        <v>1250</v>
      </c>
      <c r="J4" s="309" t="n"/>
      <c r="K4" s="311" t="inlineStr">
        <is>
          <t>Paid</t>
        </is>
      </c>
      <c r="L4" s="315" t="n"/>
      <c r="M4" s="316" t="n"/>
    </row>
    <row r="5">
      <c r="A5" s="232" t="inlineStr">
        <is>
          <t>G2</t>
        </is>
      </c>
      <c r="B5" s="232" t="n">
        <v>286.04</v>
      </c>
      <c r="C5" s="232" t="n">
        <v>289.36</v>
      </c>
      <c r="D5" s="309" t="n">
        <v>3320</v>
      </c>
      <c r="E5" s="309" t="n">
        <v>0</v>
      </c>
      <c r="F5" s="309" t="n">
        <v>1200</v>
      </c>
      <c r="G5" s="309" t="n">
        <v>1200</v>
      </c>
      <c r="H5" s="309" t="n">
        <v>50</v>
      </c>
      <c r="I5" s="309" t="n">
        <v>1250</v>
      </c>
      <c r="J5" s="309" t="n"/>
      <c r="K5" s="309" t="inlineStr">
        <is>
          <t>Paid</t>
        </is>
      </c>
      <c r="L5" s="301" t="n"/>
      <c r="M5" s="346" t="n"/>
    </row>
    <row r="6">
      <c r="A6" s="232" t="inlineStr">
        <is>
          <t>G3</t>
        </is>
      </c>
      <c r="B6" s="232" t="n">
        <v>561.83</v>
      </c>
      <c r="C6" s="232" t="n">
        <v>570.04</v>
      </c>
      <c r="D6" s="309" t="n">
        <v>8210</v>
      </c>
      <c r="E6" s="309" t="n">
        <v>0</v>
      </c>
      <c r="F6" s="309" t="n">
        <v>1200</v>
      </c>
      <c r="G6" s="309" t="n">
        <v>1200</v>
      </c>
      <c r="H6" s="309" t="n">
        <v>50</v>
      </c>
      <c r="I6" s="309" t="n">
        <v>1250</v>
      </c>
      <c r="J6" s="309" t="n"/>
      <c r="K6" s="309" t="inlineStr">
        <is>
          <t>Paid</t>
        </is>
      </c>
      <c r="L6" s="302" t="n"/>
      <c r="M6" s="231" t="n"/>
      <c r="P6" s="376" t="n"/>
    </row>
    <row r="7">
      <c r="A7" s="232" t="inlineStr">
        <is>
          <t>G4</t>
        </is>
      </c>
      <c r="B7" s="232" t="n">
        <v>458.46</v>
      </c>
      <c r="C7" s="232" t="n">
        <v>469.17</v>
      </c>
      <c r="D7" s="309" t="n">
        <v>10710</v>
      </c>
      <c r="E7" s="309" t="n">
        <v>0</v>
      </c>
      <c r="F7" s="309" t="n">
        <v>1200</v>
      </c>
      <c r="G7" s="309" t="n">
        <v>1200</v>
      </c>
      <c r="H7" s="309" t="n">
        <v>50</v>
      </c>
      <c r="I7" s="309" t="n">
        <v>1250</v>
      </c>
      <c r="J7" s="309" t="n"/>
      <c r="K7" s="309" t="inlineStr">
        <is>
          <t>Paid</t>
        </is>
      </c>
      <c r="L7" s="303" t="n"/>
      <c r="M7" s="231" t="n"/>
      <c r="P7" s="317" t="n"/>
      <c r="Q7" s="231" t="n"/>
    </row>
    <row r="8">
      <c r="A8" s="232" t="inlineStr">
        <is>
          <t>101</t>
        </is>
      </c>
      <c r="B8" s="232" t="n">
        <v>111.41</v>
      </c>
      <c r="C8" s="232" t="n">
        <v>111.92</v>
      </c>
      <c r="D8" s="309" t="n">
        <v>510</v>
      </c>
      <c r="E8" s="309" t="n">
        <v>0</v>
      </c>
      <c r="F8" s="309" t="n">
        <v>1200</v>
      </c>
      <c r="G8" s="309" t="n">
        <v>1200</v>
      </c>
      <c r="H8" s="309" t="n">
        <v>50</v>
      </c>
      <c r="I8" s="309" t="n">
        <v>1250</v>
      </c>
      <c r="J8" s="309" t="n"/>
      <c r="K8" s="309" t="inlineStr">
        <is>
          <t>Paid</t>
        </is>
      </c>
      <c r="L8" s="276" t="n"/>
      <c r="M8" s="231" t="n"/>
      <c r="P8" s="318" t="n"/>
      <c r="Q8" s="231" t="n"/>
    </row>
    <row r="9">
      <c r="A9" s="232" t="inlineStr">
        <is>
          <t>102</t>
        </is>
      </c>
      <c r="B9" s="232" t="n">
        <v>666.88</v>
      </c>
      <c r="C9" s="232" t="n">
        <v>671.2</v>
      </c>
      <c r="D9" s="309" t="n">
        <v>4320</v>
      </c>
      <c r="E9" s="309" t="n">
        <v>0</v>
      </c>
      <c r="F9" s="309" t="n">
        <v>1200</v>
      </c>
      <c r="G9" s="309" t="n">
        <v>1200</v>
      </c>
      <c r="H9" s="309" t="n">
        <v>50</v>
      </c>
      <c r="I9" s="309" t="n">
        <v>1250</v>
      </c>
      <c r="J9" s="309" t="n"/>
      <c r="K9" s="309" t="inlineStr">
        <is>
          <t>Paid</t>
        </is>
      </c>
      <c r="L9" s="276" t="n"/>
      <c r="M9" s="231" t="n"/>
      <c r="P9" s="320" t="n"/>
      <c r="Q9" s="231" t="n"/>
    </row>
    <row r="10">
      <c r="A10" s="232" t="inlineStr">
        <is>
          <t>103</t>
        </is>
      </c>
      <c r="B10" s="232" t="n">
        <v>355.18</v>
      </c>
      <c r="C10" s="232" t="n">
        <v>364.14</v>
      </c>
      <c r="D10" s="309" t="n">
        <v>8960</v>
      </c>
      <c r="E10" s="309" t="n">
        <v>0</v>
      </c>
      <c r="F10" s="309" t="n">
        <v>1200</v>
      </c>
      <c r="G10" s="309" t="n">
        <v>1200</v>
      </c>
      <c r="H10" s="309" t="n">
        <v>50</v>
      </c>
      <c r="I10" s="309" t="n">
        <v>1250</v>
      </c>
      <c r="J10" s="309" t="n"/>
      <c r="K10" s="309" t="inlineStr">
        <is>
          <t>Paid</t>
        </is>
      </c>
      <c r="L10" s="276" t="n"/>
      <c r="M10" s="231" t="n"/>
      <c r="P10" s="319" t="n"/>
      <c r="Q10" s="231" t="n"/>
    </row>
    <row r="11">
      <c r="A11" s="232" t="inlineStr">
        <is>
          <t>104</t>
        </is>
      </c>
      <c r="B11" s="232" t="n">
        <v>259.09</v>
      </c>
      <c r="C11" s="232" t="n">
        <v>266.39</v>
      </c>
      <c r="D11" s="309" t="n">
        <v>7300</v>
      </c>
      <c r="E11" s="309" t="n">
        <v>0</v>
      </c>
      <c r="F11" s="309" t="n">
        <v>1200</v>
      </c>
      <c r="G11" s="309" t="n">
        <v>1200</v>
      </c>
      <c r="H11" s="309" t="n">
        <v>50</v>
      </c>
      <c r="I11" s="309" t="n">
        <v>1250</v>
      </c>
      <c r="J11" s="309" t="n"/>
      <c r="K11" s="309" t="inlineStr">
        <is>
          <t>Paid</t>
        </is>
      </c>
      <c r="L11" s="276" t="n"/>
      <c r="M11" s="231" t="n"/>
      <c r="P11" s="318" t="n"/>
      <c r="Q11" s="231" t="n"/>
    </row>
    <row r="12">
      <c r="A12" s="232" t="inlineStr">
        <is>
          <t>201</t>
        </is>
      </c>
      <c r="B12" s="232" t="n">
        <v>210.21</v>
      </c>
      <c r="C12" s="232" t="n">
        <v>218.59</v>
      </c>
      <c r="D12" s="309" t="n">
        <v>8380</v>
      </c>
      <c r="E12" s="309" t="n">
        <v>0</v>
      </c>
      <c r="F12" s="309" t="n">
        <v>1200</v>
      </c>
      <c r="G12" s="309" t="n">
        <v>1200</v>
      </c>
      <c r="H12" s="309" t="n">
        <v>50</v>
      </c>
      <c r="I12" s="309" t="n">
        <v>1250</v>
      </c>
      <c r="J12" s="309" t="n"/>
      <c r="K12" s="309" t="inlineStr">
        <is>
          <t>Paid</t>
        </is>
      </c>
      <c r="L12" s="276" t="n"/>
      <c r="M12" s="231" t="n"/>
      <c r="P12" s="236" t="n"/>
      <c r="Q12" s="231" t="n"/>
    </row>
    <row r="13">
      <c r="A13" s="232" t="inlineStr">
        <is>
          <t>202</t>
        </is>
      </c>
      <c r="B13" s="232" t="n">
        <v>390.75</v>
      </c>
      <c r="C13" s="232" t="n">
        <v>394.73</v>
      </c>
      <c r="D13" s="309" t="n">
        <v>3980</v>
      </c>
      <c r="E13" s="309" t="n">
        <v>0</v>
      </c>
      <c r="F13" s="309" t="n">
        <v>1200</v>
      </c>
      <c r="G13" s="309" t="n">
        <v>1200</v>
      </c>
      <c r="H13" s="309" t="n">
        <v>50</v>
      </c>
      <c r="I13" s="309" t="n">
        <v>1250</v>
      </c>
      <c r="J13" s="309" t="n"/>
      <c r="K13" s="309" t="inlineStr">
        <is>
          <t>Paid</t>
        </is>
      </c>
      <c r="L13" s="276" t="n"/>
      <c r="M13" s="231" t="n"/>
      <c r="P13" s="331" t="n"/>
      <c r="Q13" s="331" t="n"/>
    </row>
    <row r="14">
      <c r="A14" s="232" t="inlineStr">
        <is>
          <t>203</t>
        </is>
      </c>
      <c r="B14" s="232" t="n">
        <v>8.589</v>
      </c>
      <c r="C14" s="232" t="n">
        <v>14.211</v>
      </c>
      <c r="D14" s="309" t="n">
        <v>5622</v>
      </c>
      <c r="E14" s="309" t="n">
        <v>0</v>
      </c>
      <c r="F14" s="309" t="n">
        <v>1200</v>
      </c>
      <c r="G14" s="309" t="n">
        <v>1200</v>
      </c>
      <c r="H14" s="309" t="n">
        <v>50</v>
      </c>
      <c r="I14" s="309" t="n">
        <v>1250</v>
      </c>
      <c r="J14" s="309" t="n"/>
      <c r="K14" s="309" t="inlineStr">
        <is>
          <t>Paid</t>
        </is>
      </c>
      <c r="L14" s="276" t="n"/>
      <c r="M14" s="231" t="n"/>
    </row>
    <row r="15">
      <c r="A15" s="232" t="inlineStr">
        <is>
          <t>204</t>
        </is>
      </c>
      <c r="B15" s="232" t="n">
        <v>385.45</v>
      </c>
      <c r="C15" s="232" t="n">
        <v>390.7</v>
      </c>
      <c r="D15" s="309" t="n">
        <v>5250</v>
      </c>
      <c r="E15" s="309" t="n">
        <v>0</v>
      </c>
      <c r="F15" s="309" t="n">
        <v>1200</v>
      </c>
      <c r="G15" s="309" t="n">
        <v>1200</v>
      </c>
      <c r="H15" s="309" t="n">
        <v>50</v>
      </c>
      <c r="I15" s="309" t="n">
        <v>1250</v>
      </c>
      <c r="J15" s="309" t="n"/>
      <c r="K15" s="309" t="inlineStr">
        <is>
          <t>Paid</t>
        </is>
      </c>
      <c r="L15" s="276" t="n"/>
      <c r="M15" s="231" t="n"/>
    </row>
    <row r="16">
      <c r="A16" s="232" t="inlineStr">
        <is>
          <t>301</t>
        </is>
      </c>
      <c r="B16" s="232" t="n">
        <v>166.67</v>
      </c>
      <c r="C16" s="232" t="n">
        <v>171.14</v>
      </c>
      <c r="D16" s="309" t="n">
        <v>4470</v>
      </c>
      <c r="E16" s="309" t="n">
        <v>0</v>
      </c>
      <c r="F16" s="309" t="n">
        <v>1200</v>
      </c>
      <c r="G16" s="309" t="n">
        <v>1200</v>
      </c>
      <c r="H16" s="309" t="n">
        <v>50</v>
      </c>
      <c r="I16" s="309" t="n">
        <v>1250</v>
      </c>
      <c r="J16" s="309" t="n"/>
      <c r="K16" s="309" t="inlineStr">
        <is>
          <t>Paid</t>
        </is>
      </c>
      <c r="L16" s="276" t="n"/>
      <c r="M16" s="231" t="n"/>
    </row>
    <row r="17">
      <c r="A17" s="232" t="inlineStr">
        <is>
          <t>302</t>
        </is>
      </c>
      <c r="B17" s="232" t="n">
        <v>327.09</v>
      </c>
      <c r="C17" s="232" t="n">
        <v>337.82</v>
      </c>
      <c r="D17" s="309" t="n">
        <v>10730</v>
      </c>
      <c r="E17" s="309" t="n">
        <v>0</v>
      </c>
      <c r="F17" s="309" t="n">
        <v>1200</v>
      </c>
      <c r="G17" s="309" t="n">
        <v>1200</v>
      </c>
      <c r="H17" s="309" t="n">
        <v>50</v>
      </c>
      <c r="I17" s="309" t="n">
        <v>1250</v>
      </c>
      <c r="J17" s="309" t="n"/>
      <c r="K17" s="312" t="inlineStr">
        <is>
          <t>Paid</t>
        </is>
      </c>
      <c r="L17" s="276" t="n"/>
      <c r="M17" s="231" t="n"/>
    </row>
    <row r="18">
      <c r="A18" s="232" t="inlineStr">
        <is>
          <t>303</t>
        </is>
      </c>
      <c r="B18" s="232" t="n">
        <v>188.411</v>
      </c>
      <c r="C18" s="232" t="n">
        <v>198.193</v>
      </c>
      <c r="D18" s="309" t="n">
        <v>9782</v>
      </c>
      <c r="E18" s="309" t="n">
        <v>0</v>
      </c>
      <c r="F18" s="309" t="n">
        <v>1200</v>
      </c>
      <c r="G18" s="309" t="n">
        <v>1200</v>
      </c>
      <c r="H18" s="309" t="n">
        <v>50</v>
      </c>
      <c r="I18" s="309" t="n">
        <v>1250</v>
      </c>
      <c r="J18" s="309" t="n"/>
      <c r="K18" s="309" t="inlineStr">
        <is>
          <t>Paid</t>
        </is>
      </c>
      <c r="L18" s="276" t="n"/>
      <c r="M18" s="231" t="n"/>
    </row>
    <row r="19">
      <c r="A19" s="232" t="inlineStr">
        <is>
          <t>304</t>
        </is>
      </c>
      <c r="B19" s="232" t="n">
        <v>509.79</v>
      </c>
      <c r="C19" s="232" t="n">
        <v>521.96</v>
      </c>
      <c r="D19" s="309" t="n">
        <v>12170</v>
      </c>
      <c r="E19" s="309" t="n">
        <v>0</v>
      </c>
      <c r="F19" s="309" t="n">
        <v>1200</v>
      </c>
      <c r="G19" s="309" t="n">
        <v>1200</v>
      </c>
      <c r="H19" s="309" t="n">
        <v>50</v>
      </c>
      <c r="I19" s="309" t="n">
        <v>1250</v>
      </c>
      <c r="J19" s="309" t="n"/>
      <c r="K19" s="309" t="inlineStr">
        <is>
          <t>Paid</t>
        </is>
      </c>
      <c r="L19" s="304" t="n"/>
      <c r="M19" s="300" t="n"/>
      <c r="Q19" s="331" t="n"/>
    </row>
    <row r="20">
      <c r="A20" s="309" t="inlineStr">
        <is>
          <t>Common</t>
        </is>
      </c>
      <c r="B20" s="232" t="n">
        <v>527.01</v>
      </c>
      <c r="C20" s="232" t="n">
        <v>527.01</v>
      </c>
      <c r="D20" s="309" t="n">
        <v>0</v>
      </c>
      <c r="E20" s="309" t="n">
        <v>0</v>
      </c>
      <c r="F20" s="309" t="n">
        <v>0</v>
      </c>
      <c r="G20" s="309" t="n"/>
      <c r="H20" s="309" t="n">
        <v>0</v>
      </c>
      <c r="I20" s="309" t="n">
        <v>0</v>
      </c>
      <c r="J20" s="309" t="n"/>
      <c r="K20" s="309" t="n"/>
      <c r="L20" s="276" t="n"/>
      <c r="M20" s="231" t="n"/>
      <c r="P20" s="331" t="n"/>
    </row>
    <row r="21">
      <c r="A21" s="309" t="n"/>
      <c r="B21" s="309" t="n"/>
      <c r="C21" s="309" t="n"/>
      <c r="D21" s="309" t="n"/>
      <c r="E21" s="313" t="n"/>
      <c r="F21" s="313" t="n"/>
      <c r="G21" s="313" t="n"/>
      <c r="H21" s="313" t="n">
        <v>800</v>
      </c>
      <c r="I21" s="313" t="n">
        <v>20600</v>
      </c>
      <c r="J21" s="313" t="n">
        <v>0</v>
      </c>
      <c r="K21" s="313" t="n"/>
      <c r="L21" s="276" t="n"/>
      <c r="M21" s="231" t="n"/>
    </row>
    <row r="22">
      <c r="A22" s="305" t="n"/>
      <c r="B22" s="230" t="inlineStr">
        <is>
          <t>Total Usage Units</t>
        </is>
      </c>
      <c r="C22" s="230" t="n"/>
      <c r="D22" s="306" t="n">
        <v>107328</v>
      </c>
      <c r="E22" s="230" t="n">
        <v>0</v>
      </c>
      <c r="F22" s="230" t="n"/>
      <c r="G22" s="230" t="n"/>
      <c r="H22" s="230" t="n"/>
      <c r="I22" s="230" t="n"/>
      <c r="J22" s="230" t="n"/>
      <c r="K22" s="230" t="n"/>
      <c r="L22" s="231" t="n"/>
      <c r="M22" s="245" t="n"/>
    </row>
    <row r="23" ht="45" customHeight="1" s="366">
      <c r="A23" s="228" t="n"/>
      <c r="B23" s="29" t="inlineStr">
        <is>
          <t>Per Lt cost</t>
        </is>
      </c>
      <c r="C23" s="119" t="inlineStr">
        <is>
          <t>Number of tankers / Number of litters</t>
        </is>
      </c>
      <c r="D23" s="111" t="n">
        <v>0</v>
      </c>
      <c r="E23" s="29" t="n"/>
      <c r="F23" s="29" t="n"/>
      <c r="G23" s="29" t="n"/>
      <c r="H23" s="29" t="n"/>
      <c r="I23" s="29" t="n"/>
      <c r="J23" s="29" t="n"/>
      <c r="K23" s="29" t="n"/>
      <c r="L23" s="257" t="n"/>
      <c r="M23" s="257" t="n"/>
    </row>
    <row r="24" ht="45" customHeight="1" s="366">
      <c r="A24" s="281" t="inlineStr">
        <is>
          <t>Total Water Bill</t>
        </is>
      </c>
      <c r="B24" s="30" t="n">
        <v>0</v>
      </c>
      <c r="C24" s="119" t="inlineStr">
        <is>
          <t>WATER Tankers(0) One Tanker Cost: 1200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J8" sqref="J8"/>
    </sheetView>
  </sheetViews>
  <sheetFormatPr baseColWidth="8" defaultRowHeight="15"/>
  <cols>
    <col width="14.7109375" bestFit="1" customWidth="1" style="366" min="1" max="1"/>
    <col width="16.28515625" bestFit="1" customWidth="1" style="366" min="2" max="2"/>
    <col width="16.7109375" bestFit="1" customWidth="1" style="366" min="3" max="3"/>
    <col width="9.5703125" bestFit="1" customWidth="1" style="366" min="4" max="4"/>
    <col width="6.5703125" bestFit="1" customWidth="1" style="366" min="5" max="5"/>
    <col width="12.7109375" bestFit="1" customWidth="1" style="366" min="6" max="7"/>
    <col width="8.42578125" bestFit="1" customWidth="1" style="366" min="8" max="8"/>
    <col width="6.28515625" bestFit="1" customWidth="1" style="366" min="9" max="9"/>
    <col width="8.140625" bestFit="1" customWidth="1" style="366" min="10" max="10"/>
    <col width="8.85546875" bestFit="1" customWidth="1" style="366" min="11" max="11"/>
    <col width="25.7109375" bestFit="1" customWidth="1" style="366" min="12" max="12"/>
    <col width="12.28515625" customWidth="1" style="366" min="13" max="13"/>
    <col width="25.7109375" bestFit="1" customWidth="1" style="366" min="16" max="16"/>
  </cols>
  <sheetData>
    <row r="1" ht="30" customHeight="1" s="366">
      <c r="A1" s="307" t="inlineStr">
        <is>
          <t>Flat Numbers</t>
        </is>
      </c>
      <c r="B1" s="307" t="inlineStr">
        <is>
          <t>Previous Meter Reading</t>
        </is>
      </c>
      <c r="C1" s="307" t="inlineStr">
        <is>
          <t>Current Meter Reading</t>
        </is>
      </c>
      <c r="D1" s="308" t="inlineStr">
        <is>
          <t>Total Units</t>
        </is>
      </c>
      <c r="E1" s="308" t="inlineStr">
        <is>
          <t>Water Bill</t>
        </is>
      </c>
      <c r="F1" s="308" t="inlineStr">
        <is>
          <t>Common Maintanence</t>
        </is>
      </c>
      <c r="G1" s="308" t="inlineStr">
        <is>
          <t>Total Maintenance</t>
        </is>
      </c>
      <c r="H1" s="308" t="inlineStr">
        <is>
          <t>Garbage Amount</t>
        </is>
      </c>
      <c r="I1" s="308" t="inlineStr">
        <is>
          <t xml:space="preserve">Topay </t>
        </is>
      </c>
      <c r="J1" s="308" t="inlineStr">
        <is>
          <t>Receive Amount</t>
        </is>
      </c>
      <c r="K1" s="308" t="inlineStr">
        <is>
          <t>Payment Status</t>
        </is>
      </c>
      <c r="L1" s="314" t="inlineStr">
        <is>
          <t>Balance amount (Feb)-26 COD: 28-02-2026</t>
        </is>
      </c>
      <c r="M1" s="323" t="inlineStr">
        <is>
          <t>14470</t>
        </is>
      </c>
    </row>
    <row r="2">
      <c r="A2" s="232" t="inlineStr">
        <is>
          <t>Shop-1</t>
        </is>
      </c>
      <c r="B2" s="309" t="inlineStr">
        <is>
          <t>NA</t>
        </is>
      </c>
      <c r="C2" s="309" t="inlineStr">
        <is>
          <t>NA</t>
        </is>
      </c>
      <c r="D2" s="309" t="inlineStr">
        <is>
          <t>NA</t>
        </is>
      </c>
      <c r="E2" s="309" t="inlineStr">
        <is>
          <t>NA</t>
        </is>
      </c>
      <c r="F2" s="309" t="n">
        <v>300</v>
      </c>
      <c r="G2" s="309" t="n">
        <v>300</v>
      </c>
      <c r="H2" s="309" t="n">
        <v>0</v>
      </c>
      <c r="I2" s="309" t="n">
        <v>300</v>
      </c>
      <c r="J2" s="309" t="n"/>
      <c r="K2" s="309" t="inlineStr">
        <is>
          <t>Paid</t>
        </is>
      </c>
      <c r="L2" s="231" t="n"/>
      <c r="M2" s="231" t="n"/>
    </row>
    <row r="3">
      <c r="A3" s="232" t="inlineStr">
        <is>
          <t>Shop-2</t>
        </is>
      </c>
      <c r="B3" s="310" t="inlineStr">
        <is>
          <t>NA</t>
        </is>
      </c>
      <c r="C3" s="310" t="inlineStr">
        <is>
          <t>NA</t>
        </is>
      </c>
      <c r="D3" s="309" t="inlineStr">
        <is>
          <t>NA</t>
        </is>
      </c>
      <c r="E3" s="309" t="inlineStr">
        <is>
          <t>NA</t>
        </is>
      </c>
      <c r="F3" s="309" t="n">
        <v>300</v>
      </c>
      <c r="G3" s="309" t="n">
        <v>300</v>
      </c>
      <c r="H3" s="309" t="n">
        <v>0</v>
      </c>
      <c r="I3" s="309" t="n">
        <v>300</v>
      </c>
      <c r="J3" s="309" t="n"/>
      <c r="K3" s="309" t="inlineStr">
        <is>
          <t>Paid</t>
        </is>
      </c>
      <c r="L3" s="231" t="n"/>
      <c r="M3" s="231" t="n"/>
    </row>
    <row r="4">
      <c r="A4" s="232" t="inlineStr">
        <is>
          <t>G1</t>
        </is>
      </c>
      <c r="B4" s="232" t="n">
        <v>8.651</v>
      </c>
      <c r="C4" s="232" t="n">
        <v>11.106</v>
      </c>
      <c r="D4" s="309" t="n">
        <v>2455</v>
      </c>
      <c r="E4" s="309" t="n">
        <v>0</v>
      </c>
      <c r="F4" s="309" t="n">
        <v>1200</v>
      </c>
      <c r="G4" s="309" t="n">
        <v>1200</v>
      </c>
      <c r="H4" s="309" t="n">
        <v>50</v>
      </c>
      <c r="I4" s="309" t="n">
        <v>1250</v>
      </c>
      <c r="J4" s="309" t="n"/>
      <c r="K4" s="311" t="inlineStr">
        <is>
          <t>Paid</t>
        </is>
      </c>
      <c r="L4" s="321" t="n"/>
      <c r="M4" s="322" t="n"/>
    </row>
    <row r="5">
      <c r="A5" s="232" t="inlineStr">
        <is>
          <t>G2</t>
        </is>
      </c>
      <c r="B5" s="232" t="n">
        <v>289.36</v>
      </c>
      <c r="C5" s="232" t="n">
        <v>295.25</v>
      </c>
      <c r="D5" s="309" t="n">
        <v>5890</v>
      </c>
      <c r="E5" s="309" t="n">
        <v>0</v>
      </c>
      <c r="F5" s="309" t="n">
        <v>1200</v>
      </c>
      <c r="G5" s="309" t="n">
        <v>1200</v>
      </c>
      <c r="H5" s="309" t="n">
        <v>50</v>
      </c>
      <c r="I5" s="309" t="n">
        <v>1250</v>
      </c>
      <c r="J5" s="309" t="n"/>
      <c r="K5" s="309" t="inlineStr">
        <is>
          <t>Paid</t>
        </is>
      </c>
      <c r="L5" s="346" t="n"/>
      <c r="M5" s="346" t="n"/>
    </row>
    <row r="6">
      <c r="A6" s="232" t="inlineStr">
        <is>
          <t>G3</t>
        </is>
      </c>
      <c r="B6" s="232" t="n">
        <v>570.04</v>
      </c>
      <c r="C6" s="232" t="n">
        <v>578.51</v>
      </c>
      <c r="D6" s="309" t="n">
        <v>8470</v>
      </c>
      <c r="E6" s="309" t="n">
        <v>0</v>
      </c>
      <c r="F6" s="309" t="n">
        <v>1200</v>
      </c>
      <c r="G6" s="309" t="n">
        <v>1200</v>
      </c>
      <c r="H6" s="309" t="n">
        <v>50</v>
      </c>
      <c r="I6" s="309" t="n">
        <v>1250</v>
      </c>
      <c r="J6" s="309" t="n"/>
      <c r="K6" s="309" t="inlineStr">
        <is>
          <t>Paid</t>
        </is>
      </c>
      <c r="L6" s="317" t="n"/>
      <c r="M6" s="231" t="n"/>
    </row>
    <row r="7">
      <c r="A7" s="232" t="inlineStr">
        <is>
          <t>G4</t>
        </is>
      </c>
      <c r="B7" s="232" t="n">
        <v>469.17</v>
      </c>
      <c r="C7" s="232" t="n">
        <v>478.63</v>
      </c>
      <c r="D7" s="309" t="n">
        <v>9460</v>
      </c>
      <c r="E7" s="309" t="n">
        <v>0</v>
      </c>
      <c r="F7" s="309" t="n">
        <v>1200</v>
      </c>
      <c r="G7" s="309" t="n">
        <v>1200</v>
      </c>
      <c r="H7" s="309" t="n">
        <v>50</v>
      </c>
      <c r="I7" s="309" t="n">
        <v>1250</v>
      </c>
      <c r="J7" s="309" t="n"/>
      <c r="K7" s="309" t="inlineStr">
        <is>
          <t>Paid</t>
        </is>
      </c>
      <c r="L7" s="318" t="n"/>
      <c r="M7" s="231" t="n"/>
    </row>
    <row r="8">
      <c r="A8" s="232" t="inlineStr">
        <is>
          <t>101</t>
        </is>
      </c>
      <c r="B8" s="232" t="n">
        <v>111.92</v>
      </c>
      <c r="C8" s="232" t="n">
        <v>117.16</v>
      </c>
      <c r="D8" s="309" t="n">
        <v>5240</v>
      </c>
      <c r="E8" s="309" t="n">
        <v>0</v>
      </c>
      <c r="F8" s="309" t="n">
        <v>1200</v>
      </c>
      <c r="G8" s="309" t="n">
        <v>1200</v>
      </c>
      <c r="H8" s="309" t="n">
        <v>50</v>
      </c>
      <c r="I8" s="309" t="n">
        <v>1250</v>
      </c>
      <c r="J8" s="309" t="n"/>
      <c r="K8" s="309" t="inlineStr">
        <is>
          <t>Paid</t>
        </is>
      </c>
      <c r="L8" s="320" t="n"/>
      <c r="M8" s="231" t="n"/>
      <c r="P8" s="346" t="n"/>
      <c r="Q8" s="346" t="n"/>
    </row>
    <row r="9">
      <c r="A9" s="232" t="inlineStr">
        <is>
          <t>102</t>
        </is>
      </c>
      <c r="B9" s="232" t="n">
        <v>671.2</v>
      </c>
      <c r="C9" s="232" t="n">
        <v>676.42</v>
      </c>
      <c r="D9" s="309" t="n">
        <v>5220</v>
      </c>
      <c r="E9" s="309" t="n">
        <v>0</v>
      </c>
      <c r="F9" s="309" t="n">
        <v>1200</v>
      </c>
      <c r="G9" s="309" t="n">
        <v>1200</v>
      </c>
      <c r="H9" s="309" t="n">
        <v>50</v>
      </c>
      <c r="I9" s="309" t="n">
        <v>1250</v>
      </c>
      <c r="J9" s="309" t="n"/>
      <c r="K9" s="309" t="inlineStr">
        <is>
          <t>Paid</t>
        </is>
      </c>
      <c r="L9" s="319" t="n"/>
      <c r="M9" s="231" t="n"/>
      <c r="P9" s="317" t="n"/>
      <c r="Q9" s="324" t="n"/>
    </row>
    <row r="10">
      <c r="A10" s="232" t="inlineStr">
        <is>
          <t>103</t>
        </is>
      </c>
      <c r="B10" s="232" t="n">
        <v>364.14</v>
      </c>
      <c r="C10" s="232" t="n">
        <v>372.92</v>
      </c>
      <c r="D10" s="309" t="n">
        <v>8780</v>
      </c>
      <c r="E10" s="309" t="n">
        <v>0</v>
      </c>
      <c r="F10" s="309" t="n">
        <v>1200</v>
      </c>
      <c r="G10" s="309" t="n">
        <v>1200</v>
      </c>
      <c r="H10" s="309" t="n">
        <v>50</v>
      </c>
      <c r="I10" s="309" t="n">
        <v>1250</v>
      </c>
      <c r="J10" s="309" t="n"/>
      <c r="K10" s="309" t="inlineStr">
        <is>
          <t>Paid</t>
        </is>
      </c>
      <c r="L10" s="318" t="n"/>
      <c r="M10" s="231" t="n"/>
      <c r="P10" s="325" t="n"/>
      <c r="Q10" s="289" t="n"/>
    </row>
    <row r="11">
      <c r="A11" s="232" t="inlineStr">
        <is>
          <t>104</t>
        </is>
      </c>
      <c r="B11" s="232" t="n">
        <v>266.39</v>
      </c>
      <c r="C11" s="232" t="n">
        <v>275.81</v>
      </c>
      <c r="D11" s="309" t="n">
        <v>9420</v>
      </c>
      <c r="E11" s="309" t="n">
        <v>0</v>
      </c>
      <c r="F11" s="309" t="n">
        <v>1200</v>
      </c>
      <c r="G11" s="309" t="n">
        <v>1200</v>
      </c>
      <c r="H11" s="309" t="n">
        <v>50</v>
      </c>
      <c r="I11" s="309" t="n">
        <v>1250</v>
      </c>
      <c r="J11" s="309" t="n"/>
      <c r="K11" s="309" t="inlineStr">
        <is>
          <t>Paid</t>
        </is>
      </c>
      <c r="L11" s="236" t="n"/>
      <c r="M11" s="231" t="n"/>
      <c r="P11" s="326" t="n"/>
      <c r="Q11" s="324" t="n"/>
    </row>
    <row r="12">
      <c r="A12" s="232" t="inlineStr">
        <is>
          <t>201</t>
        </is>
      </c>
      <c r="B12" s="232" t="n">
        <v>218.59</v>
      </c>
      <c r="C12" s="232" t="n">
        <v>224.29</v>
      </c>
      <c r="D12" s="309" t="n">
        <v>5700</v>
      </c>
      <c r="E12" s="309" t="n">
        <v>0</v>
      </c>
      <c r="F12" s="309" t="n">
        <v>1200</v>
      </c>
      <c r="G12" s="309" t="n">
        <v>1200</v>
      </c>
      <c r="H12" s="309" t="n">
        <v>50</v>
      </c>
      <c r="I12" s="309" t="n">
        <v>1250</v>
      </c>
      <c r="J12" s="309" t="n"/>
      <c r="K12" s="309" t="inlineStr">
        <is>
          <t>Paid</t>
        </is>
      </c>
      <c r="L12" s="231" t="n"/>
      <c r="M12" s="231" t="n"/>
      <c r="P12" s="326" t="n"/>
      <c r="Q12" s="289" t="n"/>
    </row>
    <row r="13">
      <c r="A13" s="232" t="inlineStr">
        <is>
          <t>202</t>
        </is>
      </c>
      <c r="B13" s="232" t="n">
        <v>394.73</v>
      </c>
      <c r="C13" s="232" t="n">
        <v>399.55</v>
      </c>
      <c r="D13" s="309" t="n">
        <v>4820</v>
      </c>
      <c r="E13" s="309" t="n">
        <v>0</v>
      </c>
      <c r="F13" s="309" t="n">
        <v>1200</v>
      </c>
      <c r="G13" s="309" t="n">
        <v>1200</v>
      </c>
      <c r="H13" s="309" t="n">
        <v>50</v>
      </c>
      <c r="I13" s="309" t="n">
        <v>1250</v>
      </c>
      <c r="J13" s="309" t="n"/>
      <c r="K13" s="309" t="inlineStr">
        <is>
          <t>Paid</t>
        </is>
      </c>
      <c r="L13" s="231" t="n"/>
      <c r="M13" s="231" t="n"/>
      <c r="P13" s="326" t="n"/>
      <c r="Q13" s="324" t="n"/>
    </row>
    <row r="14">
      <c r="A14" s="232" t="inlineStr">
        <is>
          <t>203</t>
        </is>
      </c>
      <c r="B14" s="232" t="n">
        <v>14.211</v>
      </c>
      <c r="C14" s="232" t="n">
        <v>19.997</v>
      </c>
      <c r="D14" s="309" t="n">
        <v>5786</v>
      </c>
      <c r="E14" s="309" t="n">
        <v>0</v>
      </c>
      <c r="F14" s="309" t="n">
        <v>1200</v>
      </c>
      <c r="G14" s="309" t="n">
        <v>1200</v>
      </c>
      <c r="H14" s="309" t="n">
        <v>50</v>
      </c>
      <c r="I14" s="309" t="n">
        <v>1250</v>
      </c>
      <c r="J14" s="309" t="n"/>
      <c r="K14" s="309" t="inlineStr">
        <is>
          <t>Paid</t>
        </is>
      </c>
      <c r="L14" s="276" t="n"/>
      <c r="M14" s="231" t="n"/>
      <c r="P14" s="325" t="n"/>
      <c r="Q14" s="289" t="n"/>
    </row>
    <row r="15">
      <c r="A15" s="232" t="inlineStr">
        <is>
          <t>204</t>
        </is>
      </c>
      <c r="B15" s="232" t="n">
        <v>390.7</v>
      </c>
      <c r="C15" s="232" t="n">
        <v>396.4</v>
      </c>
      <c r="D15" s="309" t="n">
        <v>5700</v>
      </c>
      <c r="E15" s="309" t="n">
        <v>0</v>
      </c>
      <c r="F15" s="309" t="n">
        <v>1200</v>
      </c>
      <c r="G15" s="309" t="n">
        <v>1200</v>
      </c>
      <c r="H15" s="309" t="n">
        <v>50</v>
      </c>
      <c r="I15" s="309" t="n">
        <v>1250</v>
      </c>
      <c r="J15" s="309" t="n"/>
      <c r="K15" s="309" t="inlineStr">
        <is>
          <t>Paid</t>
        </is>
      </c>
      <c r="L15" s="276" t="n"/>
      <c r="M15" s="231" t="n"/>
      <c r="P15" s="324" t="n"/>
      <c r="Q15" s="324" t="n"/>
    </row>
    <row r="16">
      <c r="A16" s="232" t="inlineStr">
        <is>
          <t>301</t>
        </is>
      </c>
      <c r="B16" s="232" t="n">
        <v>171.14</v>
      </c>
      <c r="C16" s="232" t="n">
        <v>176.29</v>
      </c>
      <c r="D16" s="309" t="n">
        <v>5150</v>
      </c>
      <c r="E16" s="309" t="n">
        <v>0</v>
      </c>
      <c r="F16" s="309" t="n">
        <v>1200</v>
      </c>
      <c r="G16" s="309" t="n">
        <v>1200</v>
      </c>
      <c r="H16" s="309" t="n">
        <v>50</v>
      </c>
      <c r="I16" s="309" t="n">
        <v>1250</v>
      </c>
      <c r="J16" s="309" t="n"/>
      <c r="K16" s="309" t="inlineStr">
        <is>
          <t>Paid</t>
        </is>
      </c>
      <c r="L16" s="276" t="n"/>
      <c r="M16" s="231" t="n"/>
      <c r="P16" s="289" t="n"/>
      <c r="Q16" s="289" t="n"/>
    </row>
    <row r="17">
      <c r="A17" s="232" t="inlineStr">
        <is>
          <t>302</t>
        </is>
      </c>
      <c r="B17" s="232" t="n">
        <v>337.82</v>
      </c>
      <c r="C17" s="232" t="n">
        <v>347.45</v>
      </c>
      <c r="D17" s="309" t="n">
        <v>9630</v>
      </c>
      <c r="E17" s="309" t="n">
        <v>0</v>
      </c>
      <c r="F17" s="309" t="n">
        <v>1200</v>
      </c>
      <c r="G17" s="309" t="n">
        <v>1200</v>
      </c>
      <c r="H17" s="309" t="n">
        <v>50</v>
      </c>
      <c r="I17" s="309" t="n">
        <v>1250</v>
      </c>
      <c r="J17" s="309" t="n"/>
      <c r="K17" s="312" t="inlineStr">
        <is>
          <t>Paid</t>
        </is>
      </c>
      <c r="L17" s="276" t="n"/>
      <c r="M17" s="231" t="n"/>
    </row>
    <row r="18">
      <c r="A18" s="232" t="inlineStr">
        <is>
          <t>303</t>
        </is>
      </c>
      <c r="B18" s="232" t="n">
        <v>198.193</v>
      </c>
      <c r="C18" s="232" t="n">
        <v>207.351</v>
      </c>
      <c r="D18" s="309" t="n">
        <v>9158</v>
      </c>
      <c r="E18" s="309" t="n">
        <v>0</v>
      </c>
      <c r="F18" s="309" t="n">
        <v>1200</v>
      </c>
      <c r="G18" s="309" t="n">
        <v>1200</v>
      </c>
      <c r="H18" s="309" t="n">
        <v>50</v>
      </c>
      <c r="I18" s="309" t="n">
        <v>1250</v>
      </c>
      <c r="J18" s="309" t="n"/>
      <c r="K18" s="309" t="inlineStr">
        <is>
          <t>Paid</t>
        </is>
      </c>
      <c r="L18" s="276" t="n"/>
      <c r="M18" s="231" t="n"/>
    </row>
    <row r="19">
      <c r="A19" s="232" t="inlineStr">
        <is>
          <t>304</t>
        </is>
      </c>
      <c r="B19" s="232" t="n">
        <v>521.96</v>
      </c>
      <c r="C19" s="232" t="n">
        <v>532.05</v>
      </c>
      <c r="D19" s="309" t="n">
        <v>10090</v>
      </c>
      <c r="E19" s="309" t="n">
        <v>0</v>
      </c>
      <c r="F19" s="309" t="n">
        <v>1200</v>
      </c>
      <c r="G19" s="309" t="n">
        <v>1200</v>
      </c>
      <c r="H19" s="309" t="n">
        <v>50</v>
      </c>
      <c r="I19" s="309" t="n">
        <v>1250</v>
      </c>
      <c r="J19" s="309" t="n"/>
      <c r="K19" s="309" t="inlineStr">
        <is>
          <t>Paid</t>
        </is>
      </c>
      <c r="L19" s="304" t="n"/>
      <c r="M19" s="300" t="n"/>
    </row>
    <row r="20">
      <c r="A20" s="309" t="inlineStr">
        <is>
          <t>Common</t>
        </is>
      </c>
      <c r="B20" s="232" t="n">
        <v>527.01</v>
      </c>
      <c r="C20" s="232" t="n">
        <v>549.11</v>
      </c>
      <c r="D20" s="309" t="n">
        <v>22100</v>
      </c>
      <c r="E20" s="309" t="n">
        <v>0</v>
      </c>
      <c r="F20" s="309" t="n">
        <v>0</v>
      </c>
      <c r="G20" s="309" t="n"/>
      <c r="H20" s="309" t="n">
        <v>0</v>
      </c>
      <c r="I20" s="309" t="n">
        <v>0</v>
      </c>
      <c r="J20" s="309" t="n"/>
      <c r="K20" s="309" t="n"/>
      <c r="L20" s="276" t="n"/>
      <c r="M20" s="231" t="n"/>
    </row>
    <row r="21">
      <c r="A21" s="309" t="n"/>
      <c r="B21" s="309" t="n"/>
      <c r="C21" s="309" t="n"/>
      <c r="D21" s="309" t="n"/>
      <c r="E21" s="313" t="n"/>
      <c r="F21" s="313" t="n"/>
      <c r="G21" s="313" t="n"/>
      <c r="H21" s="313" t="n">
        <v>800</v>
      </c>
      <c r="I21" s="313" t="n">
        <v>20600</v>
      </c>
      <c r="J21" s="313" t="n">
        <v>0</v>
      </c>
      <c r="K21" s="313" t="n"/>
      <c r="L21" s="276" t="n"/>
      <c r="M21" s="231" t="n"/>
    </row>
    <row r="22">
      <c r="A22" s="305" t="n"/>
      <c r="B22" s="230" t="inlineStr">
        <is>
          <t>Total Usage Units</t>
        </is>
      </c>
      <c r="C22" s="230" t="n"/>
      <c r="D22" s="306" t="n">
        <v>133069</v>
      </c>
      <c r="E22" s="230" t="n">
        <v>0</v>
      </c>
      <c r="F22" s="230" t="n"/>
      <c r="G22" s="230" t="n"/>
      <c r="H22" s="230" t="n"/>
      <c r="I22" s="230" t="n"/>
      <c r="J22" s="230" t="n"/>
      <c r="K22" s="230" t="n"/>
      <c r="L22" s="231" t="n"/>
      <c r="M22" s="245" t="n"/>
    </row>
    <row r="23" ht="45" customHeight="1" s="366">
      <c r="A23" s="228" t="n"/>
      <c r="B23" s="29" t="inlineStr">
        <is>
          <t>Per Lt cost</t>
        </is>
      </c>
      <c r="C23" s="119" t="inlineStr">
        <is>
          <t>Number of tankers / Number of litters</t>
        </is>
      </c>
      <c r="D23" s="111" t="n">
        <v>0</v>
      </c>
      <c r="E23" s="29" t="n"/>
      <c r="F23" s="29" t="n"/>
      <c r="G23" s="29" t="n"/>
      <c r="H23" s="29" t="n"/>
      <c r="I23" s="29" t="n"/>
      <c r="J23" s="29" t="n"/>
      <c r="K23" s="29" t="n"/>
      <c r="L23" s="257" t="n"/>
      <c r="M23" s="257" t="n"/>
    </row>
    <row r="24" ht="45" customHeight="1" s="366">
      <c r="A24" s="281" t="inlineStr">
        <is>
          <t>Total Water Bill</t>
        </is>
      </c>
      <c r="B24" s="30" t="n">
        <v>0</v>
      </c>
      <c r="C24" s="119" t="inlineStr">
        <is>
          <t>WATER Tankers(0) One Tanker Cost: 1200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Q17" sqref="Q17"/>
    </sheetView>
  </sheetViews>
  <sheetFormatPr baseColWidth="8" defaultRowHeight="15"/>
  <cols>
    <col width="14.7109375" bestFit="1" customWidth="1" style="366" min="1" max="1"/>
    <col width="16.28515625" bestFit="1" customWidth="1" style="366" min="2" max="2"/>
    <col width="16.7109375" bestFit="1" customWidth="1" style="366" min="3" max="3"/>
    <col width="9.5703125" bestFit="1" customWidth="1" style="366" min="4" max="4"/>
    <col width="6.5703125" bestFit="1" customWidth="1" style="366" min="5" max="5"/>
    <col width="12.7109375" bestFit="1" customWidth="1" style="366" min="6" max="7"/>
    <col width="8.42578125" bestFit="1" customWidth="1" style="366" min="8" max="8"/>
    <col width="6.28515625" bestFit="1" customWidth="1" style="366" min="9" max="9"/>
    <col width="8.140625" bestFit="1" customWidth="1" style="366" min="10" max="10"/>
    <col width="8.85546875" bestFit="1" customWidth="1" style="366" min="11" max="11"/>
    <col width="25.7109375" bestFit="1" customWidth="1" style="366" min="12" max="12"/>
    <col width="12.28515625" customWidth="1" style="366" min="13" max="13"/>
    <col width="26" customWidth="1" style="366" min="16" max="16"/>
    <col width="10.28515625" customWidth="1" style="366" min="17" max="17"/>
  </cols>
  <sheetData>
    <row r="1" ht="30" customHeight="1" s="366">
      <c r="A1" s="307" t="inlineStr">
        <is>
          <t>Flat Numbers</t>
        </is>
      </c>
      <c r="B1" s="307" t="inlineStr">
        <is>
          <t>Previous Meter Reading</t>
        </is>
      </c>
      <c r="C1" s="307" t="inlineStr">
        <is>
          <t>Current Meter Reading</t>
        </is>
      </c>
      <c r="D1" s="308" t="inlineStr">
        <is>
          <t>Total Units</t>
        </is>
      </c>
      <c r="E1" s="308" t="inlineStr">
        <is>
          <t>Water Bill</t>
        </is>
      </c>
      <c r="F1" s="308" t="inlineStr">
        <is>
          <t>Common Maintanence</t>
        </is>
      </c>
      <c r="G1" s="308" t="inlineStr">
        <is>
          <t>Total Maintenance</t>
        </is>
      </c>
      <c r="H1" s="308" t="inlineStr">
        <is>
          <t>Garbage Amount</t>
        </is>
      </c>
      <c r="I1" s="308" t="inlineStr">
        <is>
          <t xml:space="preserve">Topay </t>
        </is>
      </c>
      <c r="J1" s="308" t="inlineStr">
        <is>
          <t>Receive Amount</t>
        </is>
      </c>
      <c r="K1" s="308" t="inlineStr">
        <is>
          <t>Payment Status</t>
        </is>
      </c>
      <c r="L1" s="314" t="inlineStr">
        <is>
          <t>Balance amount (Mar)-26 COD: 31-03-2026</t>
        </is>
      </c>
      <c r="M1" s="323" t="inlineStr">
        <is>
          <t>14470</t>
        </is>
      </c>
    </row>
    <row r="2">
      <c r="A2" s="232" t="inlineStr">
        <is>
          <t>Shop-1</t>
        </is>
      </c>
      <c r="B2" s="309" t="inlineStr">
        <is>
          <t>NA</t>
        </is>
      </c>
      <c r="C2" s="309" t="inlineStr">
        <is>
          <t>NA</t>
        </is>
      </c>
      <c r="D2" s="309" t="inlineStr">
        <is>
          <t>NA</t>
        </is>
      </c>
      <c r="E2" s="309" t="inlineStr">
        <is>
          <t>NA</t>
        </is>
      </c>
      <c r="F2" s="309" t="n">
        <v>300</v>
      </c>
      <c r="G2" s="309" t="n">
        <v>300</v>
      </c>
      <c r="H2" s="309" t="n">
        <v>0</v>
      </c>
      <c r="I2" s="309" t="n">
        <v>300</v>
      </c>
      <c r="J2" s="309" t="n"/>
      <c r="K2" s="309" t="inlineStr"/>
      <c r="L2" s="231" t="n"/>
      <c r="M2" s="231" t="n"/>
    </row>
    <row r="3">
      <c r="A3" s="232" t="inlineStr">
        <is>
          <t>Shop-2</t>
        </is>
      </c>
      <c r="B3" s="310" t="inlineStr">
        <is>
          <t>NA</t>
        </is>
      </c>
      <c r="C3" s="310" t="inlineStr">
        <is>
          <t>NA</t>
        </is>
      </c>
      <c r="D3" s="309" t="inlineStr">
        <is>
          <t>NA</t>
        </is>
      </c>
      <c r="E3" s="309" t="inlineStr">
        <is>
          <t>NA</t>
        </is>
      </c>
      <c r="F3" s="309" t="n">
        <v>300</v>
      </c>
      <c r="G3" s="309" t="n">
        <v>300</v>
      </c>
      <c r="H3" s="309" t="n">
        <v>0</v>
      </c>
      <c r="I3" s="309" t="n">
        <v>300</v>
      </c>
      <c r="J3" s="309" t="n"/>
      <c r="K3" s="309" t="inlineStr"/>
      <c r="L3" s="231" t="n"/>
      <c r="M3" s="231" t="n"/>
    </row>
    <row r="4">
      <c r="A4" s="232" t="inlineStr">
        <is>
          <t>G1</t>
        </is>
      </c>
      <c r="B4" s="232" t="n">
        <v>11.106</v>
      </c>
      <c r="C4" s="232" t="n">
        <v>15.635</v>
      </c>
      <c r="D4" s="309" t="n">
        <v>4529</v>
      </c>
      <c r="E4" s="309" t="n">
        <v>0</v>
      </c>
      <c r="F4" s="309" t="n">
        <v>1200</v>
      </c>
      <c r="G4" s="309" t="n">
        <v>1200</v>
      </c>
      <c r="H4" s="309" t="n">
        <v>50</v>
      </c>
      <c r="I4" s="309" t="n">
        <v>1250</v>
      </c>
      <c r="J4" s="309" t="n"/>
      <c r="K4" s="311" t="inlineStr"/>
      <c r="L4" s="321" t="n"/>
      <c r="M4" s="322" t="n"/>
    </row>
    <row r="5">
      <c r="A5" s="232" t="inlineStr">
        <is>
          <t>G2</t>
        </is>
      </c>
      <c r="B5" s="232" t="n">
        <v>295.25</v>
      </c>
      <c r="C5" s="232" t="n">
        <v>300.08</v>
      </c>
      <c r="D5" s="309" t="n">
        <v>4830</v>
      </c>
      <c r="E5" s="309" t="n">
        <v>0</v>
      </c>
      <c r="F5" s="309" t="n">
        <v>1200</v>
      </c>
      <c r="G5" s="309" t="n">
        <v>1200</v>
      </c>
      <c r="H5" s="309" t="n">
        <v>50</v>
      </c>
      <c r="I5" s="309" t="n">
        <v>1250</v>
      </c>
      <c r="J5" s="309" t="n"/>
      <c r="K5" s="309" t="inlineStr"/>
      <c r="L5" s="346" t="n"/>
      <c r="M5" s="346" t="n"/>
    </row>
    <row r="6">
      <c r="A6" s="232" t="inlineStr">
        <is>
          <t>G3</t>
        </is>
      </c>
      <c r="B6" s="232" t="n">
        <v>578.51</v>
      </c>
      <c r="C6" s="232" t="n">
        <v>588.8099999999999</v>
      </c>
      <c r="D6" s="309" t="n">
        <v>10300</v>
      </c>
      <c r="E6" s="309" t="n">
        <v>0</v>
      </c>
      <c r="F6" s="309" t="n">
        <v>1200</v>
      </c>
      <c r="G6" s="309" t="n">
        <v>1200</v>
      </c>
      <c r="H6" s="309" t="n">
        <v>50</v>
      </c>
      <c r="I6" s="309" t="n">
        <v>1250</v>
      </c>
      <c r="J6" s="309" t="n"/>
      <c r="K6" s="309" t="inlineStr"/>
      <c r="L6" s="317" t="n"/>
      <c r="M6" s="231" t="n"/>
    </row>
    <row r="7">
      <c r="A7" s="232" t="inlineStr">
        <is>
          <t>G4</t>
        </is>
      </c>
      <c r="B7" s="232" t="n">
        <v>478.63</v>
      </c>
      <c r="C7" s="232" t="n">
        <v>490.63</v>
      </c>
      <c r="D7" s="309" t="n">
        <v>12000</v>
      </c>
      <c r="E7" s="309" t="n">
        <v>0</v>
      </c>
      <c r="F7" s="309" t="n">
        <v>1200</v>
      </c>
      <c r="G7" s="309" t="n">
        <v>1200</v>
      </c>
      <c r="H7" s="309" t="n">
        <v>50</v>
      </c>
      <c r="I7" s="309" t="n">
        <v>1250</v>
      </c>
      <c r="J7" s="309" t="n"/>
      <c r="K7" s="309" t="inlineStr"/>
      <c r="L7" s="318" t="n"/>
      <c r="M7" s="231" t="n"/>
    </row>
    <row r="8">
      <c r="A8" s="232" t="inlineStr">
        <is>
          <t>101</t>
        </is>
      </c>
      <c r="B8" s="232" t="n">
        <v>117.16</v>
      </c>
      <c r="C8" s="232" t="n">
        <v>122.4</v>
      </c>
      <c r="D8" s="309" t="n">
        <v>5240</v>
      </c>
      <c r="E8" s="309" t="n">
        <v>0</v>
      </c>
      <c r="F8" s="309" t="n">
        <v>1200</v>
      </c>
      <c r="G8" s="309" t="n">
        <v>1200</v>
      </c>
      <c r="H8" s="309" t="n">
        <v>50</v>
      </c>
      <c r="I8" s="309" t="n">
        <v>1250</v>
      </c>
      <c r="J8" s="309" t="n"/>
      <c r="K8" s="309" t="inlineStr"/>
      <c r="L8" s="358" t="n"/>
      <c r="M8" s="231" t="n"/>
      <c r="P8" s="364" t="n"/>
      <c r="Q8" s="365" t="n"/>
      <c r="R8" s="365" t="n"/>
    </row>
    <row r="9">
      <c r="A9" s="232" t="inlineStr">
        <is>
          <t>102</t>
        </is>
      </c>
      <c r="B9" s="232" t="n">
        <v>676.42</v>
      </c>
      <c r="C9" s="232" t="n">
        <v>682.02</v>
      </c>
      <c r="D9" s="309" t="n">
        <v>5600</v>
      </c>
      <c r="E9" s="309" t="n">
        <v>0</v>
      </c>
      <c r="F9" s="309" t="n">
        <v>1200</v>
      </c>
      <c r="G9" s="309" t="n">
        <v>1200</v>
      </c>
      <c r="H9" s="309" t="n">
        <v>50</v>
      </c>
      <c r="I9" s="309" t="n">
        <v>1250</v>
      </c>
      <c r="J9" s="309" t="n"/>
      <c r="K9" s="309" t="inlineStr"/>
      <c r="L9" s="319" t="n"/>
      <c r="M9" s="231" t="n"/>
      <c r="P9" s="359" t="n"/>
      <c r="Q9" s="324" t="n"/>
      <c r="R9" s="331" t="n"/>
    </row>
    <row r="10">
      <c r="A10" s="232" t="inlineStr">
        <is>
          <t>103</t>
        </is>
      </c>
      <c r="B10" s="232" t="n">
        <v>372.92</v>
      </c>
      <c r="C10" s="232" t="n">
        <v>382.75</v>
      </c>
      <c r="D10" s="309" t="n">
        <v>9830</v>
      </c>
      <c r="E10" s="309" t="n">
        <v>0</v>
      </c>
      <c r="F10" s="309" t="n">
        <v>1200</v>
      </c>
      <c r="G10" s="309" t="n">
        <v>1200</v>
      </c>
      <c r="H10" s="309" t="n">
        <v>50</v>
      </c>
      <c r="I10" s="309" t="n">
        <v>1250</v>
      </c>
      <c r="J10" s="309" t="n"/>
      <c r="K10" s="309" t="inlineStr"/>
      <c r="L10" s="318" t="n"/>
      <c r="M10" s="231" t="n"/>
      <c r="P10" s="360" t="n"/>
      <c r="Q10" s="289" t="n"/>
      <c r="R10" s="331" t="n"/>
    </row>
    <row r="11">
      <c r="A11" s="232" t="inlineStr">
        <is>
          <t>104</t>
        </is>
      </c>
      <c r="B11" s="232" t="n">
        <v>275.81</v>
      </c>
      <c r="C11" s="232" t="n">
        <v>285.62</v>
      </c>
      <c r="D11" s="309" t="n">
        <v>9810</v>
      </c>
      <c r="E11" s="309" t="n">
        <v>0</v>
      </c>
      <c r="F11" s="309" t="n">
        <v>1200</v>
      </c>
      <c r="G11" s="309" t="n">
        <v>1200</v>
      </c>
      <c r="H11" s="309" t="n">
        <v>50</v>
      </c>
      <c r="I11" s="309" t="n">
        <v>1250</v>
      </c>
      <c r="J11" s="309" t="n"/>
      <c r="K11" s="309" t="inlineStr"/>
      <c r="L11" s="236" t="n"/>
      <c r="M11" s="231" t="n"/>
      <c r="P11" s="361" t="n"/>
      <c r="Q11" s="324" t="n"/>
    </row>
    <row r="12">
      <c r="A12" s="232" t="inlineStr">
        <is>
          <t>201</t>
        </is>
      </c>
      <c r="B12" s="232" t="n">
        <v>224.29</v>
      </c>
      <c r="C12" s="232" t="n">
        <v>231.5</v>
      </c>
      <c r="D12" s="309" t="n">
        <v>7210</v>
      </c>
      <c r="E12" s="309" t="n">
        <v>0</v>
      </c>
      <c r="F12" s="309" t="n">
        <v>1200</v>
      </c>
      <c r="G12" s="309" t="n">
        <v>1200</v>
      </c>
      <c r="H12" s="309" t="n">
        <v>50</v>
      </c>
      <c r="I12" s="309" t="n">
        <v>1250</v>
      </c>
      <c r="J12" s="309" t="n"/>
      <c r="K12" s="309" t="inlineStr"/>
      <c r="L12" s="231" t="n"/>
      <c r="M12" s="231" t="n"/>
      <c r="P12" s="360" t="n"/>
      <c r="Q12" s="289" t="n"/>
    </row>
    <row r="13">
      <c r="A13" s="232" t="inlineStr">
        <is>
          <t>202</t>
        </is>
      </c>
      <c r="B13" s="232" t="n">
        <v>399.55</v>
      </c>
      <c r="C13" s="232" t="n">
        <v>405.17</v>
      </c>
      <c r="D13" s="309" t="n">
        <v>5620</v>
      </c>
      <c r="E13" s="309" t="n">
        <v>0</v>
      </c>
      <c r="F13" s="309" t="n">
        <v>1200</v>
      </c>
      <c r="G13" s="309" t="n">
        <v>1200</v>
      </c>
      <c r="H13" s="309" t="n">
        <v>50</v>
      </c>
      <c r="I13" s="309" t="n">
        <v>1250</v>
      </c>
      <c r="J13" s="309" t="n"/>
      <c r="K13" s="309" t="inlineStr"/>
      <c r="L13" s="231" t="n"/>
      <c r="M13" s="231" t="n"/>
      <c r="P13" s="362" t="n"/>
      <c r="Q13" s="324" t="n"/>
    </row>
    <row r="14">
      <c r="A14" s="232" t="inlineStr">
        <is>
          <t>203</t>
        </is>
      </c>
      <c r="B14" s="232" t="n">
        <v>19.997</v>
      </c>
      <c r="C14" s="232" t="n">
        <v>28.402</v>
      </c>
      <c r="D14" s="309" t="n">
        <v>8405</v>
      </c>
      <c r="E14" s="309" t="n">
        <v>0</v>
      </c>
      <c r="F14" s="309" t="n">
        <v>1200</v>
      </c>
      <c r="G14" s="309" t="n">
        <v>1200</v>
      </c>
      <c r="H14" s="309" t="n">
        <v>50</v>
      </c>
      <c r="I14" s="309" t="n">
        <v>1250</v>
      </c>
      <c r="J14" s="309" t="n"/>
      <c r="K14" s="309" t="inlineStr"/>
      <c r="L14" s="276" t="n"/>
      <c r="M14" s="231" t="n"/>
      <c r="P14" s="360" t="n"/>
      <c r="Q14" s="289" t="n"/>
    </row>
    <row r="15">
      <c r="A15" s="232" t="inlineStr">
        <is>
          <t>204</t>
        </is>
      </c>
      <c r="B15" s="232" t="n">
        <v>396.4</v>
      </c>
      <c r="C15" s="232" t="n">
        <v>405.98</v>
      </c>
      <c r="D15" s="309" t="n">
        <v>9580</v>
      </c>
      <c r="E15" s="309" t="n">
        <v>0</v>
      </c>
      <c r="F15" s="309" t="n">
        <v>1200</v>
      </c>
      <c r="G15" s="309" t="n">
        <v>1200</v>
      </c>
      <c r="H15" s="309" t="n">
        <v>50</v>
      </c>
      <c r="I15" s="309" t="n">
        <v>1250</v>
      </c>
      <c r="J15" s="309" t="n"/>
      <c r="K15" s="309" t="inlineStr"/>
      <c r="L15" s="276" t="n"/>
      <c r="M15" s="231" t="n"/>
      <c r="P15" s="363" t="n"/>
      <c r="Q15" s="324" t="n"/>
    </row>
    <row r="16">
      <c r="A16" s="232" t="inlineStr">
        <is>
          <t>301</t>
        </is>
      </c>
      <c r="B16" s="232" t="n">
        <v>176.29</v>
      </c>
      <c r="C16" s="232" t="n">
        <v>180.42</v>
      </c>
      <c r="D16" s="309" t="n">
        <v>4130</v>
      </c>
      <c r="E16" s="309" t="n">
        <v>0</v>
      </c>
      <c r="F16" s="309" t="n">
        <v>1200</v>
      </c>
      <c r="G16" s="309" t="n">
        <v>1200</v>
      </c>
      <c r="H16" s="309" t="n">
        <v>50</v>
      </c>
      <c r="I16" s="309" t="n">
        <v>1250</v>
      </c>
      <c r="J16" s="309" t="n"/>
      <c r="K16" s="309" t="inlineStr"/>
      <c r="L16" s="276" t="n"/>
      <c r="M16" s="231" t="n"/>
      <c r="P16" s="303" t="n"/>
      <c r="Q16" s="289" t="n"/>
    </row>
    <row r="17">
      <c r="A17" s="232" t="inlineStr">
        <is>
          <t>302</t>
        </is>
      </c>
      <c r="B17" s="232" t="n">
        <v>347.45</v>
      </c>
      <c r="C17" s="232" t="n">
        <v>359.27</v>
      </c>
      <c r="D17" s="309" t="n">
        <v>11820</v>
      </c>
      <c r="E17" s="309" t="n">
        <v>0</v>
      </c>
      <c r="F17" s="309" t="n">
        <v>1200</v>
      </c>
      <c r="G17" s="309" t="n">
        <v>1200</v>
      </c>
      <c r="H17" s="309" t="n">
        <v>50</v>
      </c>
      <c r="I17" s="309" t="n">
        <v>1250</v>
      </c>
      <c r="J17" s="309" t="n"/>
      <c r="K17" s="312" t="inlineStr"/>
      <c r="L17" s="276" t="n"/>
      <c r="M17" s="231" t="n"/>
    </row>
    <row r="18">
      <c r="A18" s="232" t="inlineStr">
        <is>
          <t>303</t>
        </is>
      </c>
      <c r="B18" s="232" t="n">
        <v>207.351</v>
      </c>
      <c r="C18" s="232" t="n">
        <v>219.435</v>
      </c>
      <c r="D18" s="309" t="n">
        <v>12084</v>
      </c>
      <c r="E18" s="309" t="n">
        <v>0</v>
      </c>
      <c r="F18" s="309" t="n">
        <v>1200</v>
      </c>
      <c r="G18" s="309" t="n">
        <v>1200</v>
      </c>
      <c r="H18" s="309" t="n">
        <v>50</v>
      </c>
      <c r="I18" s="309" t="n">
        <v>1250</v>
      </c>
      <c r="J18" s="309" t="n"/>
      <c r="K18" s="309" t="inlineStr"/>
      <c r="L18" s="276" t="n"/>
      <c r="M18" s="231" t="n"/>
    </row>
    <row r="19">
      <c r="A19" s="232" t="inlineStr">
        <is>
          <t>304</t>
        </is>
      </c>
      <c r="B19" s="232" t="n">
        <v>532.05</v>
      </c>
      <c r="C19" s="232" t="n">
        <v>543.49</v>
      </c>
      <c r="D19" s="309" t="n">
        <v>11440</v>
      </c>
      <c r="E19" s="309" t="n">
        <v>0</v>
      </c>
      <c r="F19" s="309" t="n">
        <v>1200</v>
      </c>
      <c r="G19" s="309" t="n">
        <v>1200</v>
      </c>
      <c r="H19" s="309" t="n">
        <v>50</v>
      </c>
      <c r="I19" s="309" t="n">
        <v>1250</v>
      </c>
      <c r="J19" s="309" t="n"/>
      <c r="K19" s="309" t="inlineStr"/>
      <c r="L19" s="304" t="n"/>
      <c r="M19" s="300" t="n"/>
    </row>
    <row r="20">
      <c r="A20" s="309" t="inlineStr">
        <is>
          <t>Common</t>
        </is>
      </c>
      <c r="B20" s="232" t="n">
        <v>549.11</v>
      </c>
      <c r="C20" s="232" t="n">
        <v>549.11</v>
      </c>
      <c r="D20" s="309" t="n">
        <v>0</v>
      </c>
      <c r="E20" s="309" t="n">
        <v>0</v>
      </c>
      <c r="F20" s="309" t="n">
        <v>0</v>
      </c>
      <c r="G20" s="309" t="n"/>
      <c r="H20" s="309" t="n">
        <v>0</v>
      </c>
      <c r="I20" s="309" t="n">
        <v>0</v>
      </c>
      <c r="J20" s="309" t="n"/>
      <c r="K20" s="309" t="n"/>
      <c r="L20" s="276" t="n"/>
      <c r="M20" s="231" t="n"/>
    </row>
    <row r="21">
      <c r="A21" s="309" t="n"/>
      <c r="B21" s="309" t="n"/>
      <c r="C21" s="309" t="n"/>
      <c r="D21" s="309" t="n"/>
      <c r="E21" s="313" t="n"/>
      <c r="F21" s="313" t="n"/>
      <c r="G21" s="313" t="n"/>
      <c r="H21" s="313" t="n">
        <v>800</v>
      </c>
      <c r="I21" s="313" t="n">
        <v>20600</v>
      </c>
      <c r="J21" s="313" t="n">
        <v>0</v>
      </c>
      <c r="K21" s="313" t="n"/>
      <c r="L21" s="276" t="n"/>
      <c r="M21" s="231" t="n"/>
    </row>
    <row r="22">
      <c r="A22" s="305" t="n"/>
      <c r="B22" s="230" t="inlineStr">
        <is>
          <t>Total Usage Units</t>
        </is>
      </c>
      <c r="C22" s="230" t="n"/>
      <c r="D22" s="306" t="n">
        <v>132428</v>
      </c>
      <c r="E22" s="230" t="n">
        <v>0</v>
      </c>
      <c r="F22" s="230" t="n"/>
      <c r="G22" s="230" t="n"/>
      <c r="H22" s="230" t="n"/>
      <c r="I22" s="230" t="n"/>
      <c r="J22" s="230" t="n"/>
      <c r="K22" s="230" t="n"/>
      <c r="L22" s="231" t="n"/>
      <c r="M22" s="245" t="n"/>
    </row>
    <row r="23" ht="45" customHeight="1" s="366">
      <c r="A23" s="228" t="n"/>
      <c r="B23" s="29" t="inlineStr">
        <is>
          <t>Per Lt cost</t>
        </is>
      </c>
      <c r="C23" s="119" t="inlineStr">
        <is>
          <t>Number of tankers / Number of litters</t>
        </is>
      </c>
      <c r="D23" s="111" t="n">
        <v>0</v>
      </c>
      <c r="E23" s="29" t="n"/>
      <c r="F23" s="29" t="n"/>
      <c r="G23" s="29" t="n"/>
      <c r="H23" s="29" t="n"/>
      <c r="I23" s="29" t="n"/>
      <c r="J23" s="29" t="n"/>
      <c r="K23" s="29" t="n"/>
      <c r="L23" s="257" t="n"/>
      <c r="M23" s="257" t="n"/>
    </row>
    <row r="24" ht="45" customHeight="1" s="366">
      <c r="A24" s="281" t="inlineStr">
        <is>
          <t>Total Water Bill</t>
        </is>
      </c>
      <c r="B24" s="30" t="n">
        <v>0</v>
      </c>
      <c r="C24" s="119" t="inlineStr">
        <is>
          <t>WATER Tankers(0) One Tanker Cost: 1200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1"/>
  <sheetViews>
    <sheetView topLeftCell="A10" zoomScale="80" zoomScaleNormal="80" workbookViewId="0">
      <selection activeCell="B32" sqref="B32"/>
    </sheetView>
  </sheetViews>
  <sheetFormatPr baseColWidth="8" defaultRowHeight="15"/>
  <cols>
    <col width="26.140625" customWidth="1" style="366" min="1" max="1"/>
    <col width="15.7109375" bestFit="1" customWidth="1" style="366" min="2" max="2"/>
    <col width="48.140625" bestFit="1" customWidth="1" style="366" min="5" max="5"/>
  </cols>
  <sheetData>
    <row r="1">
      <c r="A1" s="349" t="inlineStr">
        <is>
          <t>Ganesh Festival - 2025</t>
        </is>
      </c>
    </row>
    <row r="2">
      <c r="A2" s="234" t="inlineStr">
        <is>
          <t>Flat Numbers</t>
        </is>
      </c>
      <c r="B2" s="250" t="inlineStr">
        <is>
          <t>Collected Amount</t>
        </is>
      </c>
      <c r="E2" s="245" t="inlineStr">
        <is>
          <t>Expences</t>
        </is>
      </c>
      <c r="F2" s="231" t="n"/>
    </row>
    <row r="3">
      <c r="A3" s="235" t="inlineStr">
        <is>
          <t>G1</t>
        </is>
      </c>
      <c r="B3" s="232" t="n">
        <v>2000</v>
      </c>
      <c r="E3" s="236" t="inlineStr">
        <is>
          <t>Carpet</t>
        </is>
      </c>
      <c r="F3" s="231" t="n">
        <v>1500</v>
      </c>
    </row>
    <row r="4">
      <c r="A4" s="235" t="inlineStr">
        <is>
          <t>G2</t>
        </is>
      </c>
      <c r="B4" s="232" t="n">
        <v>2000</v>
      </c>
      <c r="E4" s="236" t="inlineStr">
        <is>
          <t>Stand</t>
        </is>
      </c>
      <c r="F4" s="231" t="n">
        <v>7000</v>
      </c>
    </row>
    <row r="5">
      <c r="A5" s="235" t="inlineStr">
        <is>
          <t>G3</t>
        </is>
      </c>
      <c r="B5" s="232" t="n">
        <v>2000</v>
      </c>
      <c r="E5" s="236" t="inlineStr">
        <is>
          <t>Puja Samagri</t>
        </is>
      </c>
      <c r="F5" s="231" t="n">
        <v>4662</v>
      </c>
    </row>
    <row r="6">
      <c r="A6" s="235" t="inlineStr">
        <is>
          <t>G4</t>
        </is>
      </c>
      <c r="B6" s="232" t="n">
        <v>2000</v>
      </c>
      <c r="E6" s="236" t="inlineStr">
        <is>
          <t>Pujari</t>
        </is>
      </c>
      <c r="F6" s="231" t="n">
        <v>10000</v>
      </c>
    </row>
    <row r="7">
      <c r="A7" s="235" t="n">
        <v>101</v>
      </c>
      <c r="B7" s="232" t="n">
        <v>2000</v>
      </c>
      <c r="E7" s="236" t="inlineStr">
        <is>
          <t>Auto</t>
        </is>
      </c>
      <c r="F7" s="231" t="n">
        <v>2700</v>
      </c>
    </row>
    <row r="8">
      <c r="A8" s="235" t="n">
        <v>102</v>
      </c>
      <c r="B8" s="249" t="inlineStr">
        <is>
          <t>NA</t>
        </is>
      </c>
      <c r="E8" s="236" t="inlineStr">
        <is>
          <t xml:space="preserve">cow dung packets </t>
        </is>
      </c>
      <c r="F8" s="231" t="n">
        <v>30</v>
      </c>
    </row>
    <row r="9">
      <c r="A9" s="235" t="n">
        <v>103</v>
      </c>
      <c r="B9" s="232" t="n">
        <v>2000</v>
      </c>
      <c r="E9" s="236" t="inlineStr">
        <is>
          <t>flowers  Banti Dandalu (80*20)</t>
        </is>
      </c>
      <c r="F9" s="231" t="n">
        <v>1600</v>
      </c>
    </row>
    <row r="10">
      <c r="A10" s="235" t="n">
        <v>104</v>
      </c>
      <c r="B10" s="232" t="n">
        <v>2000</v>
      </c>
      <c r="E10" s="236" t="inlineStr">
        <is>
          <t>flowers</t>
        </is>
      </c>
      <c r="F10" s="231" t="n">
        <v>300</v>
      </c>
    </row>
    <row r="11">
      <c r="A11" s="235" t="n">
        <v>201</v>
      </c>
      <c r="B11" s="232" t="n">
        <v>2000</v>
      </c>
      <c r="E11" s="236" t="inlineStr">
        <is>
          <t>coconuts(14*25)</t>
        </is>
      </c>
      <c r="F11" s="231" t="n">
        <v>350</v>
      </c>
    </row>
    <row r="12">
      <c r="A12" s="235" t="n">
        <v>202</v>
      </c>
      <c r="B12" s="232" t="n">
        <v>2000</v>
      </c>
      <c r="E12" s="236" t="inlineStr">
        <is>
          <t>Bananas</t>
        </is>
      </c>
      <c r="F12" s="231" t="n">
        <v>100</v>
      </c>
    </row>
    <row r="13">
      <c r="A13" s="235" t="n">
        <v>203</v>
      </c>
      <c r="B13" s="232" t="n">
        <v>2000</v>
      </c>
      <c r="E13" s="236" t="inlineStr">
        <is>
          <t>Jagadheesh (Switch Board + chembu)</t>
        </is>
      </c>
      <c r="F13" s="231" t="n">
        <v>1380</v>
      </c>
    </row>
    <row r="14">
      <c r="A14" s="235" t="n">
        <v>204</v>
      </c>
      <c r="B14" s="232" t="n">
        <v>2000</v>
      </c>
      <c r="E14" s="236" t="inlineStr">
        <is>
          <t>Sai Shankar (blue carpet)</t>
        </is>
      </c>
      <c r="F14" s="231" t="n">
        <v>600</v>
      </c>
    </row>
    <row r="15">
      <c r="A15" s="235" t="n">
        <v>301</v>
      </c>
      <c r="B15" s="249" t="inlineStr">
        <is>
          <t>NA</t>
        </is>
      </c>
      <c r="E15" s="236" t="inlineStr">
        <is>
          <t>Stand Bolts</t>
        </is>
      </c>
      <c r="F15" s="231" t="n">
        <v>150</v>
      </c>
    </row>
    <row r="16">
      <c r="A16" s="235" t="n">
        <v>302</v>
      </c>
      <c r="B16" s="232" t="n">
        <v>2000</v>
      </c>
      <c r="E16" s="236" t="inlineStr">
        <is>
          <t>Paper Plates + glasses (1st time)</t>
        </is>
      </c>
      <c r="F16" s="231" t="n">
        <v>1000</v>
      </c>
    </row>
    <row r="17">
      <c r="A17" s="235" t="n">
        <v>303</v>
      </c>
      <c r="B17" s="232" t="n">
        <v>2000</v>
      </c>
      <c r="E17" s="236" t="inlineStr">
        <is>
          <t>Dustbin Covers</t>
        </is>
      </c>
      <c r="F17" s="231" t="n">
        <v>135</v>
      </c>
    </row>
    <row r="18">
      <c r="A18" s="235" t="n">
        <v>304</v>
      </c>
      <c r="B18" s="249" t="inlineStr">
        <is>
          <t>NA</t>
        </is>
      </c>
      <c r="E18" s="236" t="inlineStr">
        <is>
          <t>Paper Plates + glasses (2nd time)</t>
        </is>
      </c>
      <c r="F18" s="231" t="n">
        <v>660</v>
      </c>
    </row>
    <row r="19">
      <c r="A19" s="236" t="inlineStr">
        <is>
          <t>collected Amount</t>
        </is>
      </c>
      <c r="B19" s="232" t="n">
        <v>26000</v>
      </c>
      <c r="E19" s="236" t="inlineStr">
        <is>
          <t xml:space="preserve">Hijra </t>
        </is>
      </c>
      <c r="F19" s="231" t="n">
        <v>300</v>
      </c>
    </row>
    <row r="20">
      <c r="A20" s="236" t="inlineStr">
        <is>
          <t>Last Laddu Auction</t>
        </is>
      </c>
      <c r="B20" s="232" t="n">
        <v>18500</v>
      </c>
      <c r="E20" s="236" t="inlineStr">
        <is>
          <t>Banana (2nd time)</t>
        </is>
      </c>
      <c r="F20" s="231" t="n">
        <v>100</v>
      </c>
    </row>
    <row r="21">
      <c r="A21" s="237" t="inlineStr">
        <is>
          <t>Total Amount (A)</t>
        </is>
      </c>
      <c r="B21" s="232">
        <f>B19+B20</f>
        <v/>
      </c>
      <c r="E21" s="236" t="inlineStr">
        <is>
          <t>flowers 1/4kg</t>
        </is>
      </c>
      <c r="F21" s="231" t="n">
        <v>100</v>
      </c>
    </row>
    <row r="22">
      <c r="A22" s="253" t="inlineStr">
        <is>
          <t>Total Expenses(B)</t>
        </is>
      </c>
      <c r="B22" s="232" t="n">
        <v>34940</v>
      </c>
      <c r="E22" s="236" t="inlineStr">
        <is>
          <t>Suredu gummadi kaya</t>
        </is>
      </c>
      <c r="F22" s="231" t="n">
        <v>110</v>
      </c>
    </row>
    <row r="23">
      <c r="A23" s="237" t="inlineStr">
        <is>
          <t>Balance Amount (A-B)</t>
        </is>
      </c>
      <c r="B23" s="273">
        <f>B21-B22</f>
        <v/>
      </c>
      <c r="E23" s="236" t="inlineStr">
        <is>
          <t>Prasadam Cups</t>
        </is>
      </c>
      <c r="F23" s="231" t="n">
        <v>120</v>
      </c>
    </row>
    <row r="24">
      <c r="E24" s="236" t="inlineStr">
        <is>
          <t>Ganesh Bands</t>
        </is>
      </c>
      <c r="F24" s="231" t="n">
        <v>90</v>
      </c>
    </row>
    <row r="25">
      <c r="E25" s="236" t="inlineStr">
        <is>
          <t>Saluva's (2*100)</t>
        </is>
      </c>
      <c r="F25" s="231" t="n">
        <v>200</v>
      </c>
    </row>
    <row r="26">
      <c r="E26" s="236" t="inlineStr">
        <is>
          <t>Sai Shankar (mang o leaves+ water bottles+ paper plates)</t>
        </is>
      </c>
      <c r="F26" s="231" t="n">
        <v>400</v>
      </c>
    </row>
    <row r="27">
      <c r="A27" s="216" t="inlineStr">
        <is>
          <t>Ganesh Laddu Auction</t>
        </is>
      </c>
      <c r="B27" s="331" t="n">
        <v>23000</v>
      </c>
      <c r="E27" s="236" t="inlineStr">
        <is>
          <t>Mahesh (raju shop)</t>
        </is>
      </c>
      <c r="F27" s="231" t="n">
        <v>123</v>
      </c>
    </row>
    <row r="28">
      <c r="E28" s="236" t="inlineStr">
        <is>
          <t>Rambabu (velaga pandu)</t>
        </is>
      </c>
      <c r="F28" s="231" t="n">
        <v>20</v>
      </c>
    </row>
    <row r="29">
      <c r="A29" s="375" t="inlineStr">
        <is>
          <t xml:space="preserve">The Balance 9560 is still with Peddaraju </t>
        </is>
      </c>
      <c r="E29" s="236" t="inlineStr">
        <is>
          <t>Jagadheesh (spatika)</t>
        </is>
      </c>
      <c r="F29" s="231" t="n">
        <v>10</v>
      </c>
    </row>
    <row r="30">
      <c r="E30" s="236" t="inlineStr">
        <is>
          <t>Carpet dry cleaning (2*600)</t>
        </is>
      </c>
      <c r="F30" s="231" t="n">
        <v>1200</v>
      </c>
    </row>
    <row r="31">
      <c r="E31" s="251" t="inlineStr">
        <is>
          <t>Total Expenses(B)</t>
        </is>
      </c>
      <c r="F31" s="252">
        <f>SUM(F3:F30)</f>
        <v/>
      </c>
    </row>
  </sheetData>
  <mergeCells count="2">
    <mergeCell ref="A1:F1"/>
    <mergeCell ref="A29:B29"/>
  </mergeCells>
  <pageMargins left="0.7" right="0.7" top="0.75" bottom="0.75" header="0.3" footer="0.3"/>
  <pageSetup orientation="portrait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B60"/>
  <sheetViews>
    <sheetView workbookViewId="0">
      <selection activeCell="G52" sqref="G52"/>
    </sheetView>
  </sheetViews>
  <sheetFormatPr baseColWidth="8" defaultColWidth="14.42578125" defaultRowHeight="15" customHeight="1"/>
  <cols>
    <col width="14.7109375" customWidth="1" style="366" min="1" max="1"/>
    <col width="20.28515625" customWidth="1" style="366" min="2" max="2"/>
    <col width="28.140625" customWidth="1" style="366" min="3" max="3"/>
    <col width="21.42578125" bestFit="1" customWidth="1" style="366" min="4" max="4"/>
    <col width="25.140625" bestFit="1" customWidth="1" style="366" min="5" max="5"/>
    <col width="23.85546875" bestFit="1" customWidth="1" style="366" min="6" max="6"/>
    <col width="11.140625" bestFit="1" customWidth="1" style="366" min="7" max="7"/>
    <col width="7.85546875" customWidth="1" style="366" min="8" max="11"/>
    <col width="9.42578125" customWidth="1" style="366" min="12" max="12"/>
    <col width="7.85546875" customWidth="1" style="366" min="13" max="13"/>
    <col width="24.28515625" customWidth="1" style="366" min="14" max="14"/>
    <col width="7.85546875" customWidth="1" style="366" min="15" max="17"/>
    <col width="11.42578125" customWidth="1" style="366" min="18" max="18"/>
    <col width="16.42578125" customWidth="1" style="366" min="19" max="19"/>
    <col width="10.42578125" customWidth="1" style="366" min="20" max="20"/>
    <col width="18.28515625" customWidth="1" style="366" min="21" max="21"/>
    <col width="26.140625" bestFit="1" customWidth="1" style="366" min="23" max="23"/>
    <col width="19.28515625" bestFit="1" customWidth="1" style="366" min="26" max="26"/>
    <col width="19.42578125" bestFit="1" customWidth="1" style="366" min="28" max="28"/>
  </cols>
  <sheetData>
    <row r="1">
      <c r="A1" s="350" t="inlineStr">
        <is>
          <t>Carpus Fund</t>
        </is>
      </c>
      <c r="B1" s="377" t="n"/>
      <c r="C1" s="377" t="n"/>
      <c r="D1" s="377" t="n"/>
      <c r="E1" s="377" t="n"/>
      <c r="F1" s="377" t="n"/>
      <c r="G1" s="377" t="n"/>
      <c r="H1" s="377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330" t="n"/>
      <c r="S1" s="330" t="inlineStr">
        <is>
          <t>12200-3000=9200</t>
        </is>
      </c>
      <c r="T1" s="330" t="n"/>
      <c r="U1" s="330" t="n"/>
    </row>
    <row r="2">
      <c r="A2" s="164" t="inlineStr">
        <is>
          <t>Flat Number</t>
        </is>
      </c>
      <c r="B2" s="165" t="inlineStr">
        <is>
          <t>Owner</t>
        </is>
      </c>
      <c r="C2" s="166" t="n">
        <v>44348</v>
      </c>
      <c r="D2" s="167" t="n">
        <v>44378</v>
      </c>
      <c r="E2" s="166" t="n">
        <v>44409</v>
      </c>
      <c r="F2" s="167" t="n">
        <v>44440</v>
      </c>
      <c r="G2" s="166" t="n">
        <v>44470</v>
      </c>
      <c r="H2" s="167" t="n">
        <v>44501</v>
      </c>
      <c r="I2" s="168" t="n">
        <v>44764</v>
      </c>
      <c r="J2" s="168" t="n">
        <v>44795</v>
      </c>
      <c r="K2" s="168" t="n">
        <v>45100</v>
      </c>
      <c r="L2" s="168" t="n">
        <v>45161</v>
      </c>
      <c r="M2" s="168" t="n">
        <v>45192</v>
      </c>
      <c r="N2" s="167" t="n">
        <v>45222</v>
      </c>
      <c r="O2" s="167" t="n">
        <v>45383</v>
      </c>
      <c r="P2" s="168" t="n"/>
      <c r="Q2" s="168" t="inlineStr">
        <is>
          <t>Total collect</t>
        </is>
      </c>
      <c r="R2" s="330" t="n"/>
      <c r="S2" s="330" t="n"/>
      <c r="T2" s="49" t="inlineStr">
        <is>
          <t>Flat Number</t>
        </is>
      </c>
      <c r="U2" s="27" t="inlineStr">
        <is>
          <t>Bore Repair Amount</t>
        </is>
      </c>
    </row>
    <row r="3">
      <c r="A3" s="169" t="inlineStr">
        <is>
          <t>G1</t>
        </is>
      </c>
      <c r="B3" s="32" t="inlineStr">
        <is>
          <t>Builder Krishna</t>
        </is>
      </c>
      <c r="C3" s="170" t="n">
        <v>11000</v>
      </c>
      <c r="D3" s="32" t="n">
        <v>4000</v>
      </c>
      <c r="E3" s="171" t="n">
        <v>5000</v>
      </c>
      <c r="F3" s="171" t="n">
        <v>5000</v>
      </c>
      <c r="G3" s="171" t="n">
        <v>5000</v>
      </c>
      <c r="H3" s="32" t="n"/>
      <c r="I3" s="29" t="n"/>
      <c r="J3" s="29" t="n"/>
      <c r="K3" s="29" t="n"/>
      <c r="L3" s="327" t="n"/>
      <c r="M3" s="172" t="n"/>
      <c r="N3" s="160" t="n"/>
      <c r="O3" s="160" t="n"/>
      <c r="P3" s="172" t="n"/>
      <c r="Q3" s="172" t="n"/>
      <c r="R3" s="330" t="n"/>
      <c r="S3" s="330" t="n"/>
      <c r="T3" s="173" t="inlineStr">
        <is>
          <t>G1</t>
        </is>
      </c>
      <c r="U3" s="29" t="n">
        <v>763</v>
      </c>
    </row>
    <row r="4">
      <c r="A4" s="169" t="inlineStr">
        <is>
          <t>G2</t>
        </is>
      </c>
      <c r="B4" s="32" t="inlineStr">
        <is>
          <t>Mr. KP Rao</t>
        </is>
      </c>
      <c r="C4" s="171" t="n">
        <v>5000</v>
      </c>
      <c r="D4" s="171" t="n">
        <v>5000</v>
      </c>
      <c r="E4" s="171" t="n">
        <v>5000</v>
      </c>
      <c r="F4" s="171" t="n">
        <v>5000</v>
      </c>
      <c r="G4" s="171" t="n">
        <v>5000</v>
      </c>
      <c r="H4" s="171" t="n">
        <v>5000</v>
      </c>
      <c r="I4" s="29" t="n"/>
      <c r="J4" s="29" t="n"/>
      <c r="K4" s="29" t="n"/>
      <c r="L4" s="327" t="n"/>
      <c r="M4" s="172" t="n"/>
      <c r="N4" s="160" t="n"/>
      <c r="O4" s="160" t="n"/>
      <c r="P4" s="172" t="n"/>
      <c r="Q4" s="172" t="n"/>
      <c r="R4" s="330" t="n"/>
      <c r="S4" s="330" t="n"/>
      <c r="T4" s="29" t="inlineStr">
        <is>
          <t>G2</t>
        </is>
      </c>
      <c r="U4" s="29" t="n">
        <v>763</v>
      </c>
    </row>
    <row r="5">
      <c r="A5" s="169" t="inlineStr">
        <is>
          <t>G3</t>
        </is>
      </c>
      <c r="B5" s="32" t="inlineStr">
        <is>
          <t>Mr. Jagadish</t>
        </is>
      </c>
      <c r="C5" s="171" t="n">
        <v>5000</v>
      </c>
      <c r="D5" s="32" t="n">
        <v>5000</v>
      </c>
      <c r="E5" s="171" t="n">
        <v>5000</v>
      </c>
      <c r="F5" s="32" t="n">
        <v>5000</v>
      </c>
      <c r="G5" s="171" t="n">
        <v>5000</v>
      </c>
      <c r="H5" s="32" t="n">
        <v>5000</v>
      </c>
      <c r="I5" s="29" t="n"/>
      <c r="J5" s="29" t="n"/>
      <c r="K5" s="29" t="n"/>
      <c r="L5" s="327" t="n"/>
      <c r="M5" s="172" t="n"/>
      <c r="N5" s="160" t="n"/>
      <c r="O5" s="160" t="n"/>
      <c r="P5" s="172" t="n"/>
      <c r="Q5" s="172" t="n"/>
      <c r="R5" s="330" t="n"/>
      <c r="S5" s="330" t="n"/>
      <c r="T5" s="29" t="inlineStr">
        <is>
          <t>G3</t>
        </is>
      </c>
      <c r="U5" s="29" t="n">
        <v>763</v>
      </c>
    </row>
    <row r="6">
      <c r="A6" s="169" t="inlineStr">
        <is>
          <t>G4</t>
        </is>
      </c>
      <c r="B6" s="32" t="inlineStr">
        <is>
          <t>Mr. Mahesh</t>
        </is>
      </c>
      <c r="C6" s="171" t="n">
        <v>5000</v>
      </c>
      <c r="D6" s="32" t="n">
        <v>5000</v>
      </c>
      <c r="E6" s="171" t="n">
        <v>5000</v>
      </c>
      <c r="F6" s="32" t="n">
        <v>5000</v>
      </c>
      <c r="G6" s="171" t="n">
        <v>5000</v>
      </c>
      <c r="H6" s="32" t="n">
        <v>5000</v>
      </c>
      <c r="I6" s="29" t="n"/>
      <c r="J6" s="29" t="n"/>
      <c r="K6" s="29" t="n"/>
      <c r="L6" s="327" t="n"/>
      <c r="M6" s="172" t="n"/>
      <c r="N6" s="160" t="n"/>
      <c r="O6" s="160" t="n"/>
      <c r="P6" s="172" t="n"/>
      <c r="Q6" s="172" t="n"/>
      <c r="R6" s="330" t="inlineStr">
        <is>
          <t>Disbursement</t>
        </is>
      </c>
      <c r="S6" s="330" t="n"/>
      <c r="T6" s="29" t="inlineStr">
        <is>
          <t>G4</t>
        </is>
      </c>
      <c r="U6" s="29" t="n">
        <v>763</v>
      </c>
    </row>
    <row r="7">
      <c r="A7" s="174" t="n">
        <v>101</v>
      </c>
      <c r="B7" s="173" t="inlineStr">
        <is>
          <t>Mr.Krishanm Raju</t>
        </is>
      </c>
      <c r="C7" s="175" t="n">
        <v>11000</v>
      </c>
      <c r="D7" s="173" t="n"/>
      <c r="E7" s="176" t="n"/>
      <c r="F7" s="173" t="n"/>
      <c r="G7" s="176" t="n"/>
      <c r="H7" s="173" t="n"/>
      <c r="I7" s="29" t="n"/>
      <c r="J7" s="29" t="n"/>
      <c r="K7" s="29" t="n"/>
      <c r="L7" s="327" t="n"/>
      <c r="M7" s="172" t="n"/>
      <c r="N7" s="160" t="n"/>
      <c r="O7" s="160" t="n"/>
      <c r="P7" s="172" t="n"/>
      <c r="Q7" s="172" t="n"/>
      <c r="R7" s="330" t="n">
        <v>30000</v>
      </c>
      <c r="S7" s="177" t="n">
        <v>44591</v>
      </c>
      <c r="T7" s="173" t="n">
        <v>101</v>
      </c>
      <c r="U7" s="29" t="n">
        <v>763</v>
      </c>
    </row>
    <row r="8">
      <c r="A8" s="169" t="n">
        <v>102</v>
      </c>
      <c r="B8" s="32" t="inlineStr">
        <is>
          <t>Mr. Peddi RaJu</t>
        </is>
      </c>
      <c r="C8" s="171" t="n">
        <v>5000</v>
      </c>
      <c r="D8" s="32" t="n">
        <v>5000</v>
      </c>
      <c r="E8" s="171" t="n">
        <v>5000</v>
      </c>
      <c r="F8" s="32" t="n">
        <v>5000</v>
      </c>
      <c r="G8" s="171" t="n">
        <v>5000</v>
      </c>
      <c r="H8" s="32" t="n">
        <v>5000</v>
      </c>
      <c r="I8" s="29" t="n"/>
      <c r="J8" s="29" t="n"/>
      <c r="K8" s="29" t="n"/>
      <c r="L8" s="327" t="n"/>
      <c r="M8" s="172" t="n"/>
      <c r="N8" s="160" t="n"/>
      <c r="O8" s="160" t="n"/>
      <c r="P8" s="172" t="n"/>
      <c r="Q8" s="172" t="n"/>
      <c r="R8" s="330" t="n"/>
      <c r="S8" s="330" t="n"/>
      <c r="T8" s="29" t="n">
        <v>102</v>
      </c>
      <c r="U8" s="29" t="n">
        <v>763</v>
      </c>
      <c r="W8" s="331" t="inlineStr">
        <is>
          <t>Balance on Date Aug 2nd 2024</t>
        </is>
      </c>
      <c r="X8" s="331" t="n">
        <v>99785.64999999999</v>
      </c>
      <c r="Z8" s="207" t="inlineStr">
        <is>
          <t>July 2024 Expendature</t>
        </is>
      </c>
    </row>
    <row r="9">
      <c r="A9" s="169" t="n">
        <v>103</v>
      </c>
      <c r="B9" s="32" t="inlineStr">
        <is>
          <t>Mr. Pedda Raju</t>
        </is>
      </c>
      <c r="C9" s="171" t="n">
        <v>5000</v>
      </c>
      <c r="D9" s="32" t="n">
        <v>5000</v>
      </c>
      <c r="E9" s="171" t="n">
        <v>5000</v>
      </c>
      <c r="F9" s="32" t="n">
        <v>5000</v>
      </c>
      <c r="G9" s="171" t="n">
        <v>10000</v>
      </c>
      <c r="H9" s="32" t="n"/>
      <c r="I9" s="29" t="n"/>
      <c r="J9" s="29" t="n"/>
      <c r="K9" s="29" t="n"/>
      <c r="L9" s="327" t="n"/>
      <c r="M9" s="172" t="n"/>
      <c r="N9" s="160" t="n"/>
      <c r="O9" s="160" t="n"/>
      <c r="P9" s="172" t="n"/>
      <c r="Q9" s="172" t="n"/>
      <c r="R9" s="330" t="n"/>
      <c r="S9" s="330" t="n"/>
      <c r="T9" s="29" t="n">
        <v>103</v>
      </c>
      <c r="U9" s="29" t="n">
        <v>763</v>
      </c>
    </row>
    <row r="10">
      <c r="A10" s="169" t="n">
        <v>104</v>
      </c>
      <c r="B10" s="32" t="inlineStr">
        <is>
          <t>Mr. Uma Mahesh</t>
        </is>
      </c>
      <c r="C10" s="171" t="n">
        <v>5000</v>
      </c>
      <c r="D10" s="32" t="n">
        <v>5000</v>
      </c>
      <c r="E10" s="171" t="n">
        <v>5000</v>
      </c>
      <c r="F10" s="32" t="n">
        <v>5000</v>
      </c>
      <c r="G10" s="171" t="n">
        <v>5000</v>
      </c>
      <c r="H10" s="32" t="n">
        <v>5000</v>
      </c>
      <c r="I10" s="29" t="n"/>
      <c r="J10" s="29" t="n"/>
      <c r="K10" s="29" t="n"/>
      <c r="L10" s="327" t="n"/>
      <c r="M10" s="172" t="n"/>
      <c r="N10" s="160" t="n"/>
      <c r="O10" s="160" t="n"/>
      <c r="P10" s="172" t="n"/>
      <c r="Q10" s="172" t="n"/>
      <c r="R10" s="330" t="n"/>
      <c r="S10" s="330" t="n"/>
      <c r="T10" s="29" t="n">
        <v>104</v>
      </c>
      <c r="U10" s="29" t="n">
        <v>763</v>
      </c>
      <c r="Z10" s="331" t="inlineStr">
        <is>
          <t>Watchman Shelfs</t>
        </is>
      </c>
      <c r="AA10" s="331" t="n">
        <v>5650</v>
      </c>
    </row>
    <row r="11">
      <c r="A11" s="178" t="n">
        <v>201</v>
      </c>
      <c r="B11" s="179" t="inlineStr">
        <is>
          <t>Mr.Subbarao garu</t>
        </is>
      </c>
      <c r="C11" s="171" t="n"/>
      <c r="D11" s="32" t="n"/>
      <c r="E11" s="171" t="n"/>
      <c r="F11" s="32" t="n"/>
      <c r="G11" s="171" t="n"/>
      <c r="H11" s="32" t="n"/>
      <c r="I11" s="32" t="n">
        <v>10000</v>
      </c>
      <c r="J11" s="32" t="n">
        <v>10000</v>
      </c>
      <c r="K11" s="32" t="n">
        <v>10000</v>
      </c>
      <c r="L11" s="65" t="n"/>
      <c r="M11" s="172" t="n"/>
      <c r="N11" s="160" t="n"/>
      <c r="O11" s="160" t="n"/>
      <c r="P11" s="172" t="n"/>
      <c r="Q11" s="172" t="n"/>
      <c r="R11" s="330" t="n"/>
      <c r="S11" s="330" t="n"/>
      <c r="T11" s="180" t="n">
        <v>201</v>
      </c>
      <c r="U11" s="29" t="n">
        <v>763</v>
      </c>
      <c r="Z11" s="331" t="inlineStr">
        <is>
          <t>Water Purification</t>
        </is>
      </c>
      <c r="AA11" s="331" t="n">
        <v>116000</v>
      </c>
    </row>
    <row r="12">
      <c r="A12" s="169" t="n">
        <v>202</v>
      </c>
      <c r="B12" s="32" t="inlineStr">
        <is>
          <t>Mr. Ram Kumar</t>
        </is>
      </c>
      <c r="C12" s="171" t="n">
        <v>5000</v>
      </c>
      <c r="D12" s="32" t="n">
        <v>5000</v>
      </c>
      <c r="E12" s="171" t="n">
        <v>5000</v>
      </c>
      <c r="F12" s="32" t="n">
        <v>5000</v>
      </c>
      <c r="G12" s="171" t="n">
        <v>5000</v>
      </c>
      <c r="H12" s="32" t="n">
        <v>5000</v>
      </c>
      <c r="I12" s="29" t="n"/>
      <c r="J12" s="29" t="n"/>
      <c r="K12" s="29" t="n"/>
      <c r="L12" s="327" t="n"/>
      <c r="M12" s="172" t="n"/>
      <c r="N12" s="160" t="n"/>
      <c r="O12" s="160" t="n"/>
      <c r="P12" s="172" t="n"/>
      <c r="Q12" s="172" t="n"/>
      <c r="R12" s="330" t="n"/>
      <c r="S12" s="330" t="n"/>
      <c r="T12" s="29" t="n">
        <v>202</v>
      </c>
      <c r="U12" s="29" t="n">
        <v>763</v>
      </c>
      <c r="Z12" s="331" t="inlineStr">
        <is>
          <t>Puumbing work</t>
        </is>
      </c>
      <c r="AA12" s="331">
        <f>15200+680+240+80</f>
        <v/>
      </c>
      <c r="AB12" s="331" t="inlineStr">
        <is>
          <t>16120 Paid by Teja</t>
        </is>
      </c>
    </row>
    <row r="13">
      <c r="A13" s="169" t="n">
        <v>203</v>
      </c>
      <c r="B13" s="32" t="inlineStr">
        <is>
          <t>Mr. Sai Sankar</t>
        </is>
      </c>
      <c r="C13" s="171" t="n">
        <v>5000</v>
      </c>
      <c r="D13" s="32" t="n">
        <v>5000</v>
      </c>
      <c r="E13" s="171" t="n">
        <v>5000</v>
      </c>
      <c r="F13" s="32" t="n">
        <v>5000</v>
      </c>
      <c r="G13" s="171" t="n">
        <v>5000</v>
      </c>
      <c r="H13" s="32" t="n">
        <v>5000</v>
      </c>
      <c r="I13" s="29" t="n"/>
      <c r="J13" s="29" t="n"/>
      <c r="K13" s="29" t="n"/>
      <c r="L13" s="327" t="n"/>
      <c r="M13" s="172" t="n"/>
      <c r="N13" s="160" t="n"/>
      <c r="O13" s="160" t="n"/>
      <c r="P13" s="172" t="n"/>
      <c r="Q13" s="172" t="n"/>
      <c r="R13" s="330" t="n"/>
      <c r="S13" s="330" t="n"/>
      <c r="T13" s="29" t="n">
        <v>203</v>
      </c>
      <c r="U13" s="29" t="n">
        <v>763</v>
      </c>
      <c r="AB13" s="331" t="inlineStr">
        <is>
          <t xml:space="preserve">80 paid by Sai shankar </t>
        </is>
      </c>
    </row>
    <row r="14">
      <c r="A14" s="169" t="n">
        <v>204</v>
      </c>
      <c r="B14" s="32" t="inlineStr">
        <is>
          <t>Mr. Srinivas</t>
        </is>
      </c>
      <c r="C14" s="171" t="n">
        <v>5000</v>
      </c>
      <c r="D14" s="32" t="n">
        <v>5000</v>
      </c>
      <c r="E14" s="171" t="n">
        <v>5000</v>
      </c>
      <c r="F14" s="32" t="n">
        <v>5000</v>
      </c>
      <c r="G14" s="171" t="n">
        <v>5000</v>
      </c>
      <c r="H14" s="32" t="n">
        <v>5000</v>
      </c>
      <c r="I14" s="29" t="n"/>
      <c r="J14" s="29" t="n"/>
      <c r="K14" s="29" t="n"/>
      <c r="L14" s="327" t="n"/>
      <c r="M14" s="172" t="n"/>
      <c r="N14" s="160" t="n"/>
      <c r="O14" s="160" t="n"/>
      <c r="P14" s="172" t="n"/>
      <c r="Q14" s="172" t="n"/>
      <c r="R14" s="330" t="n"/>
      <c r="S14" s="330" t="n"/>
      <c r="T14" s="29" t="n">
        <v>204</v>
      </c>
      <c r="U14" s="29" t="n">
        <v>763</v>
      </c>
      <c r="AA14" s="331">
        <f>SUM(AA10:AA13)</f>
        <v/>
      </c>
    </row>
    <row r="15">
      <c r="A15" s="174" t="n">
        <v>301</v>
      </c>
      <c r="B15" s="180" t="inlineStr">
        <is>
          <t>Mr.Subbarao garu</t>
        </is>
      </c>
      <c r="C15" s="175" t="n"/>
      <c r="D15" s="173" t="n"/>
      <c r="E15" s="181" t="n"/>
      <c r="F15" s="173" t="n"/>
      <c r="G15" s="176" t="n"/>
      <c r="H15" s="173" t="n"/>
      <c r="I15" s="29" t="n"/>
      <c r="K15" s="29" t="n"/>
      <c r="L15" s="65" t="n">
        <v>10000</v>
      </c>
      <c r="M15" s="182" t="n">
        <v>10000</v>
      </c>
      <c r="N15" s="183" t="n">
        <v>10000</v>
      </c>
      <c r="P15" s="172" t="n"/>
      <c r="Q15" s="172" t="n"/>
      <c r="R15" s="330" t="n"/>
      <c r="S15" s="330" t="n"/>
      <c r="T15" s="173" t="n">
        <v>301</v>
      </c>
      <c r="U15" s="29" t="n">
        <v>763</v>
      </c>
    </row>
    <row r="16">
      <c r="A16" s="174" t="n">
        <v>302</v>
      </c>
      <c r="B16" s="180" t="inlineStr">
        <is>
          <t>Mr.Subbarao garu</t>
        </is>
      </c>
      <c r="C16" s="175" t="n"/>
      <c r="D16" s="173" t="n"/>
      <c r="E16" s="181" t="n"/>
      <c r="F16" s="173" t="n"/>
      <c r="G16" s="176" t="n"/>
      <c r="H16" s="173" t="n"/>
      <c r="I16" s="29" t="n"/>
      <c r="J16" s="29" t="n"/>
      <c r="L16" s="327" t="n"/>
      <c r="M16" s="172" t="n"/>
      <c r="N16" s="160" t="n"/>
      <c r="O16" s="183" t="n">
        <v>15000</v>
      </c>
      <c r="P16" s="183" t="n">
        <v>15000</v>
      </c>
      <c r="Q16" s="172" t="n"/>
      <c r="R16" s="330" t="n"/>
      <c r="S16" s="330" t="n"/>
      <c r="T16" s="173" t="n">
        <v>302</v>
      </c>
      <c r="U16" s="29" t="n">
        <v>763</v>
      </c>
    </row>
    <row r="17">
      <c r="A17" s="169" t="n">
        <v>303</v>
      </c>
      <c r="B17" s="32" t="inlineStr">
        <is>
          <t>Mr. Seshu</t>
        </is>
      </c>
      <c r="C17" s="171" t="n">
        <v>5000</v>
      </c>
      <c r="D17" s="32" t="n">
        <v>5000</v>
      </c>
      <c r="E17" s="171" t="n">
        <v>5000</v>
      </c>
      <c r="F17" s="32" t="n">
        <v>5000</v>
      </c>
      <c r="G17" s="171" t="n">
        <v>5000</v>
      </c>
      <c r="H17" s="32" t="n">
        <v>5000</v>
      </c>
      <c r="I17" s="29" t="n"/>
      <c r="J17" s="29" t="n"/>
      <c r="K17" s="29" t="n"/>
      <c r="L17" s="327" t="n"/>
      <c r="M17" s="172" t="n"/>
      <c r="N17" s="160" t="n"/>
      <c r="O17" s="160" t="n"/>
      <c r="P17" s="172" t="n"/>
      <c r="Q17" s="172" t="n"/>
      <c r="R17" s="330" t="n"/>
      <c r="S17" s="330" t="n"/>
      <c r="T17" s="29" t="n">
        <v>303</v>
      </c>
      <c r="U17" s="29" t="n">
        <v>763</v>
      </c>
    </row>
    <row r="18">
      <c r="A18" s="184" t="n">
        <v>304</v>
      </c>
      <c r="B18" s="185" t="inlineStr">
        <is>
          <t>Mr. Sai ram kumar</t>
        </is>
      </c>
      <c r="C18" s="186" t="n">
        <v>10000</v>
      </c>
      <c r="D18" s="185" t="n">
        <v>5000</v>
      </c>
      <c r="E18" s="187" t="n"/>
      <c r="F18" s="185" t="n"/>
      <c r="G18" s="187" t="n"/>
      <c r="I18" s="29" t="n"/>
      <c r="J18" s="29" t="n"/>
      <c r="K18" s="29" t="n"/>
      <c r="L18" s="327" t="n"/>
      <c r="M18" s="172" t="n"/>
      <c r="N18" s="185" t="n">
        <v>15000</v>
      </c>
      <c r="O18" s="160" t="n"/>
      <c r="P18" s="172" t="n"/>
      <c r="Q18" s="172" t="n"/>
      <c r="R18" s="330" t="n"/>
      <c r="S18" s="330" t="n"/>
      <c r="T18" s="173" t="n">
        <v>304</v>
      </c>
      <c r="U18" s="29" t="n">
        <v>763</v>
      </c>
    </row>
    <row r="19">
      <c r="A19" s="188" t="inlineStr">
        <is>
          <t>Total</t>
        </is>
      </c>
      <c r="B19" s="189" t="n"/>
      <c r="C19" s="190">
        <f>SUM(C3:C18)</f>
        <v/>
      </c>
      <c r="D19" s="190">
        <f>SUM(D3:D18)</f>
        <v/>
      </c>
      <c r="E19" s="190">
        <f>SUM(E3:E18)</f>
        <v/>
      </c>
      <c r="F19" s="190">
        <f>SUM(F3:F18)</f>
        <v/>
      </c>
      <c r="G19" s="190">
        <f>SUM(G3:G18)</f>
        <v/>
      </c>
      <c r="H19" s="190">
        <f>SUM(H3:H18)</f>
        <v/>
      </c>
      <c r="I19" s="190">
        <f>SUM(I3:I17)</f>
        <v/>
      </c>
      <c r="J19" s="190">
        <f>SUM(J3:J17)</f>
        <v/>
      </c>
      <c r="K19" s="190">
        <f>SUM(K3:K17)</f>
        <v/>
      </c>
      <c r="L19" s="190">
        <f>SUM(L3:L17)</f>
        <v/>
      </c>
      <c r="M19" s="191">
        <f>SUM(L3:L17)</f>
        <v/>
      </c>
      <c r="N19" s="190" t="n">
        <v>25000</v>
      </c>
      <c r="O19" s="190" t="n">
        <v>15000</v>
      </c>
      <c r="P19" s="191" t="n">
        <v>15000</v>
      </c>
      <c r="Q19" s="191">
        <f>SUM(C19:P19)</f>
        <v/>
      </c>
      <c r="R19" s="330" t="n"/>
      <c r="S19" s="330" t="n"/>
      <c r="T19" s="188" t="inlineStr">
        <is>
          <t>Total</t>
        </is>
      </c>
      <c r="U19" s="192">
        <f>SUM(U3:U18)</f>
        <v/>
      </c>
    </row>
    <row r="20" ht="30" customHeight="1" s="366">
      <c r="A20" s="193" t="inlineStr">
        <is>
          <t>Total Bal in Carpus fund</t>
        </is>
      </c>
      <c r="B20" s="194">
        <f>Q19-E20</f>
        <v/>
      </c>
      <c r="C20" s="330" t="n"/>
      <c r="D20" s="195" t="inlineStr">
        <is>
          <t>Water connection spend amt</t>
        </is>
      </c>
      <c r="E20" s="335" t="n">
        <v>176000</v>
      </c>
      <c r="F20" s="330" t="n"/>
      <c r="G20" s="330" t="n"/>
      <c r="H20" s="330" t="n"/>
      <c r="I20" s="330" t="n">
        <v>30000</v>
      </c>
      <c r="J20" s="330" t="n"/>
      <c r="K20" s="330" t="n"/>
      <c r="L20" s="330" t="n"/>
      <c r="M20" s="330" t="n"/>
      <c r="N20" s="330" t="n"/>
      <c r="O20" s="330" t="n"/>
      <c r="P20" s="330" t="n"/>
      <c r="Q20" s="330" t="n"/>
      <c r="R20" s="330" t="n"/>
      <c r="S20" s="330" t="n"/>
      <c r="T20" s="330" t="n"/>
      <c r="U20" s="330" t="n"/>
    </row>
    <row r="21" ht="15.75" customHeight="1" s="366">
      <c r="A21" s="196" t="inlineStr">
        <is>
          <t>Advance Bal</t>
        </is>
      </c>
      <c r="B21" s="197" t="n">
        <v>1900</v>
      </c>
      <c r="C21" s="330" t="n"/>
      <c r="D21" s="330" t="n"/>
      <c r="E21" s="330" t="n"/>
      <c r="F21" s="330" t="n"/>
      <c r="G21" s="330" t="n"/>
      <c r="H21" s="330" t="n"/>
      <c r="I21" s="330" t="n"/>
      <c r="J21" s="330" t="n"/>
      <c r="K21" s="330" t="n"/>
      <c r="L21" s="330" t="n"/>
      <c r="M21" s="330" t="n"/>
      <c r="N21" s="330" t="n"/>
      <c r="O21" s="330" t="n"/>
      <c r="P21" s="330" t="n"/>
      <c r="Q21" s="330" t="n"/>
      <c r="R21" s="330" t="n"/>
      <c r="S21" s="330" t="n"/>
      <c r="T21" s="330" t="n">
        <v>9200</v>
      </c>
      <c r="U21" s="330" t="inlineStr">
        <is>
          <t>Added in carpus fund</t>
        </is>
      </c>
    </row>
    <row r="22" ht="15.75" customHeight="1" s="366">
      <c r="A22" s="197" t="n">
        <v>203</v>
      </c>
      <c r="B22" s="197" t="n">
        <v>600</v>
      </c>
      <c r="C22" s="330" t="n"/>
      <c r="D22" s="330" t="n"/>
      <c r="E22" s="330" t="n"/>
      <c r="F22" s="330" t="n"/>
      <c r="G22" s="330" t="n"/>
      <c r="H22" s="330" t="n"/>
      <c r="I22" s="330" t="n"/>
      <c r="J22" s="330" t="n"/>
      <c r="K22" s="330" t="n"/>
      <c r="L22" s="330" t="n"/>
      <c r="M22" s="330" t="n"/>
      <c r="N22" s="330" t="n"/>
      <c r="O22" s="330" t="n"/>
      <c r="P22" s="330" t="n"/>
      <c r="Q22" s="330" t="n"/>
      <c r="R22" s="330" t="n"/>
      <c r="S22" s="330" t="n"/>
      <c r="T22" s="330" t="n">
        <v>3000</v>
      </c>
      <c r="U22" s="330" t="inlineStr">
        <is>
          <t>Added in maintenance</t>
        </is>
      </c>
    </row>
    <row r="23" ht="15.75" customHeight="1" s="366">
      <c r="A23" s="197" t="n">
        <v>204</v>
      </c>
      <c r="B23" s="197" t="n">
        <v>600</v>
      </c>
      <c r="C23" s="330" t="n"/>
      <c r="D23" s="330" t="n"/>
      <c r="E23" s="330" t="n"/>
      <c r="F23" s="330" t="n"/>
      <c r="G23" s="330" t="n"/>
      <c r="H23" s="330" t="n"/>
      <c r="I23" s="330" t="n"/>
      <c r="J23" s="330" t="n"/>
      <c r="K23" s="330" t="n"/>
      <c r="L23" s="330" t="n"/>
      <c r="M23" s="330" t="n"/>
      <c r="N23" s="330" t="n"/>
      <c r="O23" s="330" t="n"/>
      <c r="P23" s="330" t="n"/>
      <c r="Q23" s="330" t="n"/>
      <c r="R23" s="330" t="n"/>
      <c r="S23" s="330" t="n"/>
      <c r="T23" s="330" t="n"/>
      <c r="U23" s="330" t="n"/>
    </row>
    <row r="24" ht="15.75" customHeight="1" s="366">
      <c r="A24" s="197" t="n">
        <v>304</v>
      </c>
      <c r="B24" s="197" t="n">
        <v>0</v>
      </c>
      <c r="C24" s="330" t="n"/>
      <c r="D24" s="330" t="n"/>
      <c r="E24" s="330" t="n"/>
      <c r="F24" s="330" t="n"/>
      <c r="G24" s="330" t="n"/>
      <c r="H24" s="330" t="n"/>
      <c r="I24" s="330" t="n"/>
      <c r="J24" s="330" t="n"/>
      <c r="K24" s="330" t="n"/>
      <c r="L24" s="330">
        <f>446000-176000</f>
        <v/>
      </c>
      <c r="M24" s="330" t="n"/>
      <c r="N24" s="330" t="n"/>
      <c r="O24" s="330" t="n"/>
      <c r="P24" s="330" t="n"/>
      <c r="Q24" s="330" t="n"/>
      <c r="R24" s="330" t="n"/>
      <c r="S24" s="330" t="n"/>
      <c r="T24" s="330" t="n"/>
      <c r="U24" s="330" t="n"/>
    </row>
    <row r="25" ht="15.75" customHeight="1" s="366">
      <c r="A25" s="196" t="inlineStr">
        <is>
          <t>Total</t>
        </is>
      </c>
      <c r="B25" s="196">
        <f>SUM(B21:B23)</f>
        <v/>
      </c>
      <c r="C25" s="330" t="n"/>
      <c r="D25" s="330" t="n"/>
      <c r="E25" s="330" t="n"/>
      <c r="F25" s="330" t="n"/>
      <c r="G25" s="330" t="n"/>
      <c r="H25" s="330" t="n"/>
      <c r="I25" s="330" t="n"/>
      <c r="J25" s="330" t="n"/>
      <c r="K25" s="330" t="n"/>
      <c r="L25" s="330" t="n"/>
      <c r="M25" s="330" t="n"/>
      <c r="N25" s="330" t="n"/>
      <c r="O25" s="330" t="n"/>
      <c r="P25" s="330" t="n"/>
      <c r="Q25" s="330" t="n"/>
      <c r="R25" s="330" t="n"/>
      <c r="S25" s="330" t="n"/>
      <c r="T25" s="353" t="inlineStr">
        <is>
          <t>Birds Net 12 Aug2021</t>
        </is>
      </c>
      <c r="U25" s="378" t="n"/>
    </row>
    <row r="26" ht="15.75" customHeight="1" s="366">
      <c r="A26" s="330" t="n"/>
      <c r="B26" s="330" t="n"/>
      <c r="C26" s="330" t="n"/>
      <c r="D26" s="330" t="n"/>
      <c r="E26" s="330" t="n"/>
      <c r="F26" s="330" t="n"/>
      <c r="G26" s="330" t="n"/>
      <c r="H26" s="330" t="n"/>
      <c r="I26" s="330" t="n"/>
      <c r="J26" s="330" t="n"/>
      <c r="K26" s="330" t="n"/>
      <c r="L26" s="330" t="n"/>
      <c r="M26" s="330" t="n"/>
      <c r="N26" s="330" t="n"/>
      <c r="O26" s="330" t="n"/>
      <c r="P26" s="330" t="n"/>
      <c r="Q26" s="330" t="n"/>
      <c r="R26" s="330" t="n"/>
      <c r="S26" s="330" t="n"/>
      <c r="T26" s="49" t="inlineStr">
        <is>
          <t>Flat Number</t>
        </is>
      </c>
      <c r="U26" s="27" t="inlineStr">
        <is>
          <t>Birds Net Amount</t>
        </is>
      </c>
    </row>
    <row r="27" ht="15.75" customHeight="1" s="366">
      <c r="B27" s="330" t="n"/>
      <c r="C27" s="330" t="n"/>
      <c r="D27" s="330" t="n"/>
      <c r="E27" s="330" t="n"/>
      <c r="F27" s="330" t="n"/>
      <c r="G27" s="330" t="n"/>
      <c r="H27" s="330" t="n"/>
      <c r="I27" s="108">
        <f>I19-I20-I21-I22-I24-I25-I26</f>
        <v/>
      </c>
      <c r="J27" s="108" t="n"/>
      <c r="K27" s="108" t="n"/>
      <c r="L27" s="177" t="n"/>
      <c r="M27" s="108" t="n"/>
      <c r="N27" s="108" t="n"/>
      <c r="O27" s="108" t="n"/>
      <c r="P27" s="108" t="n"/>
      <c r="Q27" s="108" t="n"/>
      <c r="R27" s="330" t="n"/>
      <c r="S27" s="330" t="n"/>
      <c r="T27" s="173" t="inlineStr">
        <is>
          <t>G1</t>
        </is>
      </c>
      <c r="U27" s="29" t="n">
        <v>440</v>
      </c>
    </row>
    <row r="28" ht="15.75" customHeight="1" s="366">
      <c r="A28" s="330" t="n"/>
      <c r="B28" s="330" t="n"/>
      <c r="C28" s="330" t="n"/>
      <c r="D28" s="330" t="n"/>
      <c r="E28" s="330" t="n"/>
      <c r="F28" s="330" t="n"/>
      <c r="G28" s="330" t="n"/>
      <c r="H28" s="330" t="n"/>
      <c r="I28" s="330" t="n"/>
      <c r="J28" s="330" t="n"/>
      <c r="K28" s="330" t="n"/>
      <c r="L28" s="177" t="n">
        <v>45131</v>
      </c>
      <c r="M28" s="330" t="n">
        <v>14500</v>
      </c>
      <c r="N28" s="379" t="inlineStr">
        <is>
          <t>reverted on 28 Aug 2023</t>
        </is>
      </c>
      <c r="O28" s="330" t="inlineStr">
        <is>
          <t>list</t>
        </is>
      </c>
      <c r="P28" s="330" t="n"/>
      <c r="Q28" s="330" t="n"/>
      <c r="R28" s="330" t="n"/>
      <c r="S28" s="330" t="n"/>
      <c r="T28" s="29" t="inlineStr">
        <is>
          <t>G2</t>
        </is>
      </c>
      <c r="U28" s="29" t="n">
        <v>440</v>
      </c>
    </row>
    <row r="29" ht="15.75" customHeight="1" s="366">
      <c r="A29" s="330" t="n"/>
      <c r="B29" s="330" t="n"/>
      <c r="C29" s="330" t="n"/>
      <c r="D29" s="330" t="n"/>
      <c r="E29" s="330" t="n"/>
      <c r="F29" s="330" t="n"/>
      <c r="G29" s="330" t="n"/>
      <c r="H29" s="330" t="n"/>
      <c r="I29" s="330" t="n"/>
      <c r="J29" s="330" t="n"/>
      <c r="K29" s="330" t="n"/>
      <c r="L29" s="177" t="n">
        <v>45135</v>
      </c>
      <c r="M29" s="330" t="n">
        <v>5500</v>
      </c>
      <c r="O29" s="330" t="n"/>
      <c r="P29" s="330" t="n"/>
      <c r="Q29" s="330" t="n"/>
      <c r="R29" s="330" t="n"/>
      <c r="S29" s="330" t="n"/>
      <c r="T29" s="29" t="inlineStr">
        <is>
          <t>G3</t>
        </is>
      </c>
      <c r="U29" s="29" t="n">
        <v>440</v>
      </c>
    </row>
    <row r="30" ht="15.75" customHeight="1" s="366">
      <c r="A30" s="330" t="n"/>
      <c r="B30" s="330" t="n"/>
      <c r="C30" s="330" t="n"/>
      <c r="D30" s="330" t="n"/>
      <c r="E30" s="330" t="n"/>
      <c r="F30" s="330" t="n"/>
      <c r="G30" s="330" t="n"/>
      <c r="H30" s="330" t="n"/>
      <c r="I30" s="330" t="n"/>
      <c r="J30" s="330" t="n"/>
      <c r="K30" s="330" t="n"/>
      <c r="L30" s="177" t="n">
        <v>45187</v>
      </c>
      <c r="M30" s="330" t="n">
        <v>20000</v>
      </c>
      <c r="N30" s="330" t="inlineStr">
        <is>
          <t>CC Camera</t>
        </is>
      </c>
      <c r="O30" s="330" t="n"/>
      <c r="P30" s="330" t="n"/>
      <c r="Q30" s="330" t="n"/>
      <c r="R30" s="330" t="n"/>
      <c r="S30" s="330" t="n"/>
      <c r="T30" s="29" t="inlineStr">
        <is>
          <t>G4</t>
        </is>
      </c>
      <c r="U30" s="29" t="n">
        <v>440</v>
      </c>
    </row>
    <row r="31" ht="15.75" customHeight="1" s="366">
      <c r="A31" s="330" t="n"/>
      <c r="H31" s="330" t="n"/>
      <c r="I31" s="330" t="n"/>
      <c r="J31" s="330" t="n"/>
      <c r="K31" s="330" t="n"/>
      <c r="L31" s="177" t="n">
        <v>45178</v>
      </c>
      <c r="M31" s="330" t="n">
        <v>5000</v>
      </c>
      <c r="N31" s="380" t="inlineStr">
        <is>
          <t xml:space="preserve">Vinayaka Chavithi Stage </t>
        </is>
      </c>
      <c r="O31" s="330" t="n"/>
      <c r="P31" s="330" t="n"/>
      <c r="Q31" s="330" t="n"/>
      <c r="R31" s="330" t="n"/>
      <c r="S31" s="330" t="n"/>
      <c r="T31" s="173" t="n">
        <v>101</v>
      </c>
      <c r="U31" s="29" t="n"/>
    </row>
    <row r="32" ht="15.75" customHeight="1" s="366">
      <c r="A32" s="330" t="n"/>
      <c r="C32" s="198" t="n">
        <v>45022</v>
      </c>
      <c r="D32" s="1" t="n">
        <v>200116.65</v>
      </c>
      <c r="H32" s="330" t="n"/>
      <c r="I32" s="330" t="n"/>
      <c r="J32" s="330" t="n"/>
      <c r="K32" s="330" t="n"/>
      <c r="L32" s="177" t="n">
        <v>45186</v>
      </c>
      <c r="M32" s="330" t="n">
        <v>4000</v>
      </c>
      <c r="O32" s="330" t="n"/>
      <c r="P32" s="330" t="n"/>
      <c r="Q32" s="330" t="n"/>
      <c r="R32" s="330" t="n"/>
      <c r="S32" s="330" t="n"/>
      <c r="T32" s="29" t="n">
        <v>102</v>
      </c>
      <c r="U32" s="29" t="n">
        <v>440</v>
      </c>
    </row>
    <row r="33" ht="15.75" customHeight="1" s="366">
      <c r="A33" s="330" t="n"/>
      <c r="C33" s="198" t="n">
        <v>45092</v>
      </c>
      <c r="D33" s="1" t="n">
        <v>10000</v>
      </c>
      <c r="H33" s="330" t="n"/>
      <c r="I33" s="330" t="n"/>
      <c r="J33" s="330" t="n"/>
      <c r="K33" s="330" t="n"/>
      <c r="L33" s="177" t="n">
        <v>45194</v>
      </c>
      <c r="M33" s="330" t="n">
        <v>12000</v>
      </c>
      <c r="N33" s="330" t="inlineStr">
        <is>
          <t>CC Camera</t>
        </is>
      </c>
      <c r="O33" s="330" t="n"/>
      <c r="P33" s="330" t="n"/>
      <c r="Q33" s="330" t="n"/>
      <c r="R33" s="330" t="n"/>
      <c r="S33" s="330" t="n"/>
      <c r="T33" s="29" t="n">
        <v>103</v>
      </c>
      <c r="U33" s="29" t="n">
        <v>440</v>
      </c>
    </row>
    <row r="34" ht="15.75" customHeight="1" s="366">
      <c r="A34" s="330" t="n"/>
      <c r="C34" s="198" t="n">
        <v>45141</v>
      </c>
      <c r="D34" s="1" t="n">
        <v>10000</v>
      </c>
      <c r="H34" s="330" t="n"/>
      <c r="I34" s="330" t="n"/>
      <c r="J34" s="330" t="n"/>
      <c r="K34" s="330" t="n"/>
      <c r="L34" s="177" t="n">
        <v>45218</v>
      </c>
      <c r="M34" s="330" t="n">
        <v>16500</v>
      </c>
      <c r="N34" s="330" t="inlineStr">
        <is>
          <t>Bore Motor</t>
        </is>
      </c>
      <c r="O34" s="330" t="n"/>
      <c r="P34" s="330" t="n"/>
      <c r="Q34" s="330" t="n"/>
      <c r="R34" s="330" t="n"/>
      <c r="S34" s="330" t="n"/>
      <c r="T34" s="29" t="n">
        <v>104</v>
      </c>
      <c r="U34" s="29" t="n">
        <v>440</v>
      </c>
    </row>
    <row r="35" ht="15.75" customHeight="1" s="366">
      <c r="A35" s="330" t="n"/>
      <c r="C35" s="198" t="n">
        <v>45180</v>
      </c>
      <c r="D35" s="1" t="n">
        <v>10000</v>
      </c>
      <c r="H35" s="330" t="n"/>
      <c r="I35" s="330" t="n"/>
      <c r="J35" s="330" t="n"/>
      <c r="K35" s="330" t="n"/>
      <c r="L35" s="177" t="n">
        <v>45219</v>
      </c>
      <c r="M35" s="330" t="n">
        <v>3000</v>
      </c>
      <c r="N35" s="330" t="inlineStr">
        <is>
          <t>Bore Motor</t>
        </is>
      </c>
      <c r="O35" s="330" t="n"/>
      <c r="P35" s="330" t="n"/>
      <c r="Q35" s="330" t="n"/>
      <c r="R35" s="330" t="n"/>
      <c r="S35" s="330" t="n"/>
      <c r="T35" s="180" t="n">
        <v>201</v>
      </c>
      <c r="U35" s="29" t="n"/>
    </row>
    <row r="36" ht="15.75" customHeight="1" s="366">
      <c r="A36" s="330" t="n"/>
      <c r="H36" s="330" t="n"/>
      <c r="I36" s="330" t="n"/>
      <c r="J36" s="330" t="n"/>
      <c r="K36" s="330" t="n"/>
      <c r="L36" s="177" t="n">
        <v>45219</v>
      </c>
      <c r="M36" s="330" t="n">
        <v>4450</v>
      </c>
      <c r="N36" s="330" t="inlineStr">
        <is>
          <t>Bore Motor</t>
        </is>
      </c>
      <c r="O36" s="330" t="n"/>
      <c r="P36" s="330" t="n"/>
      <c r="Q36" s="330" t="n"/>
      <c r="R36" s="330" t="n"/>
      <c r="S36" s="330" t="n"/>
      <c r="T36" s="29" t="n">
        <v>202</v>
      </c>
      <c r="U36" s="29" t="n">
        <v>440</v>
      </c>
    </row>
    <row r="37" ht="15.75" customHeight="1" s="366">
      <c r="A37" s="330" t="n"/>
      <c r="D37" s="1">
        <f>SUM(D32:D35)</f>
        <v/>
      </c>
      <c r="H37" s="330" t="n"/>
      <c r="I37" s="330" t="n"/>
      <c r="J37" s="330" t="n"/>
      <c r="K37" s="330" t="n"/>
      <c r="L37" s="177" t="n">
        <v>45219</v>
      </c>
      <c r="M37" s="330" t="n">
        <v>1500</v>
      </c>
      <c r="N37" s="330" t="inlineStr">
        <is>
          <t>Bore Motor</t>
        </is>
      </c>
      <c r="O37" s="330" t="n"/>
      <c r="P37" s="330" t="n"/>
      <c r="Q37" s="330" t="n"/>
      <c r="R37" s="330" t="n"/>
      <c r="S37" s="330" t="n"/>
      <c r="T37" s="29" t="n">
        <v>203</v>
      </c>
      <c r="U37" s="29" t="n">
        <v>440</v>
      </c>
    </row>
    <row r="38" ht="15.75" customHeight="1" s="366">
      <c r="A38" s="330" t="n"/>
      <c r="H38" s="330" t="n"/>
      <c r="I38" s="330" t="n"/>
      <c r="J38" s="330" t="n"/>
      <c r="K38" s="330" t="n"/>
      <c r="L38" s="177" t="n">
        <v>45280</v>
      </c>
      <c r="M38" s="330" t="n">
        <v>23000</v>
      </c>
      <c r="N38" s="330" t="inlineStr">
        <is>
          <t>Reverted on 27-Dec-23</t>
        </is>
      </c>
      <c r="O38" s="330" t="n"/>
      <c r="P38" s="330" t="n"/>
      <c r="Q38" s="330" t="n"/>
      <c r="R38" s="330" t="n"/>
      <c r="S38" s="330" t="n"/>
      <c r="T38" s="29" t="n">
        <v>204</v>
      </c>
      <c r="U38" s="29" t="n">
        <v>440</v>
      </c>
    </row>
    <row r="39" ht="15.75" customHeight="1" s="366">
      <c r="A39" s="330" t="n"/>
      <c r="B39" s="1" t="inlineStr">
        <is>
          <t>Curent balance (16-6-2024)</t>
        </is>
      </c>
      <c r="D39" s="1" t="n">
        <v>206834.66</v>
      </c>
      <c r="H39" s="330" t="n"/>
      <c r="I39" s="330" t="n"/>
      <c r="J39" s="330" t="n"/>
      <c r="K39" s="330" t="n"/>
      <c r="L39" s="177" t="n">
        <v>45388</v>
      </c>
      <c r="M39" s="330" t="n">
        <v>6000</v>
      </c>
      <c r="N39" s="330" t="inlineStr">
        <is>
          <t>350 Back from Uma Mahesh</t>
        </is>
      </c>
      <c r="O39" s="330" t="inlineStr">
        <is>
          <t>Meters</t>
        </is>
      </c>
      <c r="P39" s="330" t="n"/>
      <c r="Q39" s="330" t="n"/>
      <c r="R39" s="330" t="n"/>
      <c r="S39" s="330" t="n"/>
      <c r="T39" s="173" t="n">
        <v>301</v>
      </c>
      <c r="U39" s="29" t="n"/>
    </row>
    <row r="40" ht="15.75" customHeight="1" s="366">
      <c r="A40" s="330" t="n"/>
      <c r="H40" s="330" t="n"/>
      <c r="I40" s="330" t="n"/>
      <c r="J40" s="330" t="n"/>
      <c r="K40" s="330" t="n"/>
      <c r="L40" s="177" t="n">
        <v>45448</v>
      </c>
      <c r="M40" s="330" t="n">
        <v>5000</v>
      </c>
      <c r="N40" s="330" t="inlineStr">
        <is>
          <t>Generator Service</t>
        </is>
      </c>
      <c r="O40" s="330" t="n"/>
      <c r="P40" s="330" t="n"/>
      <c r="Q40" s="330" t="n"/>
      <c r="R40" s="330" t="n"/>
      <c r="S40" s="330" t="n"/>
      <c r="T40" s="173" t="n">
        <v>302</v>
      </c>
      <c r="U40" s="29" t="n"/>
    </row>
    <row r="41" ht="15.75" customHeight="1" s="366">
      <c r="A41" s="330" t="n"/>
      <c r="H41" s="330" t="n"/>
      <c r="I41" s="330" t="n"/>
      <c r="J41" s="330" t="n"/>
      <c r="K41" s="330" t="n"/>
      <c r="L41" s="177" t="n">
        <v>45478</v>
      </c>
      <c r="M41" s="330" t="n">
        <v>1500</v>
      </c>
      <c r="N41" s="330" t="inlineStr">
        <is>
          <t>CC Camera Power Box failure</t>
        </is>
      </c>
      <c r="O41" s="330" t="n"/>
      <c r="P41" s="330" t="n"/>
      <c r="Q41" s="330" t="n"/>
      <c r="R41" s="330" t="n"/>
      <c r="S41" s="330" t="n"/>
      <c r="T41" s="29" t="n">
        <v>303</v>
      </c>
      <c r="U41" s="29" t="n">
        <v>440</v>
      </c>
    </row>
    <row r="42" ht="15.75" customHeight="1" s="366">
      <c r="A42" s="241" t="n">
        <v>45902</v>
      </c>
      <c r="D42" s="243" t="n">
        <v>45902</v>
      </c>
      <c r="E42" s="233" t="n"/>
      <c r="H42" s="330" t="n"/>
      <c r="I42" s="330" t="n"/>
      <c r="J42" s="330" t="n"/>
      <c r="K42" s="330" t="n"/>
      <c r="L42" s="330" t="n"/>
      <c r="M42" s="330" t="n"/>
      <c r="N42" s="330" t="n"/>
      <c r="O42" s="330" t="n"/>
      <c r="P42" s="330" t="n"/>
      <c r="Q42" s="330" t="n"/>
      <c r="R42" s="330" t="n"/>
      <c r="S42" s="330" t="n"/>
      <c r="T42" s="173" t="n">
        <v>304</v>
      </c>
      <c r="U42" s="29" t="n"/>
    </row>
    <row r="43" ht="15.75" customHeight="1" s="366">
      <c r="A43" s="234" t="inlineStr">
        <is>
          <t>Flat No</t>
        </is>
      </c>
      <c r="B43" s="234" t="inlineStr">
        <is>
          <t>Softner Amount</t>
        </is>
      </c>
      <c r="D43" s="242" t="inlineStr">
        <is>
          <t xml:space="preserve">Corpus fund details </t>
        </is>
      </c>
      <c r="E43" s="242" t="inlineStr">
        <is>
          <t>Amount</t>
        </is>
      </c>
      <c r="F43" s="242" t="inlineStr">
        <is>
          <t>Given Date</t>
        </is>
      </c>
      <c r="G43" s="242" t="inlineStr">
        <is>
          <t>Interest rate</t>
        </is>
      </c>
      <c r="H43" s="330" t="n"/>
      <c r="I43" s="330" t="n"/>
      <c r="J43" s="330" t="n"/>
      <c r="K43" s="330" t="n"/>
      <c r="L43" s="330" t="n"/>
      <c r="M43" s="330" t="n"/>
      <c r="N43" s="330" t="n"/>
      <c r="O43" s="330" t="n"/>
      <c r="P43" s="330" t="n"/>
      <c r="Q43" s="330" t="n"/>
      <c r="R43" s="330" t="n"/>
      <c r="S43" s="330" t="n"/>
      <c r="T43" s="188" t="inlineStr">
        <is>
          <t>Total</t>
        </is>
      </c>
      <c r="U43" s="192">
        <f>SUM(U27:U42)</f>
        <v/>
      </c>
    </row>
    <row r="44" ht="15" customHeight="1" s="366">
      <c r="A44" s="239" t="inlineStr">
        <is>
          <t>G1</t>
        </is>
      </c>
      <c r="B44" s="238" t="inlineStr">
        <is>
          <t>cleared</t>
        </is>
      </c>
      <c r="D44" s="232" t="n">
        <v>203</v>
      </c>
      <c r="E44" s="232" t="n">
        <v>100000</v>
      </c>
      <c r="F44" s="246" t="n">
        <v>45870</v>
      </c>
      <c r="G44" s="237" t="inlineStr">
        <is>
          <t>1 Rupee</t>
        </is>
      </c>
    </row>
    <row r="45" ht="15" customHeight="1" s="366">
      <c r="A45" s="239" t="inlineStr">
        <is>
          <t>G2</t>
        </is>
      </c>
      <c r="B45" s="238" t="inlineStr">
        <is>
          <t>cleared</t>
        </is>
      </c>
      <c r="D45" s="232" t="n">
        <v>303</v>
      </c>
      <c r="E45" s="232" t="n">
        <v>50000</v>
      </c>
      <c r="F45" s="246" t="n">
        <v>45885</v>
      </c>
      <c r="G45" s="237" t="inlineStr">
        <is>
          <t>1 Rupee</t>
        </is>
      </c>
    </row>
    <row r="46" ht="15" customHeight="1" s="366">
      <c r="A46" s="239" t="inlineStr">
        <is>
          <t>G3</t>
        </is>
      </c>
      <c r="B46" s="238" t="inlineStr">
        <is>
          <t>cleared</t>
        </is>
      </c>
      <c r="D46" s="244" t="n"/>
      <c r="E46" s="244" t="n"/>
      <c r="F46" s="233" t="n"/>
      <c r="G46" s="233" t="n"/>
    </row>
    <row r="47" ht="15" customHeight="1" s="366">
      <c r="A47" s="239" t="inlineStr">
        <is>
          <t>G4</t>
        </is>
      </c>
      <c r="B47" s="238" t="inlineStr">
        <is>
          <t>cleared</t>
        </is>
      </c>
      <c r="D47" s="242" t="inlineStr">
        <is>
          <t xml:space="preserve">Remaining Corpus fund </t>
        </is>
      </c>
      <c r="E47" s="242" t="inlineStr">
        <is>
          <t>collected in JULY&amp;AUG-2025</t>
        </is>
      </c>
      <c r="F47" s="242" t="inlineStr">
        <is>
          <t>Collected from Jagadheesh</t>
        </is>
      </c>
      <c r="G47" s="242" t="inlineStr">
        <is>
          <t>Total</t>
        </is>
      </c>
    </row>
    <row r="48" ht="15" customHeight="1" s="366">
      <c r="A48" s="239" t="n">
        <v>101</v>
      </c>
      <c r="B48" s="240" t="n">
        <v>9000</v>
      </c>
      <c r="D48" s="231" t="n">
        <v>103</v>
      </c>
      <c r="E48" s="231" t="n">
        <v>45000</v>
      </c>
      <c r="F48" s="231" t="n">
        <v>27000</v>
      </c>
      <c r="G48" s="248" t="n">
        <v>72000</v>
      </c>
    </row>
    <row r="49" ht="15" customHeight="1" s="366">
      <c r="A49" s="239" t="n">
        <v>102</v>
      </c>
      <c r="B49" s="238" t="inlineStr">
        <is>
          <t>cleared</t>
        </is>
      </c>
    </row>
    <row r="50" ht="15" customHeight="1" s="366">
      <c r="A50" s="239" t="n">
        <v>103</v>
      </c>
      <c r="B50" s="238" t="inlineStr">
        <is>
          <t>cleared</t>
        </is>
      </c>
      <c r="E50" s="247" t="inlineStr">
        <is>
          <t>202- 10k</t>
        </is>
      </c>
    </row>
    <row r="51" ht="15" customHeight="1" s="366">
      <c r="A51" s="239" t="n">
        <v>104</v>
      </c>
      <c r="B51" s="240" t="n">
        <v>5000</v>
      </c>
      <c r="E51" s="247" t="inlineStr">
        <is>
          <t>203- 5k</t>
        </is>
      </c>
    </row>
    <row r="52" ht="15" customHeight="1" s="366">
      <c r="A52" s="239" t="n">
        <v>201</v>
      </c>
      <c r="B52" s="238" t="inlineStr">
        <is>
          <t>cleared</t>
        </is>
      </c>
      <c r="E52" s="247" t="inlineStr">
        <is>
          <t>204-10k</t>
        </is>
      </c>
    </row>
    <row r="53" ht="15" customHeight="1" s="366">
      <c r="A53" s="239" t="n">
        <v>202</v>
      </c>
      <c r="B53" s="238" t="inlineStr">
        <is>
          <t>cleared</t>
        </is>
      </c>
      <c r="E53" s="247" t="inlineStr">
        <is>
          <t>103-5k</t>
        </is>
      </c>
    </row>
    <row r="54" ht="15" customHeight="1" s="366">
      <c r="A54" s="239" t="n">
        <v>203</v>
      </c>
      <c r="B54" s="238" t="inlineStr">
        <is>
          <t>cleared</t>
        </is>
      </c>
      <c r="E54" s="247" t="inlineStr">
        <is>
          <t>104-5k</t>
        </is>
      </c>
    </row>
    <row r="55" ht="15" customHeight="1" s="366">
      <c r="A55" s="239" t="n">
        <v>204</v>
      </c>
      <c r="B55" s="238" t="inlineStr">
        <is>
          <t>cleared</t>
        </is>
      </c>
      <c r="E55" s="247" t="inlineStr">
        <is>
          <t>101-10k</t>
        </is>
      </c>
    </row>
    <row r="56" ht="15" customHeight="1" s="366">
      <c r="A56" s="239" t="n">
        <v>301</v>
      </c>
      <c r="B56" s="238" t="inlineStr">
        <is>
          <t>cleared</t>
        </is>
      </c>
    </row>
    <row r="57" ht="15" customHeight="1" s="366">
      <c r="A57" s="239" t="n">
        <v>302</v>
      </c>
      <c r="B57" s="238" t="inlineStr">
        <is>
          <t>cleared</t>
        </is>
      </c>
    </row>
    <row r="58" ht="15" customHeight="1" s="366">
      <c r="A58" s="239" t="n">
        <v>303</v>
      </c>
      <c r="B58" s="240" t="n">
        <v>10000</v>
      </c>
    </row>
    <row r="59" ht="15" customHeight="1" s="366">
      <c r="A59" s="239" t="n">
        <v>304</v>
      </c>
      <c r="B59" s="238" t="inlineStr">
        <is>
          <t>cleared</t>
        </is>
      </c>
    </row>
    <row r="60" ht="15" customHeight="1" s="366">
      <c r="A60" s="233" t="n"/>
      <c r="B60" s="233" t="n"/>
      <c r="C60" s="233" t="n"/>
    </row>
  </sheetData>
  <mergeCells count="4">
    <mergeCell ref="T25:U25"/>
    <mergeCell ref="N31:N32"/>
    <mergeCell ref="N28:N29"/>
    <mergeCell ref="A1:H1"/>
  </mergeCells>
  <pageMargins left="0.7" right="0.7" top="0.75" bottom="0.75" header="0" footer="0"/>
  <pageSetup orientation="portrait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I22" sqref="I22"/>
    </sheetView>
  </sheetViews>
  <sheetFormatPr baseColWidth="8" defaultRowHeight="15"/>
  <cols>
    <col width="11.28515625" bestFit="1" customWidth="1" style="366" min="1" max="1"/>
    <col width="16" bestFit="1" customWidth="1" style="366" min="2" max="2"/>
  </cols>
  <sheetData>
    <row r="1">
      <c r="L1" s="331" t="inlineStr">
        <is>
          <t>Previous Balance</t>
        </is>
      </c>
      <c r="P1" s="331" t="n">
        <v>85835</v>
      </c>
    </row>
    <row r="2" ht="15.75" customHeight="1" s="366" thickBot="1">
      <c r="AA2" s="1" t="n"/>
    </row>
    <row r="3">
      <c r="A3" s="350" t="inlineStr">
        <is>
          <t>Carpus Fund</t>
        </is>
      </c>
      <c r="B3" s="377" t="n"/>
      <c r="C3" s="377" t="n"/>
      <c r="D3" s="377" t="n"/>
      <c r="E3" s="377" t="n"/>
      <c r="F3" s="377" t="n"/>
      <c r="G3" s="377" t="n"/>
      <c r="H3" s="377" t="n"/>
    </row>
    <row r="4">
      <c r="A4" s="164" t="inlineStr">
        <is>
          <t>Flat Number</t>
        </is>
      </c>
      <c r="B4" s="165" t="inlineStr">
        <is>
          <t>Owner</t>
        </is>
      </c>
      <c r="C4" s="166" t="n">
        <v>45566</v>
      </c>
      <c r="D4" s="167" t="n">
        <v>45597</v>
      </c>
      <c r="E4" s="166" t="n">
        <v>45627</v>
      </c>
      <c r="F4" s="167" t="n">
        <v>45658</v>
      </c>
      <c r="G4" s="166" t="n">
        <v>45689</v>
      </c>
      <c r="H4" s="167" t="n">
        <v>45717</v>
      </c>
    </row>
    <row r="5">
      <c r="A5" s="169" t="inlineStr">
        <is>
          <t>G1</t>
        </is>
      </c>
      <c r="B5" s="209" t="inlineStr">
        <is>
          <t>Mr.Teja</t>
        </is>
      </c>
      <c r="C5" s="170" t="n">
        <v>5000</v>
      </c>
      <c r="D5" s="32" t="n"/>
      <c r="E5" s="171" t="n"/>
      <c r="F5" s="171" t="n"/>
      <c r="G5" s="171" t="n"/>
      <c r="H5" s="32" t="n"/>
    </row>
    <row r="6">
      <c r="A6" s="169" t="inlineStr">
        <is>
          <t>G2</t>
        </is>
      </c>
      <c r="B6" s="209" t="inlineStr">
        <is>
          <t>Mr. KP Rao</t>
        </is>
      </c>
      <c r="C6" s="171" t="n"/>
      <c r="D6" s="171" t="n"/>
      <c r="E6" s="171" t="n"/>
      <c r="F6" s="171" t="n"/>
      <c r="G6" s="171" t="n"/>
      <c r="H6" s="171" t="n"/>
    </row>
    <row r="7">
      <c r="A7" s="169" t="inlineStr">
        <is>
          <t>G3</t>
        </is>
      </c>
      <c r="B7" s="209" t="inlineStr">
        <is>
          <t>Mr. Jagadish</t>
        </is>
      </c>
      <c r="C7" s="171" t="n"/>
      <c r="D7" s="32" t="n"/>
      <c r="E7" s="171" t="n"/>
      <c r="F7" s="32" t="n"/>
      <c r="G7" s="171" t="n"/>
      <c r="H7" s="32" t="n"/>
    </row>
    <row r="8">
      <c r="A8" s="169" t="inlineStr">
        <is>
          <t>G4</t>
        </is>
      </c>
      <c r="B8" s="209" t="inlineStr">
        <is>
          <t>Mr. Mahesh</t>
        </is>
      </c>
      <c r="C8" s="171" t="n">
        <v>3000</v>
      </c>
      <c r="D8" s="32" t="n"/>
      <c r="E8" s="171" t="n"/>
      <c r="F8" s="32" t="n"/>
      <c r="G8" s="171" t="n"/>
      <c r="H8" s="32" t="n"/>
    </row>
    <row r="9">
      <c r="A9" s="208" t="n">
        <v>101</v>
      </c>
      <c r="B9" s="210" t="inlineStr">
        <is>
          <t>Mr.Ganesh</t>
        </is>
      </c>
      <c r="C9" s="175" t="n"/>
      <c r="D9" s="173" t="n"/>
      <c r="E9" s="176" t="n"/>
      <c r="F9" s="173" t="n"/>
      <c r="G9" s="176" t="n"/>
      <c r="H9" s="173" t="n"/>
    </row>
    <row r="10">
      <c r="A10" s="169" t="n">
        <v>102</v>
      </c>
      <c r="B10" s="209" t="inlineStr">
        <is>
          <t>Mr. Peddi RaJu</t>
        </is>
      </c>
      <c r="C10" s="171" t="n"/>
      <c r="D10" s="32" t="n"/>
      <c r="E10" s="171" t="n"/>
      <c r="F10" s="32" t="n"/>
      <c r="G10" s="171" t="n"/>
      <c r="H10" s="32" t="n"/>
    </row>
    <row r="11">
      <c r="A11" s="169" t="n">
        <v>103</v>
      </c>
      <c r="B11" s="209" t="inlineStr">
        <is>
          <t>Mr. Pedda Raju</t>
        </is>
      </c>
      <c r="C11" s="171" t="n"/>
      <c r="D11" s="32" t="n"/>
      <c r="E11" s="171" t="n"/>
      <c r="F11" s="32" t="n"/>
      <c r="G11" s="171" t="n"/>
      <c r="H11" s="32" t="n"/>
    </row>
    <row r="12">
      <c r="A12" s="169" t="n">
        <v>104</v>
      </c>
      <c r="B12" s="209" t="inlineStr">
        <is>
          <t>Mr. Uma Mahesh</t>
        </is>
      </c>
      <c r="C12" s="171" t="n"/>
      <c r="D12" s="32" t="n"/>
      <c r="E12" s="171" t="n"/>
      <c r="F12" s="32" t="n"/>
      <c r="G12" s="171" t="n"/>
      <c r="H12" s="32" t="n"/>
    </row>
    <row r="13">
      <c r="A13" s="178" t="n">
        <v>201</v>
      </c>
      <c r="B13" s="211" t="inlineStr">
        <is>
          <t>Mr.Subbarao garu</t>
        </is>
      </c>
      <c r="C13" s="171" t="n"/>
      <c r="D13" s="32" t="n"/>
      <c r="E13" s="171" t="n"/>
      <c r="F13" s="32" t="n"/>
      <c r="G13" s="171" t="n"/>
      <c r="H13" s="32" t="n"/>
    </row>
    <row r="14">
      <c r="A14" s="169" t="n">
        <v>202</v>
      </c>
      <c r="B14" s="209" t="inlineStr">
        <is>
          <t>Mr. Ram Kumar</t>
        </is>
      </c>
      <c r="C14" s="171" t="n"/>
      <c r="D14" s="32" t="n"/>
      <c r="E14" s="171" t="n"/>
      <c r="F14" s="32" t="n"/>
      <c r="G14" s="171" t="n"/>
      <c r="H14" s="32" t="n"/>
    </row>
    <row r="15">
      <c r="A15" s="169" t="n">
        <v>203</v>
      </c>
      <c r="B15" s="209" t="inlineStr">
        <is>
          <t>Mr. Sai Sankar</t>
        </is>
      </c>
      <c r="C15" s="171" t="n"/>
      <c r="D15" s="32" t="n"/>
      <c r="E15" s="171" t="n"/>
      <c r="F15" s="32" t="n"/>
      <c r="G15" s="171" t="n"/>
      <c r="H15" s="32" t="n"/>
    </row>
    <row r="16">
      <c r="A16" s="169" t="n">
        <v>204</v>
      </c>
      <c r="B16" s="209" t="inlineStr">
        <is>
          <t>Mr. Srinivas</t>
        </is>
      </c>
      <c r="C16" s="171" t="n"/>
      <c r="D16" s="32" t="n"/>
      <c r="E16" s="171" t="n"/>
      <c r="F16" s="32" t="n"/>
      <c r="G16" s="171" t="n"/>
      <c r="H16" s="32" t="n"/>
    </row>
    <row r="17">
      <c r="A17" s="169" t="n">
        <v>301</v>
      </c>
      <c r="B17" s="209" t="inlineStr">
        <is>
          <t>Mr.Subbarao garu</t>
        </is>
      </c>
      <c r="C17" s="171" t="n"/>
      <c r="D17" s="32" t="n"/>
      <c r="E17" s="171" t="n"/>
      <c r="F17" s="32" t="n"/>
      <c r="G17" s="171" t="n"/>
      <c r="H17" s="32" t="n"/>
    </row>
    <row r="18">
      <c r="A18" s="169" t="n">
        <v>302</v>
      </c>
      <c r="B18" s="209" t="inlineStr">
        <is>
          <t>Mr.Subbarao garu</t>
        </is>
      </c>
      <c r="C18" s="171" t="n"/>
      <c r="D18" s="32" t="n"/>
      <c r="E18" s="171" t="n"/>
      <c r="F18" s="32" t="n"/>
      <c r="G18" s="171" t="n"/>
      <c r="H18" s="32" t="n"/>
    </row>
    <row r="19">
      <c r="A19" s="169" t="n">
        <v>303</v>
      </c>
      <c r="B19" s="209" t="inlineStr">
        <is>
          <t>Mr. Seshu</t>
        </is>
      </c>
      <c r="C19" s="171" t="n"/>
      <c r="D19" s="32" t="n"/>
      <c r="E19" s="171" t="n"/>
      <c r="F19" s="32" t="n"/>
      <c r="G19" s="171" t="n"/>
      <c r="H19" s="32" t="n"/>
    </row>
    <row r="20">
      <c r="A20" s="184" t="n">
        <v>304</v>
      </c>
      <c r="B20" s="212" t="inlineStr">
        <is>
          <t>Mr. Sai ram kumar</t>
        </is>
      </c>
      <c r="C20" s="186" t="n"/>
      <c r="D20" s="185" t="n"/>
      <c r="E20" s="187" t="n"/>
      <c r="F20" s="185" t="n"/>
      <c r="G20" s="187" t="n"/>
      <c r="H20" s="32" t="n"/>
    </row>
    <row r="21">
      <c r="A21" s="188" t="inlineStr">
        <is>
          <t>Total</t>
        </is>
      </c>
      <c r="B21" s="189" t="n"/>
      <c r="C21" s="190" t="n"/>
      <c r="D21" s="190" t="n"/>
      <c r="E21" s="190" t="n"/>
      <c r="F21" s="190" t="n"/>
      <c r="G21" s="190" t="n"/>
      <c r="H21" s="190" t="n"/>
    </row>
  </sheetData>
  <mergeCells count="1">
    <mergeCell ref="A3:H3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3:L22"/>
  <sheetViews>
    <sheetView topLeftCell="A21" workbookViewId="0">
      <selection activeCell="L11" sqref="L11"/>
    </sheetView>
  </sheetViews>
  <sheetFormatPr baseColWidth="8" defaultColWidth="14.42578125" defaultRowHeight="15" customHeight="1"/>
  <cols>
    <col width="23" customWidth="1" style="366" min="1" max="1"/>
    <col width="7" customWidth="1" style="366" min="2" max="2"/>
    <col width="18.5703125" customWidth="1" style="366" min="3" max="3"/>
    <col width="28.85546875" customWidth="1" style="366" min="4" max="4"/>
    <col width="27.5703125" customWidth="1" style="366" min="5" max="5"/>
    <col width="9.85546875" customWidth="1" style="366" min="6" max="12"/>
  </cols>
  <sheetData>
    <row r="3" ht="14.25" customHeight="1" s="366">
      <c r="A3" s="49" t="inlineStr">
        <is>
          <t>Water connection expendature</t>
        </is>
      </c>
      <c r="B3" s="367" t="n"/>
      <c r="C3" s="368" t="n"/>
      <c r="D3" s="49" t="inlineStr">
        <is>
          <t>Received funds from Ram kumar</t>
        </is>
      </c>
      <c r="E3" s="49" t="n"/>
      <c r="F3" s="49" t="n"/>
    </row>
    <row r="4" ht="14.25" customHeight="1" s="366">
      <c r="A4" s="29" t="inlineStr">
        <is>
          <t xml:space="preserve">Given to Hari </t>
        </is>
      </c>
      <c r="B4" s="199" t="n">
        <v>5000</v>
      </c>
      <c r="C4" s="29" t="n"/>
      <c r="D4" s="64" t="n">
        <v>5000</v>
      </c>
      <c r="E4" s="29" t="n"/>
      <c r="F4" s="29" t="n"/>
    </row>
    <row r="5" ht="14.25" customHeight="1" s="366">
      <c r="A5" s="29" t="inlineStr">
        <is>
          <t xml:space="preserve">Given to Hari </t>
        </is>
      </c>
      <c r="B5" s="199" t="n">
        <v>25000</v>
      </c>
      <c r="C5" s="29" t="n"/>
      <c r="D5" s="64" t="n">
        <v>20000</v>
      </c>
      <c r="E5" s="119" t="inlineStr">
        <is>
          <t>Added 5000 my pending month payment</t>
        </is>
      </c>
      <c r="F5" s="29" t="n"/>
    </row>
    <row r="6" ht="14.25" customHeight="1" s="366">
      <c r="A6" s="29" t="inlineStr">
        <is>
          <t>Print outs</t>
        </is>
      </c>
      <c r="B6" s="199" t="n">
        <v>50</v>
      </c>
      <c r="C6" s="29" t="n"/>
      <c r="D6" s="64" t="n"/>
      <c r="E6" s="119" t="n"/>
      <c r="F6" s="29" t="n"/>
    </row>
    <row r="7" ht="14.25" customHeight="1" s="366">
      <c r="A7" s="29" t="inlineStr">
        <is>
          <t>Khairathabad Water Board</t>
        </is>
      </c>
      <c r="B7" s="199" t="n">
        <v>2000</v>
      </c>
      <c r="C7" s="29" t="n"/>
      <c r="D7" s="64" t="n">
        <v>2000</v>
      </c>
      <c r="E7" s="29" t="n"/>
      <c r="F7" s="29" t="n"/>
    </row>
    <row r="8" ht="14.25" customHeight="1" s="366">
      <c r="A8" s="29" t="inlineStr">
        <is>
          <t>Online Payment</t>
        </is>
      </c>
      <c r="B8" s="199" t="n">
        <v>125800</v>
      </c>
      <c r="C8" s="29" t="n"/>
      <c r="D8" s="64" t="n">
        <v>130000</v>
      </c>
      <c r="E8" s="29" t="inlineStr">
        <is>
          <t>balance = 4200</t>
        </is>
      </c>
      <c r="F8" s="29" t="n"/>
    </row>
    <row r="9" ht="14.25" customHeight="1" s="366">
      <c r="A9" s="29" t="inlineStr">
        <is>
          <t>Contractor</t>
        </is>
      </c>
      <c r="B9" s="200" t="n">
        <v>10000</v>
      </c>
      <c r="C9" s="119" t="inlineStr">
        <is>
          <t>Including Meter cost</t>
        </is>
      </c>
      <c r="D9" s="201" t="n">
        <v>5000</v>
      </c>
      <c r="E9" s="119" t="n"/>
      <c r="F9" s="29" t="n"/>
    </row>
    <row r="10" ht="14.25" customHeight="1" s="366">
      <c r="A10" s="29" t="inlineStr">
        <is>
          <t>Cement</t>
        </is>
      </c>
      <c r="B10" s="200" t="n">
        <v>350</v>
      </c>
      <c r="C10" s="119" t="inlineStr">
        <is>
          <t>Need to confirm with Sri Sai nivas Apartment People</t>
        </is>
      </c>
      <c r="D10" s="29" t="n">
        <v>6000</v>
      </c>
      <c r="E10" s="119" t="inlineStr">
        <is>
          <t>Total Balance</t>
        </is>
      </c>
      <c r="F10" s="29">
        <f>4200+5000+6000</f>
        <v/>
      </c>
    </row>
    <row r="11" ht="14.25" customHeight="1" s="366">
      <c r="A11" s="29" t="inlineStr">
        <is>
          <t>Manjeera Pipe Items</t>
        </is>
      </c>
      <c r="B11" s="200" t="n">
        <v>240</v>
      </c>
      <c r="C11" s="29" t="n"/>
      <c r="D11" s="29" t="n">
        <v>5000</v>
      </c>
      <c r="E11" s="29" t="inlineStr">
        <is>
          <t xml:space="preserve">Total Expendature </t>
        </is>
      </c>
      <c r="F11" s="29" t="n">
        <v>18080</v>
      </c>
      <c r="L11" s="1" t="n">
        <v>175880</v>
      </c>
    </row>
    <row r="12" ht="14.25" customHeight="1" s="366">
      <c r="A12" s="29" t="inlineStr">
        <is>
          <t>Plumbing Items</t>
        </is>
      </c>
      <c r="B12" s="200" t="n">
        <v>1600</v>
      </c>
      <c r="C12" s="29" t="n"/>
      <c r="D12" s="29" t="n">
        <v>2880</v>
      </c>
      <c r="E12" s="22" t="n"/>
      <c r="F12" s="22" t="n"/>
    </row>
    <row r="13" ht="14.25" customHeight="1" s="366">
      <c r="A13" s="29" t="inlineStr">
        <is>
          <t>Plumber charges</t>
        </is>
      </c>
      <c r="B13" s="200" t="n">
        <v>2400</v>
      </c>
      <c r="C13" s="29" t="n"/>
      <c r="D13" s="29" t="n">
        <v>50</v>
      </c>
      <c r="E13" s="29" t="n"/>
      <c r="F13" s="29" t="n"/>
    </row>
    <row r="14" ht="14.25" customHeight="1" s="366">
      <c r="A14" s="29" t="inlineStr">
        <is>
          <t>Watchman Money</t>
        </is>
      </c>
      <c r="B14" s="200" t="n">
        <v>500</v>
      </c>
      <c r="C14" s="29" t="n"/>
      <c r="D14" s="29" t="n"/>
      <c r="E14" s="29" t="n"/>
      <c r="F14" s="29" t="n"/>
    </row>
    <row r="15" ht="14.25" customHeight="1" s="366">
      <c r="A15" s="29" t="inlineStr">
        <is>
          <t>CementWork</t>
        </is>
      </c>
      <c r="B15" s="200" t="n">
        <v>1900</v>
      </c>
      <c r="C15" s="29" t="n"/>
      <c r="D15" s="29" t="n"/>
      <c r="E15" s="29" t="n"/>
      <c r="F15" s="29" t="n"/>
    </row>
    <row r="16" ht="14.25" customHeight="1" s="366">
      <c r="A16" s="29" t="inlineStr">
        <is>
          <t>ManjeeraPipe leak repair</t>
        </is>
      </c>
      <c r="B16" s="200" t="n">
        <v>790</v>
      </c>
      <c r="C16" s="29" t="n"/>
      <c r="D16" s="29" t="n"/>
      <c r="E16" s="29" t="n"/>
      <c r="F16" s="29" t="n"/>
    </row>
    <row r="17" ht="14.25" customHeight="1" s="366">
      <c r="A17" s="29" t="inlineStr">
        <is>
          <t>Urban clap Plumber</t>
        </is>
      </c>
      <c r="B17" s="200" t="n">
        <v>300</v>
      </c>
      <c r="C17" s="29" t="n"/>
      <c r="D17" s="29" t="n"/>
      <c r="E17" s="29" t="inlineStr">
        <is>
          <t>Final After expendature Balance</t>
        </is>
      </c>
      <c r="F17" s="29">
        <f>F11-F10</f>
        <v/>
      </c>
      <c r="G17" s="1" t="inlineStr">
        <is>
          <t>Cleared</t>
        </is>
      </c>
    </row>
    <row r="18" ht="14.25" customHeight="1" s="366">
      <c r="E18" s="1" t="inlineStr">
        <is>
          <t>Jaga maintanance for Feb Month</t>
        </is>
      </c>
      <c r="F18" s="1" t="n">
        <v>1496</v>
      </c>
      <c r="G18" s="1" t="inlineStr">
        <is>
          <t>Paid</t>
        </is>
      </c>
    </row>
    <row r="19" ht="14.25" customHeight="1" s="366">
      <c r="A19" s="330" t="inlineStr">
        <is>
          <t>Total Expendature</t>
        </is>
      </c>
      <c r="B19" s="1">
        <f>SUM(B4:B17)</f>
        <v/>
      </c>
      <c r="D19" s="1">
        <f>SUM(D4:D18)</f>
        <v/>
      </c>
      <c r="E19" s="1" t="inlineStr">
        <is>
          <t>Manjeera Bill Paid by Jaga</t>
        </is>
      </c>
      <c r="F19" s="26" t="n">
        <v>2044</v>
      </c>
    </row>
    <row r="20" ht="14.25" customHeight="1" s="366">
      <c r="E20" s="330" t="inlineStr">
        <is>
          <t>Jaga need to receive from Maintanence</t>
        </is>
      </c>
      <c r="F20" s="1">
        <f>F19-F18</f>
        <v/>
      </c>
      <c r="G20" s="1" t="inlineStr">
        <is>
          <t>Cleared</t>
        </is>
      </c>
    </row>
    <row r="21" ht="14.25" customHeight="1" s="366">
      <c r="A21" s="330" t="inlineStr">
        <is>
          <t>Share of Each Flat</t>
        </is>
      </c>
      <c r="B21" s="1">
        <f>B19/16</f>
        <v/>
      </c>
    </row>
    <row r="22" ht="14.25" customHeight="1" s="366">
      <c r="A22" s="26" t="inlineStr">
        <is>
          <t>Round of amount</t>
        </is>
      </c>
      <c r="B22" s="1" t="n">
        <v>11000</v>
      </c>
    </row>
  </sheetData>
  <mergeCells count="1">
    <mergeCell ref="A3:C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jagadish ch</dc:creator>
  <dcterms:created xsi:type="dcterms:W3CDTF">2020-06-08T02:20:09Z</dcterms:created>
  <dcterms:modified xsi:type="dcterms:W3CDTF">2026-04-03T06:51:10Z</dcterms:modified>
  <cp:lastModifiedBy>jaga ch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bd03df3bb4d74fddaa86323d8662818c</vt:lpwstr>
  </property>
</Properties>
</file>