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5ff3c9e5636f97bb/Desktop/"/>
    </mc:Choice>
  </mc:AlternateContent>
  <xr:revisionPtr revIDLastSave="913" documentId="13_ncr:1_{47505925-7992-4940-97FE-FC582F671EA5}" xr6:coauthVersionLast="47" xr6:coauthVersionMax="47" xr10:uidLastSave="{A0149B52-0BCA-42DE-BBCA-D1CE8726C994}"/>
  <bookViews>
    <workbookView xWindow="-120" yWindow="-120" windowWidth="29040" windowHeight="15720" tabRatio="743" firstSheet="63" activeTab="70" xr2:uid="{00000000-000D-0000-FFFF-FFFF00000000}"/>
  </bookViews>
  <sheets>
    <sheet name="June 2020" sheetId="1" r:id="rId1"/>
    <sheet name="PARTY " sheetId="2" r:id="rId2"/>
    <sheet name="July_2020" sheetId="3" r:id="rId3"/>
    <sheet name="August_2020" sheetId="4" r:id="rId4"/>
    <sheet name="September_2020" sheetId="5" r:id="rId5"/>
    <sheet name="October 2020" sheetId="6" r:id="rId6"/>
    <sheet name="November 2020" sheetId="7" r:id="rId7"/>
    <sheet name="Dec2020" sheetId="8" r:id="rId8"/>
    <sheet name="Jan 2021" sheetId="9" r:id="rId9"/>
    <sheet name="Feb2021" sheetId="10" r:id="rId10"/>
    <sheet name="march 2021" sheetId="11" r:id="rId11"/>
    <sheet name="April 2021" sheetId="12" r:id="rId12"/>
    <sheet name="May 2021" sheetId="13" r:id="rId13"/>
    <sheet name="June 2021" sheetId="14" r:id="rId14"/>
    <sheet name="July 2021 " sheetId="15" r:id="rId15"/>
    <sheet name="AUG 2021" sheetId="16" r:id="rId16"/>
    <sheet name="SEP 2021 " sheetId="17" r:id="rId17"/>
    <sheet name="Oct 2021 " sheetId="18" r:id="rId18"/>
    <sheet name="Nov 2021" sheetId="19" r:id="rId19"/>
    <sheet name="DEC 2021 (2)" sheetId="20" r:id="rId20"/>
    <sheet name="JAN 2022" sheetId="21" r:id="rId21"/>
    <sheet name="Mar 2022" sheetId="22" r:id="rId22"/>
    <sheet name="FEB 2022" sheetId="23" r:id="rId23"/>
    <sheet name="Apr2022" sheetId="24" r:id="rId24"/>
    <sheet name="May 2022" sheetId="25" r:id="rId25"/>
    <sheet name="June 2022" sheetId="26" r:id="rId26"/>
    <sheet name="July 2022" sheetId="27" r:id="rId27"/>
    <sheet name="Aug 2022" sheetId="28" r:id="rId28"/>
    <sheet name="Sep 2022" sheetId="29" r:id="rId29"/>
    <sheet name="Oct 2022" sheetId="30" r:id="rId30"/>
    <sheet name="Nov 2022" sheetId="31" r:id="rId31"/>
    <sheet name="Dec 2022" sheetId="32" r:id="rId32"/>
    <sheet name="Jan 2023" sheetId="33" r:id="rId33"/>
    <sheet name="Feb - 2023 " sheetId="34" r:id="rId34"/>
    <sheet name="March - 2023" sheetId="35" r:id="rId35"/>
    <sheet name="Apr-2023" sheetId="36" r:id="rId36"/>
    <sheet name="May-2023" sheetId="37" r:id="rId37"/>
    <sheet name="June 2023" sheetId="38" r:id="rId38"/>
    <sheet name="July 2023" sheetId="39" r:id="rId39"/>
    <sheet name="Aug 2023" sheetId="40" r:id="rId40"/>
    <sheet name="Sep 2023 (2)" sheetId="41" r:id="rId41"/>
    <sheet name="OCT 2023 (2)" sheetId="42" r:id="rId42"/>
    <sheet name="Nov 2023 (2)" sheetId="43" r:id="rId43"/>
    <sheet name="Dec 2023" sheetId="44" r:id="rId44"/>
    <sheet name="Jan 2024" sheetId="45" r:id="rId45"/>
    <sheet name="Feb 2024" sheetId="46" r:id="rId46"/>
    <sheet name="Mar-2024" sheetId="47" r:id="rId47"/>
    <sheet name="APR -2024" sheetId="48" r:id="rId48"/>
    <sheet name="May-2024" sheetId="49" r:id="rId49"/>
    <sheet name="June -2024" sheetId="50" r:id="rId50"/>
    <sheet name="July-2024" sheetId="51" r:id="rId51"/>
    <sheet name="Aug-2024" sheetId="54" r:id="rId52"/>
    <sheet name="Sep-2024" sheetId="55" r:id="rId53"/>
    <sheet name="Oct-2024" sheetId="56" r:id="rId54"/>
    <sheet name="Dec-2024" sheetId="58" r:id="rId55"/>
    <sheet name="Jan-2025" sheetId="59" r:id="rId56"/>
    <sheet name="Feb-2025" sheetId="60" r:id="rId57"/>
    <sheet name="Mar-2025" sheetId="63" r:id="rId58"/>
    <sheet name="April-2025" sheetId="64" r:id="rId59"/>
    <sheet name="May-2025" sheetId="65" r:id="rId60"/>
    <sheet name="June-2025" sheetId="66" r:id="rId61"/>
    <sheet name="July-2025" sheetId="67" r:id="rId62"/>
    <sheet name="Aug-2025" sheetId="68" r:id="rId63"/>
    <sheet name="SEP-2025" sheetId="69" r:id="rId64"/>
    <sheet name="OCT-2025" sheetId="71" r:id="rId65"/>
    <sheet name="Nov-2025" sheetId="72" r:id="rId66"/>
    <sheet name="Dec-2025" sheetId="73" r:id="rId67"/>
    <sheet name="Jan-2026" sheetId="74" r:id="rId68"/>
    <sheet name="Feb-2026" sheetId="75" r:id="rId69"/>
    <sheet name="March-2026" sheetId="76" r:id="rId70"/>
    <sheet name="April-2026" sheetId="77" r:id="rId71"/>
    <sheet name="Ganesh Festival" sheetId="70" r:id="rId72"/>
    <sheet name="Carpus Fund" sheetId="52" r:id="rId73"/>
    <sheet name="Curpus Fund2" sheetId="57" r:id="rId74"/>
    <sheet name="Water connecion" sheetId="53" r:id="rId7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6" roundtripDataChecksum="wGE9PFCmgPpwZfeMCz1IdPlmjkEkErlde2OVjJB+rgo="/>
    </ext>
  </extLst>
</workbook>
</file>

<file path=xl/calcChain.xml><?xml version="1.0" encoding="utf-8"?>
<calcChain xmlns="http://schemas.openxmlformats.org/spreadsheetml/2006/main">
  <c r="J21" i="76" l="1"/>
  <c r="J20" i="76"/>
  <c r="B24" i="77"/>
  <c r="M22" i="77"/>
  <c r="J21" i="77"/>
  <c r="H21" i="77"/>
  <c r="I20" i="77"/>
  <c r="D20" i="77"/>
  <c r="D19" i="77"/>
  <c r="D18" i="77"/>
  <c r="D17" i="77"/>
  <c r="D16" i="77"/>
  <c r="D15" i="77"/>
  <c r="D14" i="77"/>
  <c r="D13" i="77"/>
  <c r="D12" i="77"/>
  <c r="D11" i="77"/>
  <c r="D10" i="77"/>
  <c r="D9" i="77"/>
  <c r="D8" i="77"/>
  <c r="D7" i="77"/>
  <c r="D6" i="77"/>
  <c r="D5" i="77"/>
  <c r="D4" i="77"/>
  <c r="I3" i="77"/>
  <c r="G2" i="77"/>
  <c r="I2" i="77" s="1"/>
  <c r="P20" i="75"/>
  <c r="M22" i="76"/>
  <c r="B24" i="76"/>
  <c r="H21" i="76"/>
  <c r="I20" i="76"/>
  <c r="D20" i="76"/>
  <c r="D19" i="76"/>
  <c r="D18" i="76"/>
  <c r="D17" i="76"/>
  <c r="D16" i="76"/>
  <c r="D15" i="76"/>
  <c r="D14" i="76"/>
  <c r="D13" i="76"/>
  <c r="D12" i="76"/>
  <c r="D11" i="76"/>
  <c r="D10" i="76"/>
  <c r="D9" i="76"/>
  <c r="D8" i="76"/>
  <c r="D7" i="76"/>
  <c r="D6" i="76"/>
  <c r="D5" i="76"/>
  <c r="D4" i="76"/>
  <c r="I3" i="76"/>
  <c r="I2" i="76"/>
  <c r="G2" i="76"/>
  <c r="M22" i="75"/>
  <c r="Q19" i="75"/>
  <c r="B24" i="75"/>
  <c r="H21" i="75"/>
  <c r="I20" i="75"/>
  <c r="D20" i="75"/>
  <c r="D19" i="75"/>
  <c r="D18" i="75"/>
  <c r="D17" i="75"/>
  <c r="D16" i="75"/>
  <c r="D15" i="75"/>
  <c r="D14" i="75"/>
  <c r="D13" i="75"/>
  <c r="D12" i="75"/>
  <c r="D11" i="75"/>
  <c r="D10" i="75"/>
  <c r="D9" i="75"/>
  <c r="D8" i="75"/>
  <c r="D7" i="75"/>
  <c r="D6" i="75"/>
  <c r="D5" i="75"/>
  <c r="D4" i="75"/>
  <c r="I3" i="75"/>
  <c r="G2" i="75"/>
  <c r="I2" i="75" s="1"/>
  <c r="O21" i="74"/>
  <c r="P18" i="74"/>
  <c r="J21" i="74"/>
  <c r="O19" i="73"/>
  <c r="L30" i="73"/>
  <c r="P14" i="73"/>
  <c r="B24" i="74"/>
  <c r="H21" i="74"/>
  <c r="I20" i="74"/>
  <c r="D20" i="74"/>
  <c r="D19" i="74"/>
  <c r="D18" i="74"/>
  <c r="D17" i="74"/>
  <c r="D16" i="74"/>
  <c r="D15" i="74"/>
  <c r="D14" i="74"/>
  <c r="D13" i="74"/>
  <c r="D12" i="74"/>
  <c r="M22" i="74"/>
  <c r="D11" i="74"/>
  <c r="D10" i="74"/>
  <c r="D9" i="74"/>
  <c r="D8" i="74"/>
  <c r="D7" i="74"/>
  <c r="D6" i="74"/>
  <c r="D5" i="74"/>
  <c r="D4" i="74"/>
  <c r="I3" i="74"/>
  <c r="G2" i="74"/>
  <c r="I2" i="74" s="1"/>
  <c r="T39" i="73"/>
  <c r="S24" i="73"/>
  <c r="J21" i="59"/>
  <c r="O21" i="59"/>
  <c r="Q24" i="60"/>
  <c r="P11" i="72"/>
  <c r="H23" i="72"/>
  <c r="M22" i="73"/>
  <c r="M11" i="73"/>
  <c r="B24" i="73"/>
  <c r="H21" i="73"/>
  <c r="I20" i="73"/>
  <c r="D20" i="73"/>
  <c r="D19" i="73"/>
  <c r="D18" i="73"/>
  <c r="D17" i="73"/>
  <c r="D16" i="73"/>
  <c r="D15" i="73"/>
  <c r="D14" i="73"/>
  <c r="D13" i="73"/>
  <c r="D12" i="73"/>
  <c r="D11" i="73"/>
  <c r="D10" i="73"/>
  <c r="D9" i="73"/>
  <c r="D8" i="73"/>
  <c r="D7" i="73"/>
  <c r="D6" i="73"/>
  <c r="D5" i="73"/>
  <c r="D4" i="73"/>
  <c r="I3" i="73"/>
  <c r="G2" i="73"/>
  <c r="I2" i="73" s="1"/>
  <c r="B24" i="72"/>
  <c r="M22" i="72"/>
  <c r="J21" i="72"/>
  <c r="I20" i="72"/>
  <c r="D20" i="72"/>
  <c r="D19" i="72"/>
  <c r="D18" i="72"/>
  <c r="D17" i="72"/>
  <c r="D16" i="72"/>
  <c r="D15" i="72"/>
  <c r="D14" i="72"/>
  <c r="D13" i="72"/>
  <c r="D12" i="72"/>
  <c r="D11" i="72"/>
  <c r="D10" i="72"/>
  <c r="D9" i="72"/>
  <c r="D8" i="72"/>
  <c r="D7" i="72"/>
  <c r="D6" i="72"/>
  <c r="D5" i="72"/>
  <c r="D4" i="72"/>
  <c r="I3" i="72"/>
  <c r="I2" i="72"/>
  <c r="G2" i="72"/>
  <c r="N22" i="71"/>
  <c r="B24" i="71"/>
  <c r="J21" i="71"/>
  <c r="H21" i="71"/>
  <c r="I20" i="71"/>
  <c r="D20" i="71"/>
  <c r="D19" i="71"/>
  <c r="D18" i="71"/>
  <c r="D17" i="71"/>
  <c r="D16" i="71"/>
  <c r="D15" i="71"/>
  <c r="D14" i="71"/>
  <c r="D13" i="71"/>
  <c r="D12" i="71"/>
  <c r="D11" i="71"/>
  <c r="D10" i="71"/>
  <c r="D9" i="71"/>
  <c r="D8" i="71"/>
  <c r="D7" i="71"/>
  <c r="D6" i="71"/>
  <c r="D5" i="71"/>
  <c r="D4" i="71"/>
  <c r="I3" i="71"/>
  <c r="G2" i="71"/>
  <c r="I2" i="71" s="1"/>
  <c r="F31" i="70"/>
  <c r="B21" i="70"/>
  <c r="B23" i="70" s="1"/>
  <c r="B24" i="69"/>
  <c r="D5" i="69"/>
  <c r="D6" i="69"/>
  <c r="D7" i="69"/>
  <c r="D8" i="69"/>
  <c r="D9" i="69"/>
  <c r="D10" i="69"/>
  <c r="D11" i="69"/>
  <c r="D12" i="69"/>
  <c r="D13" i="69"/>
  <c r="D14" i="69"/>
  <c r="D15" i="69"/>
  <c r="D16" i="69"/>
  <c r="D17" i="69"/>
  <c r="D18" i="69"/>
  <c r="D19" i="69"/>
  <c r="D20" i="69"/>
  <c r="D4" i="69"/>
  <c r="D4" i="68"/>
  <c r="N21" i="69"/>
  <c r="J21" i="69"/>
  <c r="H21" i="69"/>
  <c r="I20" i="69"/>
  <c r="I3" i="69"/>
  <c r="G2" i="69"/>
  <c r="I2" i="69" s="1"/>
  <c r="I3" i="68"/>
  <c r="I20" i="68"/>
  <c r="I2" i="68"/>
  <c r="B24" i="68"/>
  <c r="J21" i="68"/>
  <c r="N21" i="68"/>
  <c r="H21" i="68"/>
  <c r="D20" i="68"/>
  <c r="D19" i="68"/>
  <c r="D18" i="68"/>
  <c r="D17" i="68"/>
  <c r="D16" i="68"/>
  <c r="D15" i="68"/>
  <c r="D14" i="68"/>
  <c r="D13" i="68"/>
  <c r="D12" i="68"/>
  <c r="D11" i="68"/>
  <c r="D10" i="68"/>
  <c r="D9" i="68"/>
  <c r="D8" i="68"/>
  <c r="D7" i="68"/>
  <c r="D6" i="68"/>
  <c r="D5" i="68"/>
  <c r="G2" i="68"/>
  <c r="D4" i="66"/>
  <c r="O17" i="67"/>
  <c r="O21" i="67" s="1"/>
  <c r="B24" i="67"/>
  <c r="K21" i="67"/>
  <c r="H21" i="67"/>
  <c r="D20" i="67"/>
  <c r="D19" i="67"/>
  <c r="D18" i="67"/>
  <c r="D17" i="67"/>
  <c r="D16" i="67"/>
  <c r="D15" i="67"/>
  <c r="D14" i="67"/>
  <c r="D13" i="67"/>
  <c r="D12" i="67"/>
  <c r="D11" i="67"/>
  <c r="D10" i="67"/>
  <c r="D9" i="67"/>
  <c r="D8" i="67"/>
  <c r="D7" i="67"/>
  <c r="D6" i="67"/>
  <c r="D5" i="67"/>
  <c r="D4" i="67"/>
  <c r="J3" i="67"/>
  <c r="G2" i="67"/>
  <c r="J2" i="67" s="1"/>
  <c r="B24" i="66"/>
  <c r="O21" i="66"/>
  <c r="K21" i="66"/>
  <c r="H21" i="66"/>
  <c r="D20" i="66"/>
  <c r="D19" i="66"/>
  <c r="D18" i="66"/>
  <c r="D17" i="66"/>
  <c r="D16" i="66"/>
  <c r="D15" i="66"/>
  <c r="D14" i="66"/>
  <c r="D13" i="66"/>
  <c r="D12" i="66"/>
  <c r="D11" i="66"/>
  <c r="D10" i="66"/>
  <c r="D9" i="66"/>
  <c r="D8" i="66"/>
  <c r="D7" i="66"/>
  <c r="D6" i="66"/>
  <c r="D5" i="66"/>
  <c r="J3" i="66"/>
  <c r="L3" i="66" s="1"/>
  <c r="G2" i="66"/>
  <c r="J2" i="66" s="1"/>
  <c r="L2" i="66" s="1"/>
  <c r="B24" i="65"/>
  <c r="O21" i="65"/>
  <c r="K21" i="65"/>
  <c r="H21" i="65"/>
  <c r="D20" i="65"/>
  <c r="D19" i="65"/>
  <c r="D18" i="65"/>
  <c r="D17" i="65"/>
  <c r="D16" i="65"/>
  <c r="D15" i="65"/>
  <c r="D14" i="65"/>
  <c r="D13" i="65"/>
  <c r="D12" i="65"/>
  <c r="D11" i="65"/>
  <c r="D10" i="65"/>
  <c r="D9" i="65"/>
  <c r="D8" i="65"/>
  <c r="D7" i="65"/>
  <c r="D6" i="65"/>
  <c r="D5" i="65"/>
  <c r="D4" i="65"/>
  <c r="J3" i="65"/>
  <c r="G2" i="65"/>
  <c r="J2" i="65" s="1"/>
  <c r="B24" i="64"/>
  <c r="O21" i="64"/>
  <c r="K21" i="64"/>
  <c r="H21" i="64"/>
  <c r="D20" i="64"/>
  <c r="D19" i="64"/>
  <c r="D18" i="64"/>
  <c r="D17" i="64"/>
  <c r="D16" i="64"/>
  <c r="D15" i="64"/>
  <c r="D14" i="64"/>
  <c r="D13" i="64"/>
  <c r="D12" i="64"/>
  <c r="D11" i="64"/>
  <c r="D10" i="64"/>
  <c r="D9" i="64"/>
  <c r="D8" i="64"/>
  <c r="D7" i="64"/>
  <c r="D6" i="64"/>
  <c r="D5" i="64"/>
  <c r="D4" i="64"/>
  <c r="J3" i="64"/>
  <c r="G2" i="64"/>
  <c r="J2" i="64" s="1"/>
  <c r="B24" i="63"/>
  <c r="O21" i="63"/>
  <c r="K21" i="63"/>
  <c r="H21" i="63"/>
  <c r="D20" i="63"/>
  <c r="D19" i="63"/>
  <c r="D18" i="63"/>
  <c r="D17" i="63"/>
  <c r="D16" i="63"/>
  <c r="D15" i="63"/>
  <c r="D14" i="63"/>
  <c r="D13" i="63"/>
  <c r="D12" i="63"/>
  <c r="D11" i="63"/>
  <c r="D10" i="63"/>
  <c r="D9" i="63"/>
  <c r="D8" i="63"/>
  <c r="D7" i="63"/>
  <c r="D6" i="63"/>
  <c r="D5" i="63"/>
  <c r="D4" i="63"/>
  <c r="J3" i="63"/>
  <c r="G2" i="63"/>
  <c r="J2" i="63" s="1"/>
  <c r="B24" i="60"/>
  <c r="O21" i="60"/>
  <c r="K21" i="60"/>
  <c r="H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J3" i="60"/>
  <c r="G2" i="60"/>
  <c r="J2" i="60" s="1"/>
  <c r="B24" i="59"/>
  <c r="K21" i="59"/>
  <c r="H21" i="59"/>
  <c r="D20" i="59"/>
  <c r="D19" i="59"/>
  <c r="D18" i="59"/>
  <c r="D17" i="59"/>
  <c r="D16" i="59"/>
  <c r="D15" i="59"/>
  <c r="D14" i="59"/>
  <c r="D13" i="59"/>
  <c r="D12" i="59"/>
  <c r="D11" i="59"/>
  <c r="D10" i="59"/>
  <c r="D9" i="59"/>
  <c r="D8" i="59"/>
  <c r="D7" i="59"/>
  <c r="D6" i="59"/>
  <c r="D5" i="59"/>
  <c r="D4" i="59"/>
  <c r="D22" i="59" s="1"/>
  <c r="J3" i="59"/>
  <c r="G2" i="59"/>
  <c r="J2" i="59" s="1"/>
  <c r="N21" i="58"/>
  <c r="B24" i="58"/>
  <c r="K21" i="58"/>
  <c r="H21" i="58"/>
  <c r="J20" i="58"/>
  <c r="D20" i="58"/>
  <c r="D19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G2" i="58"/>
  <c r="J2" i="58" s="1"/>
  <c r="H19" i="52"/>
  <c r="G19" i="52"/>
  <c r="F19" i="52"/>
  <c r="E19" i="52"/>
  <c r="D19" i="52"/>
  <c r="C19" i="52"/>
  <c r="K2" i="55"/>
  <c r="B24" i="56"/>
  <c r="K21" i="56"/>
  <c r="H21" i="56"/>
  <c r="J20" i="56"/>
  <c r="D20" i="56"/>
  <c r="D19" i="56"/>
  <c r="D18" i="56"/>
  <c r="O2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" i="56"/>
  <c r="J3" i="56"/>
  <c r="G2" i="56"/>
  <c r="J2" i="56" s="1"/>
  <c r="O17" i="55"/>
  <c r="O28" i="55" s="1"/>
  <c r="B24" i="55"/>
  <c r="H21" i="55"/>
  <c r="J20" i="55"/>
  <c r="K20" i="55" s="1"/>
  <c r="D20" i="55"/>
  <c r="D19" i="55"/>
  <c r="D18" i="55"/>
  <c r="D17" i="55"/>
  <c r="D16" i="55"/>
  <c r="D15" i="55"/>
  <c r="D14" i="55"/>
  <c r="D13" i="55"/>
  <c r="D12" i="55"/>
  <c r="D11" i="55"/>
  <c r="D10" i="55"/>
  <c r="D9" i="55"/>
  <c r="D8" i="55"/>
  <c r="D7" i="55"/>
  <c r="D6" i="55"/>
  <c r="D5" i="55"/>
  <c r="D4" i="55"/>
  <c r="J3" i="55"/>
  <c r="K3" i="55" s="1"/>
  <c r="G2" i="55"/>
  <c r="J2" i="55" s="1"/>
  <c r="AA12" i="52"/>
  <c r="AA14" i="52" s="1"/>
  <c r="O28" i="54"/>
  <c r="K21" i="51"/>
  <c r="P28" i="51" s="1"/>
  <c r="P29" i="51" s="1"/>
  <c r="B24" i="54"/>
  <c r="K21" i="54"/>
  <c r="H21" i="54"/>
  <c r="J20" i="54"/>
  <c r="D20" i="54"/>
  <c r="D19" i="54"/>
  <c r="D18" i="54"/>
  <c r="D17" i="54"/>
  <c r="D16" i="54"/>
  <c r="D15" i="54"/>
  <c r="D14" i="54"/>
  <c r="D13" i="54"/>
  <c r="D12" i="54"/>
  <c r="D11" i="54"/>
  <c r="D10" i="54"/>
  <c r="D9" i="54"/>
  <c r="D8" i="54"/>
  <c r="D7" i="54"/>
  <c r="D6" i="54"/>
  <c r="D5" i="54"/>
  <c r="D4" i="54"/>
  <c r="J3" i="54"/>
  <c r="G2" i="54"/>
  <c r="J2" i="54" s="1"/>
  <c r="F20" i="53"/>
  <c r="D19" i="53"/>
  <c r="B19" i="53"/>
  <c r="B21" i="53" s="1"/>
  <c r="F10" i="53"/>
  <c r="F17" i="53" s="1"/>
  <c r="U43" i="52"/>
  <c r="D37" i="52"/>
  <c r="B25" i="52"/>
  <c r="L24" i="52"/>
  <c r="U19" i="52"/>
  <c r="M19" i="52"/>
  <c r="L19" i="52"/>
  <c r="K19" i="52"/>
  <c r="J19" i="52"/>
  <c r="I19" i="52"/>
  <c r="I27" i="52" s="1"/>
  <c r="O28" i="51"/>
  <c r="B24" i="51"/>
  <c r="H21" i="51"/>
  <c r="J20" i="51"/>
  <c r="D20" i="51"/>
  <c r="D19" i="51"/>
  <c r="D18" i="51"/>
  <c r="D17" i="51"/>
  <c r="D16" i="51"/>
  <c r="D15" i="51"/>
  <c r="D14" i="51"/>
  <c r="D13" i="51"/>
  <c r="D12" i="51"/>
  <c r="D11" i="51"/>
  <c r="D10" i="51"/>
  <c r="D9" i="51"/>
  <c r="D8" i="51"/>
  <c r="D7" i="51"/>
  <c r="D6" i="51"/>
  <c r="D5" i="51"/>
  <c r="D4" i="51"/>
  <c r="J3" i="51"/>
  <c r="G2" i="51"/>
  <c r="J2" i="51" s="1"/>
  <c r="I33" i="50"/>
  <c r="H33" i="50"/>
  <c r="O28" i="50"/>
  <c r="K21" i="50"/>
  <c r="H21" i="50"/>
  <c r="J20" i="50"/>
  <c r="D20" i="50"/>
  <c r="D19" i="50"/>
  <c r="D18" i="50"/>
  <c r="D17" i="50"/>
  <c r="D16" i="50"/>
  <c r="D15" i="50"/>
  <c r="D14" i="50"/>
  <c r="D13" i="50"/>
  <c r="D12" i="50"/>
  <c r="D11" i="50"/>
  <c r="D10" i="50"/>
  <c r="D9" i="50"/>
  <c r="D8" i="50"/>
  <c r="D7" i="50"/>
  <c r="D6" i="50"/>
  <c r="D5" i="50"/>
  <c r="D4" i="50"/>
  <c r="J3" i="50"/>
  <c r="G2" i="50"/>
  <c r="J2" i="50" s="1"/>
  <c r="O22" i="49"/>
  <c r="K21" i="49"/>
  <c r="H21" i="49"/>
  <c r="J20" i="49"/>
  <c r="D20" i="49"/>
  <c r="D19" i="49"/>
  <c r="D18" i="49"/>
  <c r="D17" i="49"/>
  <c r="D16" i="49"/>
  <c r="D15" i="49"/>
  <c r="D14" i="49"/>
  <c r="D13" i="49"/>
  <c r="D12" i="49"/>
  <c r="D11" i="49"/>
  <c r="D10" i="49"/>
  <c r="D9" i="49"/>
  <c r="D8" i="49"/>
  <c r="D7" i="49"/>
  <c r="D6" i="49"/>
  <c r="D5" i="49"/>
  <c r="D4" i="49"/>
  <c r="J3" i="49"/>
  <c r="G2" i="49"/>
  <c r="J2" i="49" s="1"/>
  <c r="O22" i="48"/>
  <c r="K21" i="48"/>
  <c r="H21" i="48"/>
  <c r="J20" i="48"/>
  <c r="D20" i="48"/>
  <c r="D19" i="48"/>
  <c r="D18" i="48"/>
  <c r="D17" i="48"/>
  <c r="D16" i="48"/>
  <c r="D15" i="48"/>
  <c r="D14" i="48"/>
  <c r="D13" i="48"/>
  <c r="D12" i="48"/>
  <c r="D11" i="48"/>
  <c r="D10" i="48"/>
  <c r="D9" i="48"/>
  <c r="D8" i="48"/>
  <c r="D7" i="48"/>
  <c r="D6" i="48"/>
  <c r="D5" i="48"/>
  <c r="D4" i="48"/>
  <c r="J3" i="48"/>
  <c r="G2" i="48"/>
  <c r="J2" i="48" s="1"/>
  <c r="H23" i="47"/>
  <c r="N22" i="47"/>
  <c r="K21" i="47"/>
  <c r="H21" i="47"/>
  <c r="J20" i="47"/>
  <c r="D20" i="47"/>
  <c r="D19" i="47"/>
  <c r="E19" i="47" s="1"/>
  <c r="G19" i="47" s="1"/>
  <c r="J19" i="47" s="1"/>
  <c r="D18" i="47"/>
  <c r="E18" i="47" s="1"/>
  <c r="G18" i="47" s="1"/>
  <c r="J18" i="47" s="1"/>
  <c r="D17" i="47"/>
  <c r="D16" i="47"/>
  <c r="D15" i="47"/>
  <c r="E15" i="47" s="1"/>
  <c r="G15" i="47" s="1"/>
  <c r="J15" i="47" s="1"/>
  <c r="D14" i="47"/>
  <c r="D13" i="47"/>
  <c r="D12" i="47"/>
  <c r="D11" i="47"/>
  <c r="D10" i="47"/>
  <c r="D9" i="47"/>
  <c r="D8" i="47"/>
  <c r="D7" i="47"/>
  <c r="D6" i="47"/>
  <c r="D5" i="47"/>
  <c r="D4" i="47"/>
  <c r="D22" i="47" s="1"/>
  <c r="D23" i="47" s="1"/>
  <c r="J3" i="47"/>
  <c r="G2" i="47"/>
  <c r="J2" i="47" s="1"/>
  <c r="K21" i="46"/>
  <c r="H23" i="46" s="1"/>
  <c r="H21" i="46"/>
  <c r="J20" i="46"/>
  <c r="D20" i="46"/>
  <c r="D19" i="46"/>
  <c r="D18" i="46"/>
  <c r="D17" i="46"/>
  <c r="D16" i="46"/>
  <c r="D15" i="46"/>
  <c r="D14" i="46"/>
  <c r="D13" i="46"/>
  <c r="D12" i="46"/>
  <c r="D11" i="46"/>
  <c r="D10" i="46"/>
  <c r="D9" i="46"/>
  <c r="D8" i="46"/>
  <c r="D7" i="46"/>
  <c r="D6" i="46"/>
  <c r="D5" i="46"/>
  <c r="D4" i="46"/>
  <c r="D22" i="46" s="1"/>
  <c r="D23" i="46" s="1"/>
  <c r="J3" i="46"/>
  <c r="G2" i="46"/>
  <c r="J2" i="46" s="1"/>
  <c r="M31" i="45"/>
  <c r="K21" i="45"/>
  <c r="H23" i="45" s="1"/>
  <c r="H21" i="45"/>
  <c r="J20" i="45"/>
  <c r="D20" i="45"/>
  <c r="D19" i="45"/>
  <c r="D18" i="45"/>
  <c r="D17" i="45"/>
  <c r="N16" i="45"/>
  <c r="D16" i="45"/>
  <c r="D15" i="45"/>
  <c r="D14" i="45"/>
  <c r="D13" i="45"/>
  <c r="D12" i="45"/>
  <c r="D11" i="45"/>
  <c r="D10" i="45"/>
  <c r="D9" i="45"/>
  <c r="D8" i="45"/>
  <c r="D7" i="45"/>
  <c r="D6" i="45"/>
  <c r="D5" i="45"/>
  <c r="D4" i="45"/>
  <c r="J3" i="45"/>
  <c r="G2" i="45"/>
  <c r="J2" i="45" s="1"/>
  <c r="N22" i="44"/>
  <c r="H21" i="44"/>
  <c r="J20" i="44"/>
  <c r="D20" i="44"/>
  <c r="D19" i="44"/>
  <c r="D18" i="44"/>
  <c r="D17" i="44"/>
  <c r="D16" i="44"/>
  <c r="D15" i="44"/>
  <c r="D14" i="44"/>
  <c r="D13" i="44"/>
  <c r="D12" i="44"/>
  <c r="D11" i="44"/>
  <c r="D10" i="44"/>
  <c r="D9" i="44"/>
  <c r="D8" i="44"/>
  <c r="D7" i="44"/>
  <c r="D6" i="44"/>
  <c r="D5" i="44"/>
  <c r="D4" i="44"/>
  <c r="J3" i="44"/>
  <c r="G2" i="44"/>
  <c r="J2" i="44" s="1"/>
  <c r="N22" i="43"/>
  <c r="K21" i="43"/>
  <c r="H23" i="43" s="1"/>
  <c r="H21" i="43"/>
  <c r="J20" i="43"/>
  <c r="D20" i="43"/>
  <c r="D19" i="43"/>
  <c r="D18" i="43"/>
  <c r="D17" i="43"/>
  <c r="D16" i="43"/>
  <c r="D15" i="43"/>
  <c r="D14" i="43"/>
  <c r="D13" i="43"/>
  <c r="D12" i="43"/>
  <c r="D11" i="43"/>
  <c r="D10" i="43"/>
  <c r="D9" i="43"/>
  <c r="D8" i="43"/>
  <c r="D7" i="43"/>
  <c r="D6" i="43"/>
  <c r="D5" i="43"/>
  <c r="E5" i="43" s="1"/>
  <c r="G5" i="43" s="1"/>
  <c r="J5" i="43" s="1"/>
  <c r="D4" i="43"/>
  <c r="D22" i="43" s="1"/>
  <c r="D23" i="43" s="1"/>
  <c r="J3" i="43"/>
  <c r="G2" i="43"/>
  <c r="J2" i="43" s="1"/>
  <c r="M22" i="42"/>
  <c r="J21" i="42"/>
  <c r="H23" i="42" s="1"/>
  <c r="H21" i="42"/>
  <c r="I20" i="42"/>
  <c r="D20" i="42"/>
  <c r="D19" i="42"/>
  <c r="D18" i="42"/>
  <c r="D17" i="42"/>
  <c r="D16" i="42"/>
  <c r="D15" i="42"/>
  <c r="D14" i="42"/>
  <c r="Q13" i="42"/>
  <c r="Q14" i="42" s="1"/>
  <c r="D13" i="42"/>
  <c r="D12" i="42"/>
  <c r="D11" i="42"/>
  <c r="D10" i="42"/>
  <c r="D9" i="42"/>
  <c r="D8" i="42"/>
  <c r="D7" i="42"/>
  <c r="D6" i="42"/>
  <c r="D5" i="42"/>
  <c r="D4" i="42"/>
  <c r="I3" i="42"/>
  <c r="G2" i="42"/>
  <c r="I2" i="42" s="1"/>
  <c r="H23" i="41"/>
  <c r="M22" i="41"/>
  <c r="J21" i="41"/>
  <c r="H21" i="41"/>
  <c r="I20" i="41"/>
  <c r="D20" i="41"/>
  <c r="D19" i="41"/>
  <c r="D18" i="41"/>
  <c r="D17" i="41"/>
  <c r="D16" i="41"/>
  <c r="D15" i="41"/>
  <c r="D14" i="41"/>
  <c r="D13" i="41"/>
  <c r="D12" i="41"/>
  <c r="D11" i="41"/>
  <c r="D10" i="41"/>
  <c r="D9" i="41"/>
  <c r="D8" i="41"/>
  <c r="D7" i="41"/>
  <c r="D6" i="41"/>
  <c r="D5" i="41"/>
  <c r="D4" i="41"/>
  <c r="I3" i="41"/>
  <c r="G2" i="41"/>
  <c r="I2" i="41" s="1"/>
  <c r="M22" i="40"/>
  <c r="J21" i="40"/>
  <c r="H21" i="40"/>
  <c r="I20" i="40"/>
  <c r="D20" i="40"/>
  <c r="D19" i="40"/>
  <c r="D18" i="40"/>
  <c r="D17" i="40"/>
  <c r="D16" i="40"/>
  <c r="D15" i="40"/>
  <c r="D14" i="40"/>
  <c r="D13" i="40"/>
  <c r="D12" i="40"/>
  <c r="D11" i="40"/>
  <c r="D10" i="40"/>
  <c r="D9" i="40"/>
  <c r="D8" i="40"/>
  <c r="D7" i="40"/>
  <c r="D6" i="40"/>
  <c r="D5" i="40"/>
  <c r="D4" i="40"/>
  <c r="D22" i="40" s="1"/>
  <c r="D23" i="40" s="1"/>
  <c r="I3" i="40"/>
  <c r="G2" i="40"/>
  <c r="I2" i="40" s="1"/>
  <c r="M22" i="39"/>
  <c r="J21" i="39"/>
  <c r="H21" i="39"/>
  <c r="I20" i="39"/>
  <c r="D20" i="39"/>
  <c r="D19" i="39"/>
  <c r="D18" i="39"/>
  <c r="D17" i="39"/>
  <c r="D16" i="39"/>
  <c r="D15" i="39"/>
  <c r="D14" i="39"/>
  <c r="D13" i="39"/>
  <c r="D12" i="39"/>
  <c r="D11" i="39"/>
  <c r="D10" i="39"/>
  <c r="D9" i="39"/>
  <c r="D8" i="39"/>
  <c r="D7" i="39"/>
  <c r="D6" i="39"/>
  <c r="D5" i="39"/>
  <c r="D4" i="39"/>
  <c r="I3" i="39"/>
  <c r="G2" i="39"/>
  <c r="I2" i="39" s="1"/>
  <c r="M22" i="38"/>
  <c r="H23" i="38" s="1"/>
  <c r="J21" i="38"/>
  <c r="H21" i="38"/>
  <c r="I20" i="38"/>
  <c r="D20" i="38"/>
  <c r="D19" i="38"/>
  <c r="D18" i="38"/>
  <c r="D17" i="38"/>
  <c r="D16" i="38"/>
  <c r="D15" i="38"/>
  <c r="D14" i="38"/>
  <c r="D13" i="38"/>
  <c r="D12" i="38"/>
  <c r="D11" i="38"/>
  <c r="D10" i="38"/>
  <c r="D9" i="38"/>
  <c r="D8" i="38"/>
  <c r="D7" i="38"/>
  <c r="D6" i="38"/>
  <c r="D5" i="38"/>
  <c r="D4" i="38"/>
  <c r="I3" i="38"/>
  <c r="I2" i="38"/>
  <c r="G2" i="38"/>
  <c r="J21" i="37"/>
  <c r="M21" i="37" s="1"/>
  <c r="H23" i="37" s="1"/>
  <c r="H21" i="37"/>
  <c r="I20" i="37"/>
  <c r="J20" i="37" s="1"/>
  <c r="D20" i="37"/>
  <c r="I19" i="37"/>
  <c r="D19" i="37"/>
  <c r="I18" i="37"/>
  <c r="D18" i="37"/>
  <c r="I17" i="37"/>
  <c r="D17" i="37"/>
  <c r="I16" i="37"/>
  <c r="D16" i="37"/>
  <c r="I15" i="37"/>
  <c r="D15" i="37"/>
  <c r="I14" i="37"/>
  <c r="D14" i="37"/>
  <c r="I13" i="37"/>
  <c r="D13" i="37"/>
  <c r="I12" i="37"/>
  <c r="D12" i="37"/>
  <c r="I11" i="37"/>
  <c r="D11" i="37"/>
  <c r="I10" i="37"/>
  <c r="D10" i="37"/>
  <c r="I9" i="37"/>
  <c r="D9" i="37"/>
  <c r="I8" i="37"/>
  <c r="D8" i="37"/>
  <c r="I7" i="37"/>
  <c r="D7" i="37"/>
  <c r="I6" i="37"/>
  <c r="D6" i="37"/>
  <c r="I5" i="37"/>
  <c r="D5" i="37"/>
  <c r="I4" i="37"/>
  <c r="D4" i="37"/>
  <c r="I3" i="37"/>
  <c r="I2" i="37"/>
  <c r="H21" i="36"/>
  <c r="G20" i="36"/>
  <c r="I20" i="36" s="1"/>
  <c r="D20" i="36"/>
  <c r="D19" i="36"/>
  <c r="D18" i="36"/>
  <c r="D17" i="36"/>
  <c r="D16" i="36"/>
  <c r="D15" i="36"/>
  <c r="D14" i="36"/>
  <c r="D13" i="36"/>
  <c r="D12" i="36"/>
  <c r="D11" i="36"/>
  <c r="D10" i="36"/>
  <c r="D9" i="36"/>
  <c r="D8" i="36"/>
  <c r="D7" i="36"/>
  <c r="D6" i="36"/>
  <c r="D5" i="36"/>
  <c r="D4" i="36"/>
  <c r="I3" i="36"/>
  <c r="G3" i="36"/>
  <c r="G2" i="36"/>
  <c r="I2" i="36" s="1"/>
  <c r="H21" i="35"/>
  <c r="G20" i="35"/>
  <c r="I20" i="35" s="1"/>
  <c r="D20" i="35"/>
  <c r="D19" i="35"/>
  <c r="D18" i="35"/>
  <c r="D17" i="35"/>
  <c r="D16" i="35"/>
  <c r="D15" i="35"/>
  <c r="D14" i="35"/>
  <c r="D13" i="35"/>
  <c r="D12" i="35"/>
  <c r="D11" i="35"/>
  <c r="D10" i="35"/>
  <c r="D9" i="35"/>
  <c r="D8" i="35"/>
  <c r="D7" i="35"/>
  <c r="D6" i="35"/>
  <c r="D5" i="35"/>
  <c r="D4" i="35"/>
  <c r="G3" i="35"/>
  <c r="I3" i="35" s="1"/>
  <c r="G2" i="35"/>
  <c r="I2" i="35" s="1"/>
  <c r="H21" i="34"/>
  <c r="G20" i="34"/>
  <c r="I20" i="34" s="1"/>
  <c r="D20" i="34"/>
  <c r="D19" i="34"/>
  <c r="D18" i="34"/>
  <c r="D17" i="34"/>
  <c r="D16" i="34"/>
  <c r="D15" i="34"/>
  <c r="D14" i="34"/>
  <c r="D13" i="34"/>
  <c r="D12" i="34"/>
  <c r="D11" i="34"/>
  <c r="D10" i="34"/>
  <c r="D9" i="34"/>
  <c r="D8" i="34"/>
  <c r="D7" i="34"/>
  <c r="D6" i="34"/>
  <c r="D5" i="34"/>
  <c r="D4" i="34"/>
  <c r="G3" i="34"/>
  <c r="I3" i="34" s="1"/>
  <c r="G2" i="34"/>
  <c r="I2" i="34" s="1"/>
  <c r="G20" i="33"/>
  <c r="D20" i="33"/>
  <c r="K19" i="33"/>
  <c r="D19" i="33"/>
  <c r="D18" i="33"/>
  <c r="D17" i="33"/>
  <c r="D16" i="33"/>
  <c r="D15" i="33"/>
  <c r="D14" i="33"/>
  <c r="D13" i="33"/>
  <c r="D12" i="33"/>
  <c r="D11" i="33"/>
  <c r="D10" i="33"/>
  <c r="D9" i="33"/>
  <c r="D8" i="33"/>
  <c r="D7" i="33"/>
  <c r="D6" i="33"/>
  <c r="D5" i="33"/>
  <c r="D4" i="33"/>
  <c r="G3" i="33"/>
  <c r="G2" i="33"/>
  <c r="K22" i="32"/>
  <c r="F21" i="32"/>
  <c r="G20" i="32"/>
  <c r="D20" i="32"/>
  <c r="D19" i="32"/>
  <c r="D18" i="32"/>
  <c r="D17" i="32"/>
  <c r="D16" i="32"/>
  <c r="D15" i="32"/>
  <c r="D14" i="32"/>
  <c r="D13" i="32"/>
  <c r="D12" i="32"/>
  <c r="D11" i="32"/>
  <c r="D10" i="32"/>
  <c r="D9" i="32"/>
  <c r="D8" i="32"/>
  <c r="D7" i="32"/>
  <c r="D6" i="32"/>
  <c r="D5" i="32"/>
  <c r="D4" i="32"/>
  <c r="G3" i="32"/>
  <c r="G2" i="32"/>
  <c r="F21" i="31"/>
  <c r="G20" i="31"/>
  <c r="D20" i="31"/>
  <c r="D19" i="31"/>
  <c r="D18" i="31"/>
  <c r="D17" i="31"/>
  <c r="D16" i="31"/>
  <c r="D15" i="31"/>
  <c r="D14" i="31"/>
  <c r="D13" i="31"/>
  <c r="D12" i="31"/>
  <c r="D11" i="31"/>
  <c r="D10" i="31"/>
  <c r="D9" i="31"/>
  <c r="D8" i="31"/>
  <c r="D7" i="31"/>
  <c r="D6" i="31"/>
  <c r="D5" i="31"/>
  <c r="D4" i="31"/>
  <c r="G3" i="31"/>
  <c r="G2" i="31"/>
  <c r="F21" i="30"/>
  <c r="G20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G3" i="30"/>
  <c r="G2" i="30"/>
  <c r="K24" i="29"/>
  <c r="H21" i="29"/>
  <c r="F21" i="29"/>
  <c r="D20" i="29"/>
  <c r="E20" i="29" s="1"/>
  <c r="D19" i="29"/>
  <c r="D18" i="29"/>
  <c r="D17" i="29"/>
  <c r="D16" i="29"/>
  <c r="D15" i="29"/>
  <c r="D14" i="29"/>
  <c r="K13" i="29"/>
  <c r="D13" i="29"/>
  <c r="D12" i="29"/>
  <c r="D11" i="29"/>
  <c r="D10" i="29"/>
  <c r="D9" i="29"/>
  <c r="D8" i="29"/>
  <c r="D7" i="29"/>
  <c r="D6" i="29"/>
  <c r="D5" i="29"/>
  <c r="D4" i="29"/>
  <c r="G3" i="29"/>
  <c r="G2" i="29"/>
  <c r="L25" i="28"/>
  <c r="H20" i="28"/>
  <c r="F20" i="28"/>
  <c r="D19" i="28"/>
  <c r="D18" i="28"/>
  <c r="D17" i="28"/>
  <c r="D16" i="28"/>
  <c r="D15" i="28"/>
  <c r="D14" i="28"/>
  <c r="D13" i="28"/>
  <c r="D12" i="28"/>
  <c r="D11" i="28"/>
  <c r="D10" i="28"/>
  <c r="L9" i="28"/>
  <c r="L13" i="28" s="1"/>
  <c r="D9" i="28"/>
  <c r="D8" i="28"/>
  <c r="D7" i="28"/>
  <c r="D6" i="28"/>
  <c r="D5" i="28"/>
  <c r="D4" i="28"/>
  <c r="G3" i="28"/>
  <c r="G2" i="28"/>
  <c r="L25" i="27"/>
  <c r="H20" i="27"/>
  <c r="F20" i="27"/>
  <c r="D19" i="27"/>
  <c r="D18" i="27"/>
  <c r="D17" i="27"/>
  <c r="D16" i="27"/>
  <c r="D15" i="27"/>
  <c r="D14" i="27"/>
  <c r="D13" i="27"/>
  <c r="D12" i="27"/>
  <c r="D11" i="27"/>
  <c r="D10" i="27"/>
  <c r="L9" i="27"/>
  <c r="L13" i="27" s="1"/>
  <c r="D9" i="27"/>
  <c r="D8" i="27"/>
  <c r="D7" i="27"/>
  <c r="D6" i="27"/>
  <c r="D5" i="27"/>
  <c r="D4" i="27"/>
  <c r="G3" i="27"/>
  <c r="G2" i="27"/>
  <c r="L25" i="26"/>
  <c r="H20" i="26"/>
  <c r="F20" i="26"/>
  <c r="D19" i="26"/>
  <c r="D18" i="26"/>
  <c r="D17" i="26"/>
  <c r="D16" i="26"/>
  <c r="D15" i="26"/>
  <c r="D14" i="26"/>
  <c r="D13" i="26"/>
  <c r="D12" i="26"/>
  <c r="D11" i="26"/>
  <c r="D10" i="26"/>
  <c r="L9" i="26"/>
  <c r="L13" i="26" s="1"/>
  <c r="L27" i="26" s="1"/>
  <c r="D9" i="26"/>
  <c r="D8" i="26"/>
  <c r="D7" i="26"/>
  <c r="D6" i="26"/>
  <c r="D5" i="26"/>
  <c r="D4" i="26"/>
  <c r="G3" i="26"/>
  <c r="G2" i="26"/>
  <c r="L25" i="25"/>
  <c r="H20" i="25"/>
  <c r="F20" i="25"/>
  <c r="D19" i="25"/>
  <c r="D18" i="25"/>
  <c r="D17" i="25"/>
  <c r="D16" i="25"/>
  <c r="D15" i="25"/>
  <c r="D14" i="25"/>
  <c r="D13" i="25"/>
  <c r="D12" i="25"/>
  <c r="D11" i="25"/>
  <c r="D10" i="25"/>
  <c r="L9" i="25"/>
  <c r="L13" i="25" s="1"/>
  <c r="L27" i="25" s="1"/>
  <c r="D9" i="25"/>
  <c r="D8" i="25"/>
  <c r="D7" i="25"/>
  <c r="D6" i="25"/>
  <c r="D5" i="25"/>
  <c r="D21" i="25" s="1"/>
  <c r="D22" i="25" s="1"/>
  <c r="D4" i="25"/>
  <c r="G3" i="25"/>
  <c r="G2" i="25"/>
  <c r="L25" i="24"/>
  <c r="H20" i="24"/>
  <c r="F20" i="24"/>
  <c r="D19" i="24"/>
  <c r="D18" i="24"/>
  <c r="D17" i="24"/>
  <c r="D16" i="24"/>
  <c r="D15" i="24"/>
  <c r="D14" i="24"/>
  <c r="D13" i="24"/>
  <c r="D12" i="24"/>
  <c r="D11" i="24"/>
  <c r="D10" i="24"/>
  <c r="L9" i="24"/>
  <c r="L13" i="24" s="1"/>
  <c r="D9" i="24"/>
  <c r="D8" i="24"/>
  <c r="D7" i="24"/>
  <c r="D6" i="24"/>
  <c r="D5" i="24"/>
  <c r="D4" i="24"/>
  <c r="G3" i="24"/>
  <c r="G2" i="24"/>
  <c r="E26" i="23"/>
  <c r="L22" i="23"/>
  <c r="H20" i="23"/>
  <c r="F20" i="23"/>
  <c r="D19" i="23"/>
  <c r="D18" i="23"/>
  <c r="D17" i="23"/>
  <c r="D16" i="23"/>
  <c r="D15" i="23"/>
  <c r="D14" i="23"/>
  <c r="D13" i="23"/>
  <c r="D12" i="23"/>
  <c r="D11" i="23"/>
  <c r="D10" i="23"/>
  <c r="D9" i="23"/>
  <c r="D8" i="23"/>
  <c r="D7" i="23"/>
  <c r="L6" i="23"/>
  <c r="L10" i="23" s="1"/>
  <c r="L24" i="23" s="1"/>
  <c r="D6" i="23"/>
  <c r="D5" i="23"/>
  <c r="D4" i="23"/>
  <c r="G3" i="23"/>
  <c r="G2" i="23"/>
  <c r="L25" i="22"/>
  <c r="H20" i="22"/>
  <c r="F20" i="22"/>
  <c r="D19" i="22"/>
  <c r="D18" i="22"/>
  <c r="D17" i="22"/>
  <c r="D16" i="22"/>
  <c r="D15" i="22"/>
  <c r="D14" i="22"/>
  <c r="D13" i="22"/>
  <c r="D12" i="22"/>
  <c r="D11" i="22"/>
  <c r="D10" i="22"/>
  <c r="L9" i="22"/>
  <c r="L13" i="22" s="1"/>
  <c r="D9" i="22"/>
  <c r="D8" i="22"/>
  <c r="D7" i="22"/>
  <c r="D6" i="22"/>
  <c r="D5" i="22"/>
  <c r="D4" i="22"/>
  <c r="G3" i="22"/>
  <c r="G2" i="22"/>
  <c r="B24" i="21"/>
  <c r="M23" i="21"/>
  <c r="H21" i="21"/>
  <c r="M4" i="21" s="1"/>
  <c r="M6" i="21" s="1"/>
  <c r="M8" i="21" s="1"/>
  <c r="M25" i="21" s="1"/>
  <c r="F21" i="21"/>
  <c r="D20" i="21"/>
  <c r="D19" i="21"/>
  <c r="D18" i="21"/>
  <c r="D17" i="21"/>
  <c r="D16" i="21"/>
  <c r="D15" i="21"/>
  <c r="D14" i="21"/>
  <c r="D13" i="21"/>
  <c r="D12" i="21"/>
  <c r="D11" i="21"/>
  <c r="D10" i="21"/>
  <c r="D9" i="21"/>
  <c r="D8" i="21"/>
  <c r="M7" i="21"/>
  <c r="D7" i="21"/>
  <c r="D6" i="21"/>
  <c r="D5" i="21"/>
  <c r="G4" i="21"/>
  <c r="G3" i="21"/>
  <c r="B24" i="20"/>
  <c r="M23" i="20"/>
  <c r="H21" i="20"/>
  <c r="M4" i="20" s="1"/>
  <c r="M6" i="20" s="1"/>
  <c r="M8" i="20" s="1"/>
  <c r="M25" i="20" s="1"/>
  <c r="F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M7" i="20"/>
  <c r="D7" i="20"/>
  <c r="D6" i="20"/>
  <c r="D5" i="20"/>
  <c r="D22" i="20" s="1"/>
  <c r="G4" i="20"/>
  <c r="G3" i="20"/>
  <c r="B24" i="19"/>
  <c r="M23" i="19"/>
  <c r="H21" i="19"/>
  <c r="F21" i="19"/>
  <c r="D20" i="19"/>
  <c r="D19" i="19"/>
  <c r="D18" i="19"/>
  <c r="D17" i="19"/>
  <c r="D16" i="19"/>
  <c r="D15" i="19"/>
  <c r="D14" i="19"/>
  <c r="D13" i="19"/>
  <c r="D12" i="19"/>
  <c r="D11" i="19"/>
  <c r="D10" i="19"/>
  <c r="D9" i="19"/>
  <c r="D8" i="19"/>
  <c r="D7" i="19"/>
  <c r="D6" i="19"/>
  <c r="D5" i="19"/>
  <c r="M4" i="19"/>
  <c r="M6" i="19" s="1"/>
  <c r="M8" i="19" s="1"/>
  <c r="M25" i="19" s="1"/>
  <c r="G4" i="19"/>
  <c r="G3" i="19"/>
  <c r="B24" i="18"/>
  <c r="M23" i="18"/>
  <c r="H21" i="18"/>
  <c r="M4" i="18" s="1"/>
  <c r="M6" i="18" s="1"/>
  <c r="M8" i="18" s="1"/>
  <c r="F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M34" i="17"/>
  <c r="O32" i="17"/>
  <c r="O36" i="17" s="1"/>
  <c r="O37" i="17" s="1"/>
  <c r="B24" i="17"/>
  <c r="H21" i="17"/>
  <c r="M4" i="17" s="1"/>
  <c r="M6" i="17" s="1"/>
  <c r="M8" i="17" s="1"/>
  <c r="F21" i="17"/>
  <c r="M20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B26" i="16"/>
  <c r="F21" i="16"/>
  <c r="M20" i="16"/>
  <c r="H20" i="16"/>
  <c r="H21" i="16" s="1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M6" i="16"/>
  <c r="M8" i="16" s="1"/>
  <c r="D6" i="16"/>
  <c r="D5" i="16"/>
  <c r="M75" i="15"/>
  <c r="G74" i="15"/>
  <c r="F73" i="15"/>
  <c r="F72" i="15"/>
  <c r="F71" i="15"/>
  <c r="F70" i="15"/>
  <c r="F69" i="15"/>
  <c r="F68" i="15"/>
  <c r="F67" i="15"/>
  <c r="F66" i="15"/>
  <c r="F65" i="15"/>
  <c r="F64" i="15"/>
  <c r="F63" i="15"/>
  <c r="F62" i="15"/>
  <c r="M61" i="15"/>
  <c r="M63" i="15" s="1"/>
  <c r="M77" i="15" s="1"/>
  <c r="F61" i="15"/>
  <c r="F60" i="15"/>
  <c r="F59" i="15"/>
  <c r="F58" i="15"/>
  <c r="B54" i="15"/>
  <c r="F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J32" i="15"/>
  <c r="J31" i="15"/>
  <c r="B26" i="15"/>
  <c r="M21" i="15"/>
  <c r="H21" i="15"/>
  <c r="F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B50" i="14"/>
  <c r="G45" i="14"/>
  <c r="F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G19" i="14"/>
  <c r="F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B50" i="13"/>
  <c r="F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F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B50" i="12"/>
  <c r="F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F19" i="12"/>
  <c r="G19" i="12" s="1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F19" i="11"/>
  <c r="G19" i="11" s="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F19" i="10"/>
  <c r="G19" i="10" s="1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K23" i="9"/>
  <c r="H19" i="9"/>
  <c r="G19" i="9"/>
  <c r="F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20" i="8"/>
  <c r="G20" i="8" s="1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21" i="8" s="1"/>
  <c r="D22" i="8" s="1"/>
  <c r="D5" i="8"/>
  <c r="D4" i="8"/>
  <c r="F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F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21" i="6" s="1"/>
  <c r="D22" i="6" s="1"/>
  <c r="I47" i="5"/>
  <c r="D46" i="5"/>
  <c r="F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70" i="4"/>
  <c r="D49" i="4"/>
  <c r="F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C55" i="3"/>
  <c r="C52" i="3"/>
  <c r="D52" i="3" s="1"/>
  <c r="D51" i="3"/>
  <c r="C51" i="3"/>
  <c r="G50" i="3"/>
  <c r="C50" i="3"/>
  <c r="D50" i="3" s="1"/>
  <c r="C49" i="3"/>
  <c r="D49" i="3" s="1"/>
  <c r="C48" i="3"/>
  <c r="D48" i="3" s="1"/>
  <c r="G47" i="3"/>
  <c r="G49" i="3" s="1"/>
  <c r="C47" i="3"/>
  <c r="D47" i="3" s="1"/>
  <c r="C46" i="3"/>
  <c r="D46" i="3" s="1"/>
  <c r="C45" i="3"/>
  <c r="D45" i="3" s="1"/>
  <c r="D44" i="3"/>
  <c r="C44" i="3"/>
  <c r="C43" i="3"/>
  <c r="D43" i="3" s="1"/>
  <c r="C42" i="3"/>
  <c r="D42" i="3" s="1"/>
  <c r="C41" i="3"/>
  <c r="D41" i="3" s="1"/>
  <c r="D40" i="3"/>
  <c r="C40" i="3"/>
  <c r="C39" i="3"/>
  <c r="D39" i="3" s="1"/>
  <c r="C38" i="3"/>
  <c r="D38" i="3" s="1"/>
  <c r="C37" i="3"/>
  <c r="D30" i="3"/>
  <c r="J22" i="3"/>
  <c r="I22" i="3"/>
  <c r="D22" i="3"/>
  <c r="B16" i="2"/>
  <c r="B15" i="2"/>
  <c r="C14" i="2"/>
  <c r="B14" i="2"/>
  <c r="B13" i="2"/>
  <c r="B12" i="2"/>
  <c r="B11" i="2"/>
  <c r="B18" i="2" s="1"/>
  <c r="B7" i="2"/>
  <c r="D45" i="1"/>
  <c r="G24" i="1"/>
  <c r="G32" i="1" s="1"/>
  <c r="J21" i="1"/>
  <c r="D21" i="1"/>
  <c r="D22" i="77" l="1"/>
  <c r="D23" i="77" s="1"/>
  <c r="D22" i="76"/>
  <c r="D23" i="76" s="1"/>
  <c r="E20" i="76" s="1"/>
  <c r="D22" i="75"/>
  <c r="D23" i="75" s="1"/>
  <c r="D22" i="74"/>
  <c r="D23" i="74" s="1"/>
  <c r="E11" i="74" s="1"/>
  <c r="G11" i="74" s="1"/>
  <c r="I11" i="74" s="1"/>
  <c r="T40" i="73"/>
  <c r="D22" i="73"/>
  <c r="D23" i="73" s="1"/>
  <c r="E12" i="25"/>
  <c r="G12" i="25" s="1"/>
  <c r="E17" i="25"/>
  <c r="G17" i="25" s="1"/>
  <c r="D47" i="14"/>
  <c r="E36" i="14" s="1"/>
  <c r="E7" i="47"/>
  <c r="G7" i="47" s="1"/>
  <c r="J7" i="47" s="1"/>
  <c r="E12" i="47"/>
  <c r="G12" i="47" s="1"/>
  <c r="J12" i="47" s="1"/>
  <c r="E10" i="47"/>
  <c r="G10" i="47" s="1"/>
  <c r="J10" i="47" s="1"/>
  <c r="E8" i="47"/>
  <c r="G8" i="47" s="1"/>
  <c r="J8" i="47" s="1"/>
  <c r="E5" i="47"/>
  <c r="G5" i="47" s="1"/>
  <c r="J5" i="47" s="1"/>
  <c r="E16" i="47"/>
  <c r="G16" i="47" s="1"/>
  <c r="J16" i="47" s="1"/>
  <c r="E12" i="49"/>
  <c r="G12" i="49" s="1"/>
  <c r="J12" i="49" s="1"/>
  <c r="E9" i="47"/>
  <c r="G9" i="47" s="1"/>
  <c r="J9" i="47" s="1"/>
  <c r="E13" i="47"/>
  <c r="G13" i="47" s="1"/>
  <c r="J13" i="47" s="1"/>
  <c r="E18" i="49"/>
  <c r="G18" i="49" s="1"/>
  <c r="J18" i="49" s="1"/>
  <c r="E12" i="5"/>
  <c r="G12" i="5" s="1"/>
  <c r="D20" i="11"/>
  <c r="D21" i="11" s="1"/>
  <c r="D46" i="13"/>
  <c r="D47" i="13" s="1"/>
  <c r="D20" i="14"/>
  <c r="D21" i="14" s="1"/>
  <c r="E4" i="14" s="1"/>
  <c r="H4" i="14" s="1"/>
  <c r="M22" i="17"/>
  <c r="L27" i="22"/>
  <c r="E8" i="40"/>
  <c r="G8" i="40" s="1"/>
  <c r="I8" i="40" s="1"/>
  <c r="E17" i="43"/>
  <c r="G17" i="43" s="1"/>
  <c r="J17" i="43" s="1"/>
  <c r="H23" i="48"/>
  <c r="D22" i="49"/>
  <c r="D23" i="49" s="1"/>
  <c r="E8" i="49" s="1"/>
  <c r="G8" i="49" s="1"/>
  <c r="J8" i="49" s="1"/>
  <c r="H23" i="49"/>
  <c r="D21" i="4"/>
  <c r="D22" i="4" s="1"/>
  <c r="E7" i="4" s="1"/>
  <c r="G7" i="4" s="1"/>
  <c r="E8" i="4"/>
  <c r="G8" i="4" s="1"/>
  <c r="D21" i="5"/>
  <c r="D22" i="5" s="1"/>
  <c r="E8" i="5" s="1"/>
  <c r="G8" i="5" s="1"/>
  <c r="E13" i="5"/>
  <c r="G13" i="5" s="1"/>
  <c r="E10" i="6"/>
  <c r="G10" i="6" s="1"/>
  <c r="E18" i="6"/>
  <c r="G18" i="6" s="1"/>
  <c r="E30" i="13"/>
  <c r="G30" i="13" s="1"/>
  <c r="I30" i="13" s="1"/>
  <c r="E32" i="14"/>
  <c r="D22" i="18"/>
  <c r="E10" i="43"/>
  <c r="G10" i="43" s="1"/>
  <c r="J10" i="43" s="1"/>
  <c r="E18" i="43"/>
  <c r="G18" i="43" s="1"/>
  <c r="J18" i="43" s="1"/>
  <c r="E15" i="49"/>
  <c r="G15" i="49" s="1"/>
  <c r="J15" i="49" s="1"/>
  <c r="Q19" i="52"/>
  <c r="B20" i="52" s="1"/>
  <c r="E7" i="5"/>
  <c r="G7" i="5" s="1"/>
  <c r="E15" i="5"/>
  <c r="G15" i="5" s="1"/>
  <c r="E8" i="6"/>
  <c r="G8" i="6" s="1"/>
  <c r="E16" i="6"/>
  <c r="G16" i="6" s="1"/>
  <c r="C54" i="3"/>
  <c r="D20" i="9"/>
  <c r="D21" i="9" s="1"/>
  <c r="E15" i="9" s="1"/>
  <c r="G15" i="9" s="1"/>
  <c r="I15" i="9" s="1"/>
  <c r="D20" i="10"/>
  <c r="D21" i="10" s="1"/>
  <c r="E38" i="13"/>
  <c r="G38" i="13" s="1"/>
  <c r="I38" i="13" s="1"/>
  <c r="D46" i="14"/>
  <c r="M25" i="18"/>
  <c r="L27" i="24"/>
  <c r="E8" i="25"/>
  <c r="G8" i="25" s="1"/>
  <c r="E14" i="25"/>
  <c r="G14" i="25" s="1"/>
  <c r="L27" i="28"/>
  <c r="E6" i="40"/>
  <c r="G6" i="40" s="1"/>
  <c r="I6" i="40" s="1"/>
  <c r="E19" i="43"/>
  <c r="G19" i="43" s="1"/>
  <c r="J19" i="43" s="1"/>
  <c r="E9" i="49"/>
  <c r="G9" i="49" s="1"/>
  <c r="J9" i="49" s="1"/>
  <c r="E4" i="10"/>
  <c r="G4" i="10" s="1"/>
  <c r="E8" i="10"/>
  <c r="G8" i="10" s="1"/>
  <c r="E16" i="10"/>
  <c r="G16" i="10" s="1"/>
  <c r="E34" i="14"/>
  <c r="H34" i="14" s="1"/>
  <c r="J34" i="14" s="1"/>
  <c r="D22" i="38"/>
  <c r="D23" i="38" s="1"/>
  <c r="E13" i="38" s="1"/>
  <c r="G13" i="38" s="1"/>
  <c r="I13" i="38" s="1"/>
  <c r="E4" i="47"/>
  <c r="G4" i="47" s="1"/>
  <c r="J4" i="47" s="1"/>
  <c r="J21" i="47" s="1"/>
  <c r="D22" i="72"/>
  <c r="D23" i="72" s="1"/>
  <c r="E12" i="72" s="1"/>
  <c r="G12" i="72" s="1"/>
  <c r="I12" i="72" s="1"/>
  <c r="D22" i="71"/>
  <c r="D23" i="71" s="1"/>
  <c r="E9" i="71" s="1"/>
  <c r="G9" i="71" s="1"/>
  <c r="I9" i="71" s="1"/>
  <c r="D22" i="69"/>
  <c r="D23" i="69" s="1"/>
  <c r="E15" i="69" s="1"/>
  <c r="G15" i="69" s="1"/>
  <c r="I15" i="69" s="1"/>
  <c r="D22" i="68"/>
  <c r="D23" i="68" s="1"/>
  <c r="E15" i="68" s="1"/>
  <c r="G15" i="68" s="1"/>
  <c r="I15" i="68" s="1"/>
  <c r="D22" i="67"/>
  <c r="D23" i="67" s="1"/>
  <c r="E17" i="67" s="1"/>
  <c r="G17" i="67" s="1"/>
  <c r="J17" i="67" s="1"/>
  <c r="D22" i="66"/>
  <c r="D23" i="66" s="1"/>
  <c r="E20" i="66" s="1"/>
  <c r="D22" i="65"/>
  <c r="D23" i="65" s="1"/>
  <c r="D22" i="64"/>
  <c r="D23" i="64" s="1"/>
  <c r="E12" i="64" s="1"/>
  <c r="G12" i="64" s="1"/>
  <c r="J12" i="64" s="1"/>
  <c r="D22" i="63"/>
  <c r="D23" i="63" s="1"/>
  <c r="D22" i="60"/>
  <c r="D23" i="59"/>
  <c r="E20" i="59" s="1"/>
  <c r="D22" i="58"/>
  <c r="D23" i="58" s="1"/>
  <c r="D22" i="56"/>
  <c r="D23" i="56" s="1"/>
  <c r="E19" i="56" s="1"/>
  <c r="G19" i="56" s="1"/>
  <c r="J19" i="56" s="1"/>
  <c r="D22" i="55"/>
  <c r="D23" i="55" s="1"/>
  <c r="E16" i="55" s="1"/>
  <c r="G16" i="55" s="1"/>
  <c r="J16" i="55" s="1"/>
  <c r="K16" i="55" s="1"/>
  <c r="H23" i="51"/>
  <c r="D22" i="54"/>
  <c r="D23" i="54" s="1"/>
  <c r="E13" i="54" s="1"/>
  <c r="G13" i="54" s="1"/>
  <c r="J13" i="54" s="1"/>
  <c r="E9" i="8"/>
  <c r="G9" i="8" s="1"/>
  <c r="E17" i="8"/>
  <c r="G17" i="8" s="1"/>
  <c r="E14" i="10"/>
  <c r="G14" i="10" s="1"/>
  <c r="E6" i="10"/>
  <c r="G6" i="10" s="1"/>
  <c r="E11" i="10"/>
  <c r="G11" i="10" s="1"/>
  <c r="E3" i="10"/>
  <c r="G3" i="10" s="1"/>
  <c r="E13" i="10"/>
  <c r="G13" i="10" s="1"/>
  <c r="E5" i="10"/>
  <c r="G5" i="10" s="1"/>
  <c r="E10" i="10"/>
  <c r="G10" i="10" s="1"/>
  <c r="E9" i="10"/>
  <c r="G9" i="10" s="1"/>
  <c r="E18" i="10"/>
  <c r="G18" i="10" s="1"/>
  <c r="E17" i="10"/>
  <c r="G17" i="10" s="1"/>
  <c r="E8" i="7"/>
  <c r="G8" i="7" s="1"/>
  <c r="E14" i="6"/>
  <c r="G14" i="6" s="1"/>
  <c r="E6" i="6"/>
  <c r="G6" i="6" s="1"/>
  <c r="E19" i="6"/>
  <c r="G19" i="6" s="1"/>
  <c r="E11" i="6"/>
  <c r="G11" i="6" s="1"/>
  <c r="E5" i="6"/>
  <c r="G5" i="6" s="1"/>
  <c r="E9" i="6"/>
  <c r="G9" i="6" s="1"/>
  <c r="E13" i="6"/>
  <c r="G13" i="6" s="1"/>
  <c r="E17" i="6"/>
  <c r="G17" i="6" s="1"/>
  <c r="E12" i="6"/>
  <c r="G12" i="6" s="1"/>
  <c r="E10" i="8"/>
  <c r="G10" i="8" s="1"/>
  <c r="E18" i="8"/>
  <c r="G18" i="8" s="1"/>
  <c r="E12" i="10"/>
  <c r="G12" i="10" s="1"/>
  <c r="E14" i="11"/>
  <c r="G14" i="11" s="1"/>
  <c r="E6" i="11"/>
  <c r="G6" i="11" s="1"/>
  <c r="E5" i="11"/>
  <c r="G5" i="11" s="1"/>
  <c r="E18" i="11"/>
  <c r="G18" i="11" s="1"/>
  <c r="E10" i="11"/>
  <c r="G10" i="11" s="1"/>
  <c r="E13" i="11"/>
  <c r="G13" i="11" s="1"/>
  <c r="E12" i="11"/>
  <c r="G12" i="11" s="1"/>
  <c r="E13" i="14"/>
  <c r="E17" i="14"/>
  <c r="E8" i="14"/>
  <c r="H8" i="14" s="1"/>
  <c r="E12" i="14"/>
  <c r="E6" i="14"/>
  <c r="E14" i="8"/>
  <c r="G14" i="8" s="1"/>
  <c r="E4" i="7"/>
  <c r="E19" i="5"/>
  <c r="G19" i="5" s="1"/>
  <c r="E11" i="5"/>
  <c r="G11" i="5" s="1"/>
  <c r="E16" i="5"/>
  <c r="G16" i="5" s="1"/>
  <c r="E18" i="5"/>
  <c r="G18" i="5" s="1"/>
  <c r="E10" i="5"/>
  <c r="G10" i="5" s="1"/>
  <c r="E14" i="5"/>
  <c r="G14" i="5" s="1"/>
  <c r="E17" i="5"/>
  <c r="G17" i="5" s="1"/>
  <c r="E4" i="8"/>
  <c r="G4" i="8" s="1"/>
  <c r="E12" i="8"/>
  <c r="G12" i="8" s="1"/>
  <c r="E16" i="8"/>
  <c r="G16" i="8" s="1"/>
  <c r="E8" i="8"/>
  <c r="G8" i="8" s="1"/>
  <c r="E19" i="8"/>
  <c r="G19" i="8" s="1"/>
  <c r="E15" i="8"/>
  <c r="G15" i="8" s="1"/>
  <c r="E7" i="8"/>
  <c r="G7" i="8" s="1"/>
  <c r="E11" i="8"/>
  <c r="G11" i="8" s="1"/>
  <c r="E16" i="7"/>
  <c r="G16" i="7" s="1"/>
  <c r="E14" i="4"/>
  <c r="G14" i="4" s="1"/>
  <c r="E17" i="4"/>
  <c r="G17" i="4" s="1"/>
  <c r="E19" i="4"/>
  <c r="G19" i="4" s="1"/>
  <c r="E11" i="4"/>
  <c r="G11" i="4" s="1"/>
  <c r="E13" i="4"/>
  <c r="G13" i="4" s="1"/>
  <c r="E9" i="4"/>
  <c r="G9" i="4" s="1"/>
  <c r="E7" i="6"/>
  <c r="G7" i="6" s="1"/>
  <c r="E15" i="6"/>
  <c r="G15" i="6" s="1"/>
  <c r="E5" i="8"/>
  <c r="G5" i="8" s="1"/>
  <c r="E13" i="8"/>
  <c r="G13" i="8" s="1"/>
  <c r="E17" i="9"/>
  <c r="G17" i="9" s="1"/>
  <c r="I17" i="9" s="1"/>
  <c r="E11" i="9"/>
  <c r="G11" i="9" s="1"/>
  <c r="I11" i="9" s="1"/>
  <c r="E9" i="9"/>
  <c r="G9" i="9" s="1"/>
  <c r="I9" i="9" s="1"/>
  <c r="E3" i="9"/>
  <c r="G3" i="9" s="1"/>
  <c r="I3" i="9" s="1"/>
  <c r="E18" i="9"/>
  <c r="G18" i="9" s="1"/>
  <c r="I18" i="9" s="1"/>
  <c r="E12" i="9"/>
  <c r="G12" i="9" s="1"/>
  <c r="I12" i="9" s="1"/>
  <c r="E10" i="9"/>
  <c r="G10" i="9" s="1"/>
  <c r="I10" i="9" s="1"/>
  <c r="E4" i="9"/>
  <c r="G4" i="9" s="1"/>
  <c r="E7" i="10"/>
  <c r="G7" i="10" s="1"/>
  <c r="E15" i="10"/>
  <c r="G15" i="10" s="1"/>
  <c r="D21" i="7"/>
  <c r="D22" i="7" s="1"/>
  <c r="E5" i="14"/>
  <c r="E15" i="14"/>
  <c r="D37" i="3"/>
  <c r="E4" i="6"/>
  <c r="E16" i="11"/>
  <c r="G16" i="11" s="1"/>
  <c r="E35" i="13"/>
  <c r="G35" i="13" s="1"/>
  <c r="I35" i="13" s="1"/>
  <c r="E10" i="14"/>
  <c r="E4" i="11"/>
  <c r="G4" i="11" s="1"/>
  <c r="E9" i="11"/>
  <c r="G9" i="11" s="1"/>
  <c r="E17" i="11"/>
  <c r="G17" i="11" s="1"/>
  <c r="D20" i="13"/>
  <c r="D21" i="13" s="1"/>
  <c r="E5" i="13" s="1"/>
  <c r="G5" i="13" s="1"/>
  <c r="E3" i="13"/>
  <c r="E29" i="13"/>
  <c r="E42" i="13"/>
  <c r="G42" i="13" s="1"/>
  <c r="I42" i="13" s="1"/>
  <c r="E7" i="16"/>
  <c r="G7" i="16" s="1"/>
  <c r="D46" i="12"/>
  <c r="D47" i="12" s="1"/>
  <c r="E41" i="12" s="1"/>
  <c r="G41" i="12" s="1"/>
  <c r="I41" i="12" s="1"/>
  <c r="D50" i="15"/>
  <c r="D51" i="15" s="1"/>
  <c r="E35" i="15" s="1"/>
  <c r="G35" i="15" s="1"/>
  <c r="J35" i="15" s="1"/>
  <c r="E9" i="5"/>
  <c r="G9" i="5" s="1"/>
  <c r="E6" i="8"/>
  <c r="G6" i="8" s="1"/>
  <c r="E8" i="11"/>
  <c r="G8" i="11" s="1"/>
  <c r="E32" i="13"/>
  <c r="G32" i="13" s="1"/>
  <c r="I32" i="13" s="1"/>
  <c r="E5" i="12"/>
  <c r="G5" i="12" s="1"/>
  <c r="E36" i="13"/>
  <c r="G36" i="13" s="1"/>
  <c r="I36" i="13" s="1"/>
  <c r="E39" i="13"/>
  <c r="G39" i="13" s="1"/>
  <c r="I39" i="13" s="1"/>
  <c r="F74" i="15"/>
  <c r="F76" i="15" s="1"/>
  <c r="D23" i="18"/>
  <c r="E7" i="18" s="1"/>
  <c r="G7" i="18" s="1"/>
  <c r="E7" i="14"/>
  <c r="E15" i="12"/>
  <c r="G15" i="12" s="1"/>
  <c r="D20" i="12"/>
  <c r="D21" i="12" s="1"/>
  <c r="E12" i="12" s="1"/>
  <c r="G12" i="12" s="1"/>
  <c r="E14" i="13"/>
  <c r="G14" i="13" s="1"/>
  <c r="E40" i="13"/>
  <c r="G40" i="13" s="1"/>
  <c r="I40" i="13" s="1"/>
  <c r="E43" i="13"/>
  <c r="G43" i="13" s="1"/>
  <c r="I43" i="13" s="1"/>
  <c r="E18" i="14"/>
  <c r="E6" i="18"/>
  <c r="G6" i="18" s="1"/>
  <c r="E7" i="13"/>
  <c r="G7" i="13" s="1"/>
  <c r="E3" i="14"/>
  <c r="E43" i="14"/>
  <c r="E41" i="14"/>
  <c r="E37" i="14"/>
  <c r="E35" i="14"/>
  <c r="E33" i="14"/>
  <c r="E29" i="14"/>
  <c r="E39" i="15"/>
  <c r="G39" i="15" s="1"/>
  <c r="J39" i="15" s="1"/>
  <c r="E12" i="18"/>
  <c r="G12" i="18" s="1"/>
  <c r="E34" i="13"/>
  <c r="G34" i="13" s="1"/>
  <c r="I34" i="13" s="1"/>
  <c r="E37" i="13"/>
  <c r="G37" i="13" s="1"/>
  <c r="I37" i="13" s="1"/>
  <c r="D22" i="15"/>
  <c r="D23" i="15" s="1"/>
  <c r="E3" i="11"/>
  <c r="G3" i="11" s="1"/>
  <c r="E7" i="11"/>
  <c r="G7" i="11" s="1"/>
  <c r="E11" i="11"/>
  <c r="G11" i="11" s="1"/>
  <c r="E15" i="11"/>
  <c r="G15" i="11" s="1"/>
  <c r="E7" i="12"/>
  <c r="G7" i="12" s="1"/>
  <c r="E44" i="13"/>
  <c r="G44" i="13" s="1"/>
  <c r="I44" i="13" s="1"/>
  <c r="E9" i="14"/>
  <c r="E14" i="14"/>
  <c r="D22" i="19"/>
  <c r="D23" i="19" s="1"/>
  <c r="E5" i="19" s="1"/>
  <c r="E10" i="20"/>
  <c r="G10" i="20" s="1"/>
  <c r="D21" i="23"/>
  <c r="D22" i="23" s="1"/>
  <c r="E4" i="23" s="1"/>
  <c r="E17" i="23"/>
  <c r="G17" i="23" s="1"/>
  <c r="E9" i="28"/>
  <c r="G9" i="28" s="1"/>
  <c r="D22" i="51"/>
  <c r="D23" i="51" s="1"/>
  <c r="E16" i="51" s="1"/>
  <c r="G16" i="51" s="1"/>
  <c r="J16" i="51" s="1"/>
  <c r="E5" i="23"/>
  <c r="G5" i="23" s="1"/>
  <c r="E19" i="25"/>
  <c r="G19" i="25" s="1"/>
  <c r="E9" i="25"/>
  <c r="G9" i="25" s="1"/>
  <c r="E7" i="25"/>
  <c r="G7" i="25" s="1"/>
  <c r="D21" i="27"/>
  <c r="D22" i="27" s="1"/>
  <c r="E16" i="27" s="1"/>
  <c r="G16" i="27" s="1"/>
  <c r="I21" i="37"/>
  <c r="D22" i="41"/>
  <c r="D23" i="41" s="1"/>
  <c r="E8" i="41" s="1"/>
  <c r="G8" i="41" s="1"/>
  <c r="I8" i="41" s="1"/>
  <c r="M22" i="16"/>
  <c r="E16" i="18"/>
  <c r="G16" i="18" s="1"/>
  <c r="E6" i="20"/>
  <c r="G6" i="20" s="1"/>
  <c r="D23" i="20"/>
  <c r="E19" i="20" s="1"/>
  <c r="G19" i="20" s="1"/>
  <c r="D21" i="22"/>
  <c r="D22" i="22" s="1"/>
  <c r="E13" i="22" s="1"/>
  <c r="G13" i="22" s="1"/>
  <c r="E9" i="23"/>
  <c r="G9" i="23" s="1"/>
  <c r="E5" i="25"/>
  <c r="G5" i="25" s="1"/>
  <c r="E14" i="26"/>
  <c r="G14" i="26" s="1"/>
  <c r="D21" i="28"/>
  <c r="D22" i="28" s="1"/>
  <c r="E17" i="28" s="1"/>
  <c r="G17" i="28" s="1"/>
  <c r="E19" i="38"/>
  <c r="G19" i="38" s="1"/>
  <c r="I19" i="38" s="1"/>
  <c r="E17" i="38"/>
  <c r="G17" i="38" s="1"/>
  <c r="I17" i="38" s="1"/>
  <c r="E15" i="38"/>
  <c r="G15" i="38" s="1"/>
  <c r="I15" i="38" s="1"/>
  <c r="E11" i="38"/>
  <c r="G11" i="38" s="1"/>
  <c r="I11" i="38" s="1"/>
  <c r="E9" i="38"/>
  <c r="G9" i="38" s="1"/>
  <c r="I9" i="38" s="1"/>
  <c r="E7" i="38"/>
  <c r="G7" i="38" s="1"/>
  <c r="I7" i="38" s="1"/>
  <c r="E18" i="38"/>
  <c r="G18" i="38" s="1"/>
  <c r="I18" i="38" s="1"/>
  <c r="E16" i="38"/>
  <c r="G16" i="38" s="1"/>
  <c r="I16" i="38" s="1"/>
  <c r="E14" i="38"/>
  <c r="G14" i="38" s="1"/>
  <c r="I14" i="38" s="1"/>
  <c r="E10" i="38"/>
  <c r="G10" i="38" s="1"/>
  <c r="I10" i="38" s="1"/>
  <c r="E8" i="38"/>
  <c r="G8" i="38" s="1"/>
  <c r="I8" i="38" s="1"/>
  <c r="E6" i="38"/>
  <c r="G6" i="38" s="1"/>
  <c r="I6" i="38" s="1"/>
  <c r="E13" i="46"/>
  <c r="G13" i="46" s="1"/>
  <c r="J13" i="46" s="1"/>
  <c r="E5" i="46"/>
  <c r="G5" i="46" s="1"/>
  <c r="J5" i="46" s="1"/>
  <c r="E18" i="46"/>
  <c r="G18" i="46" s="1"/>
  <c r="J18" i="46" s="1"/>
  <c r="E10" i="46"/>
  <c r="G10" i="46" s="1"/>
  <c r="J10" i="46" s="1"/>
  <c r="E15" i="46"/>
  <c r="G15" i="46" s="1"/>
  <c r="J15" i="46" s="1"/>
  <c r="E7" i="46"/>
  <c r="G7" i="46" s="1"/>
  <c r="J7" i="46" s="1"/>
  <c r="E12" i="46"/>
  <c r="G12" i="46" s="1"/>
  <c r="J12" i="46" s="1"/>
  <c r="E4" i="46"/>
  <c r="E17" i="46"/>
  <c r="G17" i="46" s="1"/>
  <c r="J17" i="46" s="1"/>
  <c r="E9" i="46"/>
  <c r="G9" i="46" s="1"/>
  <c r="J9" i="46" s="1"/>
  <c r="E14" i="46"/>
  <c r="G14" i="46" s="1"/>
  <c r="J14" i="46" s="1"/>
  <c r="E6" i="46"/>
  <c r="G6" i="46" s="1"/>
  <c r="J6" i="46" s="1"/>
  <c r="E11" i="46"/>
  <c r="G11" i="46" s="1"/>
  <c r="J11" i="46" s="1"/>
  <c r="E16" i="46"/>
  <c r="G16" i="46" s="1"/>
  <c r="J16" i="46" s="1"/>
  <c r="E19" i="46"/>
  <c r="G19" i="46" s="1"/>
  <c r="J19" i="46" s="1"/>
  <c r="E8" i="46"/>
  <c r="G8" i="46" s="1"/>
  <c r="J8" i="46" s="1"/>
  <c r="E7" i="35"/>
  <c r="G7" i="35" s="1"/>
  <c r="I7" i="35" s="1"/>
  <c r="E16" i="44"/>
  <c r="G16" i="44" s="1"/>
  <c r="J16" i="44" s="1"/>
  <c r="K16" i="44" s="1"/>
  <c r="E8" i="18"/>
  <c r="G8" i="18" s="1"/>
  <c r="E17" i="18"/>
  <c r="G17" i="18" s="1"/>
  <c r="E10" i="19"/>
  <c r="G10" i="19" s="1"/>
  <c r="E11" i="20"/>
  <c r="G11" i="20" s="1"/>
  <c r="E15" i="23"/>
  <c r="G15" i="23" s="1"/>
  <c r="E6" i="28"/>
  <c r="G6" i="28" s="1"/>
  <c r="D22" i="36"/>
  <c r="D23" i="36" s="1"/>
  <c r="E5" i="36" s="1"/>
  <c r="G5" i="36" s="1"/>
  <c r="I5" i="36" s="1"/>
  <c r="D22" i="16"/>
  <c r="D23" i="16" s="1"/>
  <c r="E17" i="16" s="1"/>
  <c r="G17" i="16" s="1"/>
  <c r="E15" i="16"/>
  <c r="G15" i="16" s="1"/>
  <c r="D22" i="17"/>
  <c r="D23" i="17" s="1"/>
  <c r="E13" i="17" s="1"/>
  <c r="G13" i="17" s="1"/>
  <c r="D22" i="21"/>
  <c r="D23" i="21" s="1"/>
  <c r="D21" i="24"/>
  <c r="D22" i="24" s="1"/>
  <c r="E16" i="24" s="1"/>
  <c r="G16" i="24" s="1"/>
  <c r="E19" i="28"/>
  <c r="G19" i="28" s="1"/>
  <c r="D22" i="34"/>
  <c r="D23" i="34" s="1"/>
  <c r="E11" i="34" s="1"/>
  <c r="G11" i="34" s="1"/>
  <c r="I11" i="34" s="1"/>
  <c r="D22" i="37"/>
  <c r="D23" i="37" s="1"/>
  <c r="E9" i="18"/>
  <c r="G9" i="18" s="1"/>
  <c r="E15" i="24"/>
  <c r="G15" i="24" s="1"/>
  <c r="E17" i="41"/>
  <c r="G17" i="41" s="1"/>
  <c r="I17" i="41" s="1"/>
  <c r="E4" i="25"/>
  <c r="E13" i="25"/>
  <c r="G13" i="25" s="1"/>
  <c r="L27" i="27"/>
  <c r="E7" i="28"/>
  <c r="G7" i="28" s="1"/>
  <c r="E18" i="25"/>
  <c r="G18" i="25" s="1"/>
  <c r="E8" i="28"/>
  <c r="K26" i="29"/>
  <c r="E6" i="32"/>
  <c r="G6" i="32" s="1"/>
  <c r="D22" i="33"/>
  <c r="D23" i="33" s="1"/>
  <c r="E19" i="33" s="1"/>
  <c r="G19" i="33" s="1"/>
  <c r="E6" i="25"/>
  <c r="G6" i="25" s="1"/>
  <c r="E10" i="25"/>
  <c r="G10" i="25" s="1"/>
  <c r="D21" i="26"/>
  <c r="D22" i="26" s="1"/>
  <c r="E17" i="26"/>
  <c r="G17" i="26" s="1"/>
  <c r="D22" i="30"/>
  <c r="D23" i="30" s="1"/>
  <c r="E16" i="30" s="1"/>
  <c r="G16" i="30" s="1"/>
  <c r="E15" i="37"/>
  <c r="E11" i="25"/>
  <c r="G11" i="25" s="1"/>
  <c r="E15" i="25"/>
  <c r="G15" i="25" s="1"/>
  <c r="D22" i="35"/>
  <c r="D23" i="35" s="1"/>
  <c r="E5" i="35" s="1"/>
  <c r="G5" i="35" s="1"/>
  <c r="I5" i="35" s="1"/>
  <c r="E7" i="43"/>
  <c r="G7" i="43" s="1"/>
  <c r="J7" i="43" s="1"/>
  <c r="E15" i="43"/>
  <c r="G15" i="43" s="1"/>
  <c r="J15" i="43" s="1"/>
  <c r="D22" i="45"/>
  <c r="D23" i="45" s="1"/>
  <c r="E4" i="45" s="1"/>
  <c r="E16" i="25"/>
  <c r="G16" i="25" s="1"/>
  <c r="E10" i="28"/>
  <c r="G10" i="28" s="1"/>
  <c r="E8" i="32"/>
  <c r="D22" i="32"/>
  <c r="D23" i="32" s="1"/>
  <c r="E19" i="32" s="1"/>
  <c r="G19" i="32" s="1"/>
  <c r="E14" i="43"/>
  <c r="G14" i="43" s="1"/>
  <c r="J14" i="43" s="1"/>
  <c r="E11" i="43"/>
  <c r="G11" i="43" s="1"/>
  <c r="J11" i="43" s="1"/>
  <c r="E16" i="43"/>
  <c r="G16" i="43" s="1"/>
  <c r="J16" i="43" s="1"/>
  <c r="E13" i="43"/>
  <c r="G13" i="43" s="1"/>
  <c r="J13" i="43" s="1"/>
  <c r="E8" i="43"/>
  <c r="G8" i="43" s="1"/>
  <c r="J8" i="43" s="1"/>
  <c r="D22" i="29"/>
  <c r="D23" i="29" s="1"/>
  <c r="E19" i="29" s="1"/>
  <c r="G19" i="29" s="1"/>
  <c r="D22" i="31"/>
  <c r="D23" i="31" s="1"/>
  <c r="E18" i="31" s="1"/>
  <c r="G18" i="31" s="1"/>
  <c r="E12" i="44"/>
  <c r="G12" i="44" s="1"/>
  <c r="J12" i="44" s="1"/>
  <c r="K12" i="44" s="1"/>
  <c r="H23" i="50"/>
  <c r="P28" i="50"/>
  <c r="P29" i="50" s="1"/>
  <c r="E18" i="34"/>
  <c r="G18" i="34" s="1"/>
  <c r="I18" i="34" s="1"/>
  <c r="H23" i="39"/>
  <c r="E19" i="40"/>
  <c r="G19" i="40" s="1"/>
  <c r="I19" i="40" s="1"/>
  <c r="E17" i="40"/>
  <c r="G17" i="40" s="1"/>
  <c r="I17" i="40" s="1"/>
  <c r="E15" i="40"/>
  <c r="G15" i="40" s="1"/>
  <c r="I15" i="40" s="1"/>
  <c r="E13" i="40"/>
  <c r="G13" i="40" s="1"/>
  <c r="I13" i="40" s="1"/>
  <c r="E11" i="40"/>
  <c r="G11" i="40" s="1"/>
  <c r="I11" i="40" s="1"/>
  <c r="E9" i="40"/>
  <c r="G9" i="40" s="1"/>
  <c r="I9" i="40" s="1"/>
  <c r="E7" i="40"/>
  <c r="G7" i="40" s="1"/>
  <c r="I7" i="40" s="1"/>
  <c r="E5" i="40"/>
  <c r="G5" i="40" s="1"/>
  <c r="I5" i="40" s="1"/>
  <c r="E18" i="40"/>
  <c r="G18" i="40" s="1"/>
  <c r="I18" i="40" s="1"/>
  <c r="E16" i="40"/>
  <c r="G16" i="40" s="1"/>
  <c r="I16" i="40" s="1"/>
  <c r="E14" i="40"/>
  <c r="G14" i="40" s="1"/>
  <c r="I14" i="40" s="1"/>
  <c r="E12" i="40"/>
  <c r="G12" i="40" s="1"/>
  <c r="I12" i="40" s="1"/>
  <c r="E10" i="40"/>
  <c r="G10" i="40" s="1"/>
  <c r="I10" i="40" s="1"/>
  <c r="E6" i="43"/>
  <c r="G6" i="43" s="1"/>
  <c r="J6" i="43" s="1"/>
  <c r="E12" i="43"/>
  <c r="G12" i="43" s="1"/>
  <c r="J12" i="43" s="1"/>
  <c r="E10" i="45"/>
  <c r="G10" i="45" s="1"/>
  <c r="J10" i="45" s="1"/>
  <c r="E7" i="34"/>
  <c r="G7" i="34" s="1"/>
  <c r="I7" i="34" s="1"/>
  <c r="H23" i="40"/>
  <c r="F27" i="40"/>
  <c r="E15" i="41"/>
  <c r="G15" i="41" s="1"/>
  <c r="I15" i="41" s="1"/>
  <c r="E13" i="48"/>
  <c r="G13" i="48" s="1"/>
  <c r="J13" i="48" s="1"/>
  <c r="E13" i="34"/>
  <c r="G13" i="34" s="1"/>
  <c r="I13" i="34" s="1"/>
  <c r="D22" i="44"/>
  <c r="D23" i="44" s="1"/>
  <c r="E4" i="44" s="1"/>
  <c r="E5" i="34"/>
  <c r="G5" i="34" s="1"/>
  <c r="I5" i="34" s="1"/>
  <c r="E4" i="40"/>
  <c r="E4" i="43"/>
  <c r="E9" i="43"/>
  <c r="G9" i="43" s="1"/>
  <c r="J9" i="43" s="1"/>
  <c r="D22" i="39"/>
  <c r="D23" i="39" s="1"/>
  <c r="E17" i="39" s="1"/>
  <c r="G17" i="39" s="1"/>
  <c r="I17" i="39" s="1"/>
  <c r="E14" i="45"/>
  <c r="G14" i="45" s="1"/>
  <c r="J14" i="45" s="1"/>
  <c r="E17" i="45"/>
  <c r="G17" i="45" s="1"/>
  <c r="J17" i="45" s="1"/>
  <c r="E11" i="47"/>
  <c r="G11" i="47" s="1"/>
  <c r="J11" i="47" s="1"/>
  <c r="E14" i="47"/>
  <c r="G14" i="47" s="1"/>
  <c r="J14" i="47" s="1"/>
  <c r="E17" i="47"/>
  <c r="G17" i="47" s="1"/>
  <c r="J17" i="47" s="1"/>
  <c r="E9" i="48"/>
  <c r="G9" i="48" s="1"/>
  <c r="J9" i="48" s="1"/>
  <c r="E14" i="48"/>
  <c r="G14" i="48" s="1"/>
  <c r="J14" i="48" s="1"/>
  <c r="E6" i="49"/>
  <c r="G6" i="49" s="1"/>
  <c r="J6" i="49" s="1"/>
  <c r="E19" i="49"/>
  <c r="G19" i="49" s="1"/>
  <c r="J19" i="49" s="1"/>
  <c r="E14" i="44"/>
  <c r="G14" i="44" s="1"/>
  <c r="J14" i="44" s="1"/>
  <c r="K14" i="44" s="1"/>
  <c r="E6" i="47"/>
  <c r="G6" i="47" s="1"/>
  <c r="J6" i="47" s="1"/>
  <c r="D22" i="48"/>
  <c r="D23" i="48" s="1"/>
  <c r="E10" i="48" s="1"/>
  <c r="G10" i="48" s="1"/>
  <c r="J10" i="48" s="1"/>
  <c r="E13" i="49"/>
  <c r="G13" i="49" s="1"/>
  <c r="J13" i="49" s="1"/>
  <c r="E16" i="49"/>
  <c r="G16" i="49" s="1"/>
  <c r="J16" i="49" s="1"/>
  <c r="E7" i="49"/>
  <c r="G7" i="49" s="1"/>
  <c r="J7" i="49" s="1"/>
  <c r="E10" i="49"/>
  <c r="G10" i="49" s="1"/>
  <c r="J10" i="49" s="1"/>
  <c r="E11" i="50"/>
  <c r="G11" i="50" s="1"/>
  <c r="J11" i="50" s="1"/>
  <c r="E12" i="45"/>
  <c r="G12" i="45" s="1"/>
  <c r="J12" i="45" s="1"/>
  <c r="E11" i="48"/>
  <c r="G11" i="48" s="1"/>
  <c r="J11" i="48" s="1"/>
  <c r="E16" i="48"/>
  <c r="G16" i="48" s="1"/>
  <c r="J16" i="48" s="1"/>
  <c r="E4" i="49"/>
  <c r="E17" i="49"/>
  <c r="G17" i="49" s="1"/>
  <c r="J17" i="49" s="1"/>
  <c r="D22" i="42"/>
  <c r="D23" i="42" s="1"/>
  <c r="E13" i="42" s="1"/>
  <c r="G13" i="42" s="1"/>
  <c r="I13" i="42" s="1"/>
  <c r="E6" i="45"/>
  <c r="G6" i="45" s="1"/>
  <c r="J6" i="45" s="1"/>
  <c r="E6" i="48"/>
  <c r="G6" i="48" s="1"/>
  <c r="J6" i="48" s="1"/>
  <c r="E17" i="48"/>
  <c r="G17" i="48" s="1"/>
  <c r="J17" i="48" s="1"/>
  <c r="E11" i="49"/>
  <c r="G11" i="49" s="1"/>
  <c r="J11" i="49" s="1"/>
  <c r="E14" i="49"/>
  <c r="G14" i="49" s="1"/>
  <c r="J14" i="49" s="1"/>
  <c r="E19" i="45"/>
  <c r="G19" i="45" s="1"/>
  <c r="J19" i="45" s="1"/>
  <c r="E7" i="48"/>
  <c r="G7" i="48" s="1"/>
  <c r="J7" i="48" s="1"/>
  <c r="E12" i="48"/>
  <c r="G12" i="48" s="1"/>
  <c r="J12" i="48" s="1"/>
  <c r="E5" i="49"/>
  <c r="G5" i="49" s="1"/>
  <c r="J5" i="49" s="1"/>
  <c r="D22" i="50"/>
  <c r="D23" i="50" s="1"/>
  <c r="E9" i="50" s="1"/>
  <c r="G9" i="50" s="1"/>
  <c r="J9" i="50" s="1"/>
  <c r="E19" i="77" l="1"/>
  <c r="G19" i="77" s="1"/>
  <c r="I19" i="77" s="1"/>
  <c r="E17" i="77"/>
  <c r="G17" i="77" s="1"/>
  <c r="I17" i="77" s="1"/>
  <c r="E14" i="77"/>
  <c r="G14" i="77" s="1"/>
  <c r="I14" i="77" s="1"/>
  <c r="E12" i="77"/>
  <c r="G12" i="77" s="1"/>
  <c r="I12" i="77" s="1"/>
  <c r="E10" i="77"/>
  <c r="G10" i="77" s="1"/>
  <c r="I10" i="77" s="1"/>
  <c r="E8" i="77"/>
  <c r="G8" i="77" s="1"/>
  <c r="I8" i="77" s="1"/>
  <c r="E6" i="77"/>
  <c r="G6" i="77" s="1"/>
  <c r="I6" i="77" s="1"/>
  <c r="E4" i="77"/>
  <c r="E20" i="77"/>
  <c r="E18" i="77"/>
  <c r="G18" i="77" s="1"/>
  <c r="I18" i="77" s="1"/>
  <c r="E16" i="77"/>
  <c r="G16" i="77" s="1"/>
  <c r="I16" i="77" s="1"/>
  <c r="E15" i="77"/>
  <c r="G15" i="77" s="1"/>
  <c r="I15" i="77" s="1"/>
  <c r="E13" i="77"/>
  <c r="G13" i="77" s="1"/>
  <c r="I13" i="77" s="1"/>
  <c r="E11" i="77"/>
  <c r="G11" i="77" s="1"/>
  <c r="I11" i="77" s="1"/>
  <c r="E9" i="77"/>
  <c r="G9" i="77" s="1"/>
  <c r="I9" i="77" s="1"/>
  <c r="E7" i="77"/>
  <c r="G7" i="77" s="1"/>
  <c r="I7" i="77" s="1"/>
  <c r="E5" i="77"/>
  <c r="G5" i="77" s="1"/>
  <c r="I5" i="77" s="1"/>
  <c r="E12" i="76"/>
  <c r="G12" i="76" s="1"/>
  <c r="I12" i="76" s="1"/>
  <c r="E16" i="76"/>
  <c r="G16" i="76" s="1"/>
  <c r="I16" i="76" s="1"/>
  <c r="E7" i="76"/>
  <c r="G7" i="76" s="1"/>
  <c r="I7" i="76" s="1"/>
  <c r="E18" i="76"/>
  <c r="G18" i="76" s="1"/>
  <c r="I18" i="76" s="1"/>
  <c r="E17" i="76"/>
  <c r="G17" i="76" s="1"/>
  <c r="I17" i="76" s="1"/>
  <c r="E14" i="76"/>
  <c r="G14" i="76" s="1"/>
  <c r="I14" i="76" s="1"/>
  <c r="E5" i="76"/>
  <c r="G5" i="76" s="1"/>
  <c r="I5" i="76" s="1"/>
  <c r="E4" i="76"/>
  <c r="E10" i="76"/>
  <c r="G10" i="76" s="1"/>
  <c r="I10" i="76" s="1"/>
  <c r="E8" i="76"/>
  <c r="G8" i="76" s="1"/>
  <c r="I8" i="76" s="1"/>
  <c r="E13" i="76"/>
  <c r="G13" i="76" s="1"/>
  <c r="I13" i="76" s="1"/>
  <c r="E19" i="76"/>
  <c r="G19" i="76" s="1"/>
  <c r="I19" i="76" s="1"/>
  <c r="E6" i="76"/>
  <c r="G6" i="76" s="1"/>
  <c r="I6" i="76" s="1"/>
  <c r="E15" i="76"/>
  <c r="G15" i="76" s="1"/>
  <c r="I15" i="76" s="1"/>
  <c r="E9" i="76"/>
  <c r="G9" i="76" s="1"/>
  <c r="I9" i="76" s="1"/>
  <c r="E11" i="76"/>
  <c r="G11" i="76" s="1"/>
  <c r="I11" i="76" s="1"/>
  <c r="E5" i="75"/>
  <c r="G5" i="75" s="1"/>
  <c r="I5" i="75" s="1"/>
  <c r="E12" i="75"/>
  <c r="G12" i="75" s="1"/>
  <c r="I12" i="75" s="1"/>
  <c r="E4" i="75"/>
  <c r="G4" i="75" s="1"/>
  <c r="I4" i="75" s="1"/>
  <c r="E11" i="75"/>
  <c r="G11" i="75" s="1"/>
  <c r="I11" i="75" s="1"/>
  <c r="E17" i="75"/>
  <c r="G17" i="75" s="1"/>
  <c r="I17" i="75" s="1"/>
  <c r="E10" i="75"/>
  <c r="G10" i="75" s="1"/>
  <c r="I10" i="75" s="1"/>
  <c r="E8" i="75"/>
  <c r="G8" i="75" s="1"/>
  <c r="I8" i="75" s="1"/>
  <c r="E7" i="75"/>
  <c r="G7" i="75" s="1"/>
  <c r="I7" i="75" s="1"/>
  <c r="E6" i="75"/>
  <c r="G6" i="75" s="1"/>
  <c r="I6" i="75" s="1"/>
  <c r="E13" i="75"/>
  <c r="G13" i="75" s="1"/>
  <c r="I13" i="75" s="1"/>
  <c r="E20" i="75"/>
  <c r="E19" i="75"/>
  <c r="G19" i="75" s="1"/>
  <c r="I19" i="75" s="1"/>
  <c r="E18" i="75"/>
  <c r="G18" i="75" s="1"/>
  <c r="I18" i="75" s="1"/>
  <c r="E9" i="75"/>
  <c r="G9" i="75" s="1"/>
  <c r="I9" i="75" s="1"/>
  <c r="E16" i="75"/>
  <c r="G16" i="75" s="1"/>
  <c r="I16" i="75" s="1"/>
  <c r="E15" i="75"/>
  <c r="G15" i="75" s="1"/>
  <c r="I15" i="75" s="1"/>
  <c r="E14" i="75"/>
  <c r="G14" i="75" s="1"/>
  <c r="I14" i="75" s="1"/>
  <c r="E12" i="74"/>
  <c r="G12" i="74" s="1"/>
  <c r="I12" i="74" s="1"/>
  <c r="E18" i="74"/>
  <c r="G18" i="74" s="1"/>
  <c r="I18" i="74" s="1"/>
  <c r="E6" i="74"/>
  <c r="G6" i="74" s="1"/>
  <c r="I6" i="74" s="1"/>
  <c r="E19" i="74"/>
  <c r="G19" i="74" s="1"/>
  <c r="I19" i="74" s="1"/>
  <c r="E20" i="74"/>
  <c r="E10" i="74"/>
  <c r="G10" i="74" s="1"/>
  <c r="I10" i="74" s="1"/>
  <c r="E15" i="74"/>
  <c r="G15" i="74" s="1"/>
  <c r="I15" i="74" s="1"/>
  <c r="E13" i="74"/>
  <c r="G13" i="74" s="1"/>
  <c r="I13" i="74" s="1"/>
  <c r="E4" i="74"/>
  <c r="G4" i="74" s="1"/>
  <c r="I4" i="74" s="1"/>
  <c r="E16" i="74"/>
  <c r="G16" i="74" s="1"/>
  <c r="I16" i="74" s="1"/>
  <c r="E5" i="74"/>
  <c r="G5" i="74" s="1"/>
  <c r="I5" i="74" s="1"/>
  <c r="E7" i="74"/>
  <c r="G7" i="74" s="1"/>
  <c r="I7" i="74" s="1"/>
  <c r="E14" i="74"/>
  <c r="G14" i="74" s="1"/>
  <c r="I14" i="74" s="1"/>
  <c r="E17" i="74"/>
  <c r="G17" i="74" s="1"/>
  <c r="I17" i="74" s="1"/>
  <c r="E8" i="74"/>
  <c r="G8" i="74" s="1"/>
  <c r="I8" i="74" s="1"/>
  <c r="E9" i="74"/>
  <c r="G9" i="74" s="1"/>
  <c r="I9" i="74" s="1"/>
  <c r="E7" i="73"/>
  <c r="G7" i="73" s="1"/>
  <c r="I7" i="73" s="1"/>
  <c r="E13" i="73"/>
  <c r="G13" i="73" s="1"/>
  <c r="I13" i="73" s="1"/>
  <c r="E19" i="73"/>
  <c r="G19" i="73" s="1"/>
  <c r="I19" i="73" s="1"/>
  <c r="E20" i="73"/>
  <c r="E18" i="73"/>
  <c r="G18" i="73" s="1"/>
  <c r="I18" i="73" s="1"/>
  <c r="E4" i="73"/>
  <c r="E9" i="73"/>
  <c r="G9" i="73" s="1"/>
  <c r="I9" i="73" s="1"/>
  <c r="E16" i="73"/>
  <c r="G16" i="73" s="1"/>
  <c r="I16" i="73" s="1"/>
  <c r="E10" i="73"/>
  <c r="G10" i="73" s="1"/>
  <c r="I10" i="73" s="1"/>
  <c r="E15" i="73"/>
  <c r="G15" i="73" s="1"/>
  <c r="I15" i="73" s="1"/>
  <c r="E5" i="73"/>
  <c r="G5" i="73" s="1"/>
  <c r="I5" i="73" s="1"/>
  <c r="E12" i="73"/>
  <c r="G12" i="73" s="1"/>
  <c r="I12" i="73" s="1"/>
  <c r="E6" i="73"/>
  <c r="G6" i="73" s="1"/>
  <c r="I6" i="73" s="1"/>
  <c r="E11" i="73"/>
  <c r="G11" i="73" s="1"/>
  <c r="I11" i="73" s="1"/>
  <c r="E17" i="73"/>
  <c r="G17" i="73" s="1"/>
  <c r="I17" i="73" s="1"/>
  <c r="E14" i="73"/>
  <c r="G14" i="73" s="1"/>
  <c r="I14" i="73" s="1"/>
  <c r="E8" i="73"/>
  <c r="G8" i="73" s="1"/>
  <c r="I8" i="73" s="1"/>
  <c r="E8" i="42"/>
  <c r="G8" i="42" s="1"/>
  <c r="I8" i="42" s="1"/>
  <c r="E12" i="42"/>
  <c r="G12" i="42" s="1"/>
  <c r="I12" i="42" s="1"/>
  <c r="E7" i="50"/>
  <c r="G7" i="50" s="1"/>
  <c r="J7" i="50" s="1"/>
  <c r="E16" i="34"/>
  <c r="G16" i="34" s="1"/>
  <c r="I16" i="34" s="1"/>
  <c r="E19" i="34"/>
  <c r="G19" i="34" s="1"/>
  <c r="I19" i="34" s="1"/>
  <c r="E8" i="27"/>
  <c r="E17" i="32"/>
  <c r="G17" i="32" s="1"/>
  <c r="E13" i="41"/>
  <c r="G13" i="41" s="1"/>
  <c r="I13" i="41" s="1"/>
  <c r="E9" i="33"/>
  <c r="G9" i="33" s="1"/>
  <c r="E5" i="29"/>
  <c r="G5" i="29" s="1"/>
  <c r="E8" i="33"/>
  <c r="G8" i="33" s="1"/>
  <c r="E13" i="33"/>
  <c r="G13" i="33" s="1"/>
  <c r="E11" i="19"/>
  <c r="G11" i="19" s="1"/>
  <c r="E13" i="27"/>
  <c r="G13" i="27" s="1"/>
  <c r="E18" i="17"/>
  <c r="G18" i="17" s="1"/>
  <c r="E17" i="22"/>
  <c r="G17" i="22" s="1"/>
  <c r="E16" i="22"/>
  <c r="G16" i="22" s="1"/>
  <c r="E14" i="20"/>
  <c r="G14" i="20" s="1"/>
  <c r="E5" i="27"/>
  <c r="G5" i="27" s="1"/>
  <c r="E13" i="20"/>
  <c r="G13" i="20" s="1"/>
  <c r="E34" i="15"/>
  <c r="G34" i="15" s="1"/>
  <c r="J34" i="15" s="1"/>
  <c r="E8" i="20"/>
  <c r="G8" i="20" s="1"/>
  <c r="E6" i="16"/>
  <c r="G6" i="16" s="1"/>
  <c r="E10" i="18"/>
  <c r="G10" i="18" s="1"/>
  <c r="E4" i="12"/>
  <c r="G4" i="12" s="1"/>
  <c r="E36" i="15"/>
  <c r="G36" i="15" s="1"/>
  <c r="J36" i="15" s="1"/>
  <c r="E6" i="60"/>
  <c r="G6" i="60" s="1"/>
  <c r="J6" i="60" s="1"/>
  <c r="E30" i="14"/>
  <c r="H30" i="14" s="1"/>
  <c r="J30" i="14" s="1"/>
  <c r="E44" i="14"/>
  <c r="E4" i="5"/>
  <c r="G4" i="5" s="1"/>
  <c r="E7" i="29"/>
  <c r="G7" i="29" s="1"/>
  <c r="E10" i="17"/>
  <c r="G10" i="17" s="1"/>
  <c r="E16" i="41"/>
  <c r="G16" i="41" s="1"/>
  <c r="I16" i="41" s="1"/>
  <c r="E13" i="50"/>
  <c r="G13" i="50" s="1"/>
  <c r="J13" i="50" s="1"/>
  <c r="E10" i="34"/>
  <c r="G10" i="34" s="1"/>
  <c r="I10" i="34" s="1"/>
  <c r="E5" i="41"/>
  <c r="G5" i="41" s="1"/>
  <c r="I5" i="41" s="1"/>
  <c r="E9" i="34"/>
  <c r="G9" i="34" s="1"/>
  <c r="I9" i="34" s="1"/>
  <c r="E7" i="42"/>
  <c r="G7" i="42" s="1"/>
  <c r="I7" i="42" s="1"/>
  <c r="E19" i="36"/>
  <c r="G19" i="36" s="1"/>
  <c r="I19" i="36" s="1"/>
  <c r="E14" i="34"/>
  <c r="G14" i="34" s="1"/>
  <c r="I14" i="34" s="1"/>
  <c r="E10" i="24"/>
  <c r="G10" i="24" s="1"/>
  <c r="E9" i="41"/>
  <c r="G9" i="41" s="1"/>
  <c r="I9" i="41" s="1"/>
  <c r="E14" i="22"/>
  <c r="G14" i="22" s="1"/>
  <c r="E9" i="17"/>
  <c r="G9" i="17" s="1"/>
  <c r="E17" i="17"/>
  <c r="G17" i="17" s="1"/>
  <c r="E12" i="41"/>
  <c r="G12" i="41" s="1"/>
  <c r="I12" i="41" s="1"/>
  <c r="E18" i="20"/>
  <c r="G18" i="20" s="1"/>
  <c r="E41" i="15"/>
  <c r="G41" i="15" s="1"/>
  <c r="J41" i="15" s="1"/>
  <c r="E48" i="15"/>
  <c r="G48" i="15" s="1"/>
  <c r="J48" i="15" s="1"/>
  <c r="E46" i="15"/>
  <c r="G46" i="15" s="1"/>
  <c r="J46" i="15" s="1"/>
  <c r="E44" i="15"/>
  <c r="G44" i="15" s="1"/>
  <c r="J44" i="15" s="1"/>
  <c r="E45" i="15"/>
  <c r="G45" i="15" s="1"/>
  <c r="J45" i="15" s="1"/>
  <c r="E42" i="14"/>
  <c r="E18" i="4"/>
  <c r="G18" i="4" s="1"/>
  <c r="E40" i="14"/>
  <c r="E5" i="5"/>
  <c r="G5" i="5" s="1"/>
  <c r="E31" i="13"/>
  <c r="G31" i="13" s="1"/>
  <c r="I31" i="13" s="1"/>
  <c r="E41" i="13"/>
  <c r="G41" i="13" s="1"/>
  <c r="I41" i="13" s="1"/>
  <c r="E33" i="13"/>
  <c r="G33" i="13" s="1"/>
  <c r="I33" i="13" s="1"/>
  <c r="E15" i="4"/>
  <c r="G15" i="4" s="1"/>
  <c r="D23" i="60"/>
  <c r="E20" i="60" s="1"/>
  <c r="E6" i="9"/>
  <c r="G6" i="9" s="1"/>
  <c r="I6" i="9" s="1"/>
  <c r="E14" i="9"/>
  <c r="G14" i="9" s="1"/>
  <c r="I14" i="9" s="1"/>
  <c r="E5" i="9"/>
  <c r="G5" i="9" s="1"/>
  <c r="I5" i="9" s="1"/>
  <c r="E13" i="9"/>
  <c r="G13" i="9" s="1"/>
  <c r="I13" i="9" s="1"/>
  <c r="E16" i="45"/>
  <c r="G16" i="45" s="1"/>
  <c r="J16" i="45" s="1"/>
  <c r="E7" i="41"/>
  <c r="G7" i="41" s="1"/>
  <c r="I7" i="41" s="1"/>
  <c r="E15" i="33"/>
  <c r="G15" i="33" s="1"/>
  <c r="E6" i="34"/>
  <c r="G6" i="34" s="1"/>
  <c r="I6" i="34" s="1"/>
  <c r="E11" i="33"/>
  <c r="G11" i="33" s="1"/>
  <c r="E8" i="34"/>
  <c r="G8" i="34" s="1"/>
  <c r="I8" i="34" s="1"/>
  <c r="E12" i="34"/>
  <c r="G12" i="34" s="1"/>
  <c r="I12" i="34" s="1"/>
  <c r="E17" i="34"/>
  <c r="G17" i="34" s="1"/>
  <c r="I17" i="34" s="1"/>
  <c r="E16" i="19"/>
  <c r="G16" i="19" s="1"/>
  <c r="E12" i="28"/>
  <c r="G12" i="28" s="1"/>
  <c r="E18" i="18"/>
  <c r="G18" i="18" s="1"/>
  <c r="E11" i="16"/>
  <c r="G11" i="16" s="1"/>
  <c r="E6" i="19"/>
  <c r="G6" i="19" s="1"/>
  <c r="E8" i="17"/>
  <c r="G8" i="17" s="1"/>
  <c r="E4" i="38"/>
  <c r="G4" i="38" s="1"/>
  <c r="I4" i="38" s="1"/>
  <c r="E12" i="38"/>
  <c r="G12" i="38" s="1"/>
  <c r="I12" i="38" s="1"/>
  <c r="E5" i="38"/>
  <c r="G5" i="38" s="1"/>
  <c r="I5" i="38" s="1"/>
  <c r="E4" i="28"/>
  <c r="E20" i="17"/>
  <c r="G20" i="17" s="1"/>
  <c r="E42" i="15"/>
  <c r="G42" i="15" s="1"/>
  <c r="J42" i="15" s="1"/>
  <c r="E33" i="15"/>
  <c r="E11" i="12"/>
  <c r="G11" i="12" s="1"/>
  <c r="E31" i="14"/>
  <c r="E39" i="14"/>
  <c r="E40" i="15"/>
  <c r="G40" i="15" s="1"/>
  <c r="J40" i="15" s="1"/>
  <c r="E4" i="4"/>
  <c r="E11" i="14"/>
  <c r="E13" i="12"/>
  <c r="G13" i="12" s="1"/>
  <c r="E43" i="15"/>
  <c r="G43" i="15" s="1"/>
  <c r="J43" i="15" s="1"/>
  <c r="E8" i="9"/>
  <c r="G8" i="9" s="1"/>
  <c r="I8" i="9" s="1"/>
  <c r="E16" i="9"/>
  <c r="G16" i="9" s="1"/>
  <c r="I16" i="9" s="1"/>
  <c r="E7" i="9"/>
  <c r="G7" i="9" s="1"/>
  <c r="I7" i="9" s="1"/>
  <c r="E5" i="4"/>
  <c r="G5" i="4" s="1"/>
  <c r="E6" i="4"/>
  <c r="G6" i="4" s="1"/>
  <c r="E6" i="5"/>
  <c r="G6" i="5" s="1"/>
  <c r="E12" i="4"/>
  <c r="G12" i="4" s="1"/>
  <c r="E16" i="14"/>
  <c r="E38" i="14"/>
  <c r="E10" i="4"/>
  <c r="G10" i="4" s="1"/>
  <c r="E16" i="4"/>
  <c r="G16" i="4" s="1"/>
  <c r="E11" i="72"/>
  <c r="G11" i="72" s="1"/>
  <c r="I11" i="72" s="1"/>
  <c r="E4" i="72"/>
  <c r="E20" i="72"/>
  <c r="E8" i="72"/>
  <c r="G8" i="72" s="1"/>
  <c r="I8" i="72" s="1"/>
  <c r="E9" i="72"/>
  <c r="G9" i="72" s="1"/>
  <c r="I9" i="72" s="1"/>
  <c r="E7" i="72"/>
  <c r="G7" i="72" s="1"/>
  <c r="I7" i="72" s="1"/>
  <c r="E19" i="72"/>
  <c r="G19" i="72" s="1"/>
  <c r="I19" i="72" s="1"/>
  <c r="E13" i="72"/>
  <c r="G13" i="72" s="1"/>
  <c r="I13" i="72" s="1"/>
  <c r="E6" i="72"/>
  <c r="G6" i="72" s="1"/>
  <c r="I6" i="72" s="1"/>
  <c r="G4" i="72"/>
  <c r="I4" i="72" s="1"/>
  <c r="E5" i="72"/>
  <c r="G5" i="72" s="1"/>
  <c r="I5" i="72" s="1"/>
  <c r="E18" i="72"/>
  <c r="G18" i="72" s="1"/>
  <c r="I18" i="72" s="1"/>
  <c r="E16" i="72"/>
  <c r="G16" i="72" s="1"/>
  <c r="I16" i="72" s="1"/>
  <c r="E10" i="72"/>
  <c r="G10" i="72" s="1"/>
  <c r="I10" i="72" s="1"/>
  <c r="E17" i="72"/>
  <c r="G17" i="72" s="1"/>
  <c r="I17" i="72" s="1"/>
  <c r="E15" i="72"/>
  <c r="G15" i="72" s="1"/>
  <c r="I15" i="72" s="1"/>
  <c r="E14" i="72"/>
  <c r="G14" i="72" s="1"/>
  <c r="I14" i="72" s="1"/>
  <c r="E6" i="71"/>
  <c r="G6" i="71" s="1"/>
  <c r="I6" i="71" s="1"/>
  <c r="E8" i="71"/>
  <c r="G8" i="71" s="1"/>
  <c r="I8" i="71" s="1"/>
  <c r="E7" i="71"/>
  <c r="G7" i="71" s="1"/>
  <c r="I7" i="71" s="1"/>
  <c r="E4" i="71"/>
  <c r="G4" i="71" s="1"/>
  <c r="I4" i="71" s="1"/>
  <c r="E18" i="71"/>
  <c r="G18" i="71" s="1"/>
  <c r="I18" i="71" s="1"/>
  <c r="E17" i="71"/>
  <c r="G17" i="71" s="1"/>
  <c r="I17" i="71" s="1"/>
  <c r="E15" i="71"/>
  <c r="G15" i="71" s="1"/>
  <c r="I15" i="71" s="1"/>
  <c r="E14" i="71"/>
  <c r="G14" i="71" s="1"/>
  <c r="I14" i="71" s="1"/>
  <c r="E5" i="71"/>
  <c r="G5" i="71" s="1"/>
  <c r="I5" i="71" s="1"/>
  <c r="E11" i="71"/>
  <c r="G11" i="71" s="1"/>
  <c r="I11" i="71" s="1"/>
  <c r="E20" i="71"/>
  <c r="E19" i="71"/>
  <c r="G19" i="71" s="1"/>
  <c r="I19" i="71" s="1"/>
  <c r="E16" i="71"/>
  <c r="G16" i="71" s="1"/>
  <c r="I16" i="71" s="1"/>
  <c r="E13" i="71"/>
  <c r="G13" i="71" s="1"/>
  <c r="I13" i="71" s="1"/>
  <c r="E12" i="71"/>
  <c r="G12" i="71" s="1"/>
  <c r="I12" i="71" s="1"/>
  <c r="E10" i="71"/>
  <c r="G10" i="71" s="1"/>
  <c r="I10" i="71" s="1"/>
  <c r="E14" i="69"/>
  <c r="G14" i="69" s="1"/>
  <c r="I14" i="69" s="1"/>
  <c r="E18" i="69"/>
  <c r="G18" i="69" s="1"/>
  <c r="I18" i="69" s="1"/>
  <c r="E8" i="69"/>
  <c r="G8" i="69" s="1"/>
  <c r="I8" i="69" s="1"/>
  <c r="E9" i="69"/>
  <c r="G9" i="69" s="1"/>
  <c r="I9" i="69" s="1"/>
  <c r="E4" i="69"/>
  <c r="E5" i="69"/>
  <c r="G5" i="69" s="1"/>
  <c r="I5" i="69" s="1"/>
  <c r="E20" i="69"/>
  <c r="E19" i="69"/>
  <c r="G19" i="69" s="1"/>
  <c r="I19" i="69" s="1"/>
  <c r="E17" i="69"/>
  <c r="G17" i="69" s="1"/>
  <c r="I17" i="69" s="1"/>
  <c r="E12" i="69"/>
  <c r="G12" i="69" s="1"/>
  <c r="I12" i="69" s="1"/>
  <c r="E16" i="69"/>
  <c r="G16" i="69" s="1"/>
  <c r="I16" i="69" s="1"/>
  <c r="E7" i="69"/>
  <c r="G7" i="69" s="1"/>
  <c r="I7" i="69" s="1"/>
  <c r="E6" i="69"/>
  <c r="G6" i="69" s="1"/>
  <c r="I6" i="69" s="1"/>
  <c r="E13" i="69"/>
  <c r="G13" i="69" s="1"/>
  <c r="I13" i="69" s="1"/>
  <c r="E11" i="69"/>
  <c r="G11" i="69" s="1"/>
  <c r="I11" i="69" s="1"/>
  <c r="E10" i="69"/>
  <c r="G10" i="69" s="1"/>
  <c r="I10" i="69" s="1"/>
  <c r="E8" i="68"/>
  <c r="G8" i="68" s="1"/>
  <c r="I8" i="68" s="1"/>
  <c r="E7" i="68"/>
  <c r="G7" i="68" s="1"/>
  <c r="I7" i="68" s="1"/>
  <c r="E19" i="68"/>
  <c r="G19" i="68" s="1"/>
  <c r="I19" i="68" s="1"/>
  <c r="E6" i="68"/>
  <c r="G6" i="68" s="1"/>
  <c r="I6" i="68" s="1"/>
  <c r="E5" i="68"/>
  <c r="G5" i="68" s="1"/>
  <c r="I5" i="68" s="1"/>
  <c r="E20" i="68"/>
  <c r="E18" i="68"/>
  <c r="G18" i="68" s="1"/>
  <c r="I18" i="68" s="1"/>
  <c r="E17" i="68"/>
  <c r="G17" i="68" s="1"/>
  <c r="I17" i="68" s="1"/>
  <c r="E14" i="68"/>
  <c r="G14" i="68" s="1"/>
  <c r="I14" i="68" s="1"/>
  <c r="E12" i="68"/>
  <c r="G12" i="68" s="1"/>
  <c r="I12" i="68" s="1"/>
  <c r="E4" i="68"/>
  <c r="E10" i="68"/>
  <c r="G10" i="68" s="1"/>
  <c r="I10" i="68" s="1"/>
  <c r="E16" i="68"/>
  <c r="G16" i="68" s="1"/>
  <c r="I16" i="68" s="1"/>
  <c r="E13" i="68"/>
  <c r="G13" i="68" s="1"/>
  <c r="I13" i="68" s="1"/>
  <c r="E11" i="68"/>
  <c r="G11" i="68" s="1"/>
  <c r="I11" i="68" s="1"/>
  <c r="E9" i="68"/>
  <c r="G9" i="68" s="1"/>
  <c r="I9" i="68" s="1"/>
  <c r="E4" i="66"/>
  <c r="E16" i="67"/>
  <c r="G16" i="67" s="1"/>
  <c r="J16" i="67" s="1"/>
  <c r="E15" i="67"/>
  <c r="G15" i="67" s="1"/>
  <c r="J15" i="67" s="1"/>
  <c r="E6" i="67"/>
  <c r="G6" i="67" s="1"/>
  <c r="J6" i="67" s="1"/>
  <c r="E4" i="67"/>
  <c r="G4" i="67" s="1"/>
  <c r="J4" i="67" s="1"/>
  <c r="E19" i="67"/>
  <c r="G19" i="67" s="1"/>
  <c r="J19" i="67" s="1"/>
  <c r="E11" i="67"/>
  <c r="G11" i="67" s="1"/>
  <c r="J11" i="67" s="1"/>
  <c r="E14" i="67"/>
  <c r="G14" i="67" s="1"/>
  <c r="J14" i="67" s="1"/>
  <c r="E7" i="67"/>
  <c r="G7" i="67" s="1"/>
  <c r="J7" i="67" s="1"/>
  <c r="E18" i="67"/>
  <c r="G18" i="67" s="1"/>
  <c r="J18" i="67" s="1"/>
  <c r="E13" i="67"/>
  <c r="G13" i="67" s="1"/>
  <c r="J13" i="67" s="1"/>
  <c r="E10" i="67"/>
  <c r="G10" i="67" s="1"/>
  <c r="J10" i="67" s="1"/>
  <c r="E5" i="67"/>
  <c r="G5" i="67" s="1"/>
  <c r="J5" i="67" s="1"/>
  <c r="E9" i="67"/>
  <c r="G9" i="67" s="1"/>
  <c r="J9" i="67" s="1"/>
  <c r="E20" i="67"/>
  <c r="E8" i="67"/>
  <c r="G8" i="67" s="1"/>
  <c r="J8" i="67" s="1"/>
  <c r="E12" i="67"/>
  <c r="G12" i="67" s="1"/>
  <c r="J12" i="67" s="1"/>
  <c r="E16" i="66"/>
  <c r="E8" i="66"/>
  <c r="E14" i="66"/>
  <c r="E10" i="66"/>
  <c r="E6" i="66"/>
  <c r="E12" i="66"/>
  <c r="E9" i="66"/>
  <c r="E17" i="66"/>
  <c r="E13" i="66"/>
  <c r="E15" i="66"/>
  <c r="E19" i="66"/>
  <c r="E5" i="66"/>
  <c r="E7" i="66"/>
  <c r="E11" i="66"/>
  <c r="E18" i="66"/>
  <c r="E9" i="65"/>
  <c r="G9" i="65" s="1"/>
  <c r="J9" i="65" s="1"/>
  <c r="E8" i="65"/>
  <c r="G8" i="65" s="1"/>
  <c r="J8" i="65" s="1"/>
  <c r="E7" i="65"/>
  <c r="G7" i="65" s="1"/>
  <c r="J7" i="65" s="1"/>
  <c r="E10" i="65"/>
  <c r="G10" i="65" s="1"/>
  <c r="J10" i="65" s="1"/>
  <c r="E13" i="65"/>
  <c r="G13" i="65" s="1"/>
  <c r="J13" i="65" s="1"/>
  <c r="E12" i="65"/>
  <c r="G12" i="65" s="1"/>
  <c r="J12" i="65" s="1"/>
  <c r="E5" i="65"/>
  <c r="G5" i="65" s="1"/>
  <c r="J5" i="65" s="1"/>
  <c r="E14" i="65"/>
  <c r="G14" i="65" s="1"/>
  <c r="J14" i="65" s="1"/>
  <c r="E19" i="65"/>
  <c r="G19" i="65" s="1"/>
  <c r="J19" i="65" s="1"/>
  <c r="E16" i="65"/>
  <c r="G16" i="65" s="1"/>
  <c r="J16" i="65" s="1"/>
  <c r="E11" i="65"/>
  <c r="G11" i="65" s="1"/>
  <c r="J11" i="65" s="1"/>
  <c r="E18" i="65"/>
  <c r="G18" i="65" s="1"/>
  <c r="J18" i="65" s="1"/>
  <c r="E4" i="65"/>
  <c r="G4" i="65" s="1"/>
  <c r="J4" i="65" s="1"/>
  <c r="E20" i="65"/>
  <c r="E17" i="65"/>
  <c r="G17" i="65" s="1"/>
  <c r="J17" i="65" s="1"/>
  <c r="E6" i="65"/>
  <c r="G6" i="65" s="1"/>
  <c r="J6" i="65" s="1"/>
  <c r="E15" i="65"/>
  <c r="G15" i="65" s="1"/>
  <c r="J15" i="65" s="1"/>
  <c r="E8" i="64"/>
  <c r="G8" i="64" s="1"/>
  <c r="J8" i="64" s="1"/>
  <c r="E14" i="64"/>
  <c r="G14" i="64" s="1"/>
  <c r="J14" i="64" s="1"/>
  <c r="E6" i="64"/>
  <c r="G6" i="64" s="1"/>
  <c r="J6" i="64" s="1"/>
  <c r="E4" i="64"/>
  <c r="G4" i="64" s="1"/>
  <c r="J4" i="64" s="1"/>
  <c r="E20" i="64"/>
  <c r="E19" i="64"/>
  <c r="G19" i="64" s="1"/>
  <c r="J19" i="64" s="1"/>
  <c r="E17" i="64"/>
  <c r="G17" i="64" s="1"/>
  <c r="J17" i="64" s="1"/>
  <c r="E15" i="64"/>
  <c r="G15" i="64" s="1"/>
  <c r="J15" i="64" s="1"/>
  <c r="E13" i="64"/>
  <c r="G13" i="64" s="1"/>
  <c r="J13" i="64" s="1"/>
  <c r="E11" i="64"/>
  <c r="G11" i="64" s="1"/>
  <c r="J11" i="64" s="1"/>
  <c r="E9" i="64"/>
  <c r="G9" i="64" s="1"/>
  <c r="J9" i="64" s="1"/>
  <c r="E7" i="64"/>
  <c r="G7" i="64" s="1"/>
  <c r="J7" i="64" s="1"/>
  <c r="E5" i="64"/>
  <c r="G5" i="64" s="1"/>
  <c r="J5" i="64" s="1"/>
  <c r="E18" i="64"/>
  <c r="G18" i="64" s="1"/>
  <c r="J18" i="64" s="1"/>
  <c r="E16" i="64"/>
  <c r="G16" i="64" s="1"/>
  <c r="J16" i="64" s="1"/>
  <c r="E10" i="64"/>
  <c r="G10" i="64" s="1"/>
  <c r="J10" i="64" s="1"/>
  <c r="E19" i="63"/>
  <c r="G19" i="63" s="1"/>
  <c r="J19" i="63" s="1"/>
  <c r="E17" i="63"/>
  <c r="G17" i="63" s="1"/>
  <c r="J17" i="63" s="1"/>
  <c r="E15" i="63"/>
  <c r="G15" i="63" s="1"/>
  <c r="J15" i="63" s="1"/>
  <c r="E13" i="63"/>
  <c r="G13" i="63" s="1"/>
  <c r="J13" i="63" s="1"/>
  <c r="E11" i="63"/>
  <c r="G11" i="63" s="1"/>
  <c r="J11" i="63" s="1"/>
  <c r="E9" i="63"/>
  <c r="G9" i="63" s="1"/>
  <c r="J9" i="63" s="1"/>
  <c r="E7" i="63"/>
  <c r="G7" i="63" s="1"/>
  <c r="J7" i="63" s="1"/>
  <c r="E5" i="63"/>
  <c r="G5" i="63" s="1"/>
  <c r="J5" i="63" s="1"/>
  <c r="E10" i="63"/>
  <c r="G10" i="63" s="1"/>
  <c r="J10" i="63" s="1"/>
  <c r="E12" i="63"/>
  <c r="G12" i="63" s="1"/>
  <c r="J12" i="63" s="1"/>
  <c r="E14" i="63"/>
  <c r="G14" i="63" s="1"/>
  <c r="J14" i="63" s="1"/>
  <c r="E18" i="63"/>
  <c r="G18" i="63" s="1"/>
  <c r="J18" i="63" s="1"/>
  <c r="E16" i="63"/>
  <c r="G16" i="63" s="1"/>
  <c r="J16" i="63" s="1"/>
  <c r="E8" i="63"/>
  <c r="G8" i="63" s="1"/>
  <c r="J8" i="63" s="1"/>
  <c r="E6" i="63"/>
  <c r="G6" i="63" s="1"/>
  <c r="J6" i="63" s="1"/>
  <c r="E20" i="63"/>
  <c r="E4" i="63"/>
  <c r="E9" i="60"/>
  <c r="G9" i="60" s="1"/>
  <c r="J9" i="60" s="1"/>
  <c r="E12" i="60"/>
  <c r="G12" i="60" s="1"/>
  <c r="J12" i="60" s="1"/>
  <c r="E17" i="60"/>
  <c r="G17" i="60" s="1"/>
  <c r="J17" i="60" s="1"/>
  <c r="E7" i="60"/>
  <c r="G7" i="60" s="1"/>
  <c r="J7" i="60" s="1"/>
  <c r="E18" i="60"/>
  <c r="G18" i="60" s="1"/>
  <c r="J18" i="60" s="1"/>
  <c r="E5" i="60"/>
  <c r="G5" i="60" s="1"/>
  <c r="J5" i="60" s="1"/>
  <c r="E10" i="60"/>
  <c r="G10" i="60" s="1"/>
  <c r="J10" i="60" s="1"/>
  <c r="E11" i="60"/>
  <c r="G11" i="60" s="1"/>
  <c r="J11" i="60" s="1"/>
  <c r="E16" i="60"/>
  <c r="G16" i="60" s="1"/>
  <c r="J16" i="60" s="1"/>
  <c r="E19" i="60"/>
  <c r="G19" i="60" s="1"/>
  <c r="J19" i="60" s="1"/>
  <c r="E8" i="60"/>
  <c r="G8" i="60" s="1"/>
  <c r="J8" i="60" s="1"/>
  <c r="E15" i="60"/>
  <c r="G15" i="60" s="1"/>
  <c r="J15" i="60" s="1"/>
  <c r="E14" i="60"/>
  <c r="G14" i="60" s="1"/>
  <c r="J14" i="60" s="1"/>
  <c r="E4" i="60"/>
  <c r="E13" i="60"/>
  <c r="G13" i="60" s="1"/>
  <c r="J13" i="60" s="1"/>
  <c r="E17" i="59"/>
  <c r="G17" i="59" s="1"/>
  <c r="J17" i="59" s="1"/>
  <c r="E15" i="59"/>
  <c r="G15" i="59" s="1"/>
  <c r="J15" i="59" s="1"/>
  <c r="E13" i="59"/>
  <c r="G13" i="59" s="1"/>
  <c r="J13" i="59" s="1"/>
  <c r="E11" i="59"/>
  <c r="G11" i="59" s="1"/>
  <c r="J11" i="59" s="1"/>
  <c r="E9" i="59"/>
  <c r="G9" i="59" s="1"/>
  <c r="J9" i="59" s="1"/>
  <c r="E7" i="59"/>
  <c r="G7" i="59" s="1"/>
  <c r="J7" i="59" s="1"/>
  <c r="E5" i="59"/>
  <c r="G5" i="59" s="1"/>
  <c r="J5" i="59" s="1"/>
  <c r="E18" i="59"/>
  <c r="G18" i="59" s="1"/>
  <c r="J18" i="59" s="1"/>
  <c r="E16" i="59"/>
  <c r="G16" i="59" s="1"/>
  <c r="J16" i="59" s="1"/>
  <c r="E10" i="59"/>
  <c r="G10" i="59" s="1"/>
  <c r="J10" i="59" s="1"/>
  <c r="E8" i="59"/>
  <c r="G8" i="59" s="1"/>
  <c r="J8" i="59" s="1"/>
  <c r="E14" i="59"/>
  <c r="G14" i="59" s="1"/>
  <c r="J14" i="59" s="1"/>
  <c r="E6" i="59"/>
  <c r="G6" i="59" s="1"/>
  <c r="J6" i="59" s="1"/>
  <c r="E12" i="59"/>
  <c r="G12" i="59" s="1"/>
  <c r="J12" i="59" s="1"/>
  <c r="E4" i="59"/>
  <c r="E19" i="59"/>
  <c r="G19" i="59" s="1"/>
  <c r="J19" i="59" s="1"/>
  <c r="E19" i="58"/>
  <c r="G19" i="58" s="1"/>
  <c r="J19" i="58" s="1"/>
  <c r="E13" i="58"/>
  <c r="G13" i="58" s="1"/>
  <c r="J13" i="58" s="1"/>
  <c r="E7" i="58"/>
  <c r="G7" i="58" s="1"/>
  <c r="J7" i="58" s="1"/>
  <c r="E11" i="58"/>
  <c r="G11" i="58" s="1"/>
  <c r="J11" i="58" s="1"/>
  <c r="E15" i="58"/>
  <c r="G15" i="58" s="1"/>
  <c r="J15" i="58" s="1"/>
  <c r="E9" i="58"/>
  <c r="G9" i="58" s="1"/>
  <c r="J9" i="58" s="1"/>
  <c r="E5" i="58"/>
  <c r="G5" i="58" s="1"/>
  <c r="J5" i="58" s="1"/>
  <c r="E18" i="58"/>
  <c r="G18" i="58" s="1"/>
  <c r="J18" i="58" s="1"/>
  <c r="E16" i="58"/>
  <c r="G16" i="58" s="1"/>
  <c r="J16" i="58" s="1"/>
  <c r="E14" i="58"/>
  <c r="G14" i="58" s="1"/>
  <c r="J14" i="58" s="1"/>
  <c r="E12" i="58"/>
  <c r="G12" i="58" s="1"/>
  <c r="J12" i="58" s="1"/>
  <c r="E10" i="58"/>
  <c r="G10" i="58" s="1"/>
  <c r="J10" i="58" s="1"/>
  <c r="E8" i="58"/>
  <c r="G8" i="58" s="1"/>
  <c r="J8" i="58" s="1"/>
  <c r="E6" i="58"/>
  <c r="G6" i="58" s="1"/>
  <c r="J6" i="58" s="1"/>
  <c r="E4" i="58"/>
  <c r="E17" i="58"/>
  <c r="G17" i="58" s="1"/>
  <c r="J17" i="58" s="1"/>
  <c r="E6" i="56"/>
  <c r="G6" i="56" s="1"/>
  <c r="J6" i="56" s="1"/>
  <c r="E16" i="56"/>
  <c r="G16" i="56" s="1"/>
  <c r="J16" i="56" s="1"/>
  <c r="E8" i="56"/>
  <c r="G8" i="56" s="1"/>
  <c r="J8" i="56" s="1"/>
  <c r="E12" i="56"/>
  <c r="G12" i="56" s="1"/>
  <c r="J12" i="56" s="1"/>
  <c r="E14" i="56"/>
  <c r="G14" i="56" s="1"/>
  <c r="J14" i="56" s="1"/>
  <c r="E18" i="56"/>
  <c r="G18" i="56" s="1"/>
  <c r="J18" i="56" s="1"/>
  <c r="E15" i="56"/>
  <c r="G15" i="56" s="1"/>
  <c r="J15" i="56" s="1"/>
  <c r="E11" i="56"/>
  <c r="G11" i="56" s="1"/>
  <c r="J11" i="56" s="1"/>
  <c r="E7" i="56"/>
  <c r="G7" i="56" s="1"/>
  <c r="J7" i="56" s="1"/>
  <c r="E5" i="56"/>
  <c r="G5" i="56" s="1"/>
  <c r="J5" i="56" s="1"/>
  <c r="E13" i="56"/>
  <c r="G13" i="56" s="1"/>
  <c r="J13" i="56" s="1"/>
  <c r="E9" i="56"/>
  <c r="G9" i="56" s="1"/>
  <c r="J9" i="56" s="1"/>
  <c r="E17" i="56"/>
  <c r="G17" i="56" s="1"/>
  <c r="J17" i="56" s="1"/>
  <c r="E10" i="56"/>
  <c r="G10" i="56" s="1"/>
  <c r="J10" i="56" s="1"/>
  <c r="E4" i="56"/>
  <c r="E13" i="55"/>
  <c r="G13" i="55" s="1"/>
  <c r="J13" i="55" s="1"/>
  <c r="K13" i="55" s="1"/>
  <c r="E8" i="55"/>
  <c r="G8" i="55" s="1"/>
  <c r="J8" i="55" s="1"/>
  <c r="K8" i="55" s="1"/>
  <c r="E17" i="55"/>
  <c r="G17" i="55" s="1"/>
  <c r="J17" i="55" s="1"/>
  <c r="K17" i="55" s="1"/>
  <c r="E19" i="55"/>
  <c r="G19" i="55" s="1"/>
  <c r="J19" i="55" s="1"/>
  <c r="K19" i="55" s="1"/>
  <c r="E5" i="55"/>
  <c r="G5" i="55" s="1"/>
  <c r="J5" i="55" s="1"/>
  <c r="K5" i="55" s="1"/>
  <c r="E6" i="55"/>
  <c r="G6" i="55" s="1"/>
  <c r="J6" i="55" s="1"/>
  <c r="K6" i="55" s="1"/>
  <c r="E7" i="55"/>
  <c r="G7" i="55" s="1"/>
  <c r="J7" i="55" s="1"/>
  <c r="K7" i="55" s="1"/>
  <c r="E10" i="55"/>
  <c r="G10" i="55" s="1"/>
  <c r="J10" i="55" s="1"/>
  <c r="K10" i="55" s="1"/>
  <c r="E9" i="55"/>
  <c r="G9" i="55" s="1"/>
  <c r="J9" i="55" s="1"/>
  <c r="K9" i="55" s="1"/>
  <c r="E12" i="55"/>
  <c r="G12" i="55" s="1"/>
  <c r="J12" i="55" s="1"/>
  <c r="K12" i="55" s="1"/>
  <c r="E4" i="55"/>
  <c r="G4" i="55" s="1"/>
  <c r="J4" i="55" s="1"/>
  <c r="K4" i="55" s="1"/>
  <c r="E15" i="55"/>
  <c r="G15" i="55" s="1"/>
  <c r="J15" i="55" s="1"/>
  <c r="K15" i="55" s="1"/>
  <c r="E14" i="55"/>
  <c r="G14" i="55" s="1"/>
  <c r="J14" i="55" s="1"/>
  <c r="K14" i="55" s="1"/>
  <c r="E18" i="55"/>
  <c r="G18" i="55" s="1"/>
  <c r="J18" i="55" s="1"/>
  <c r="K18" i="55" s="1"/>
  <c r="E11" i="55"/>
  <c r="G11" i="55" s="1"/>
  <c r="J11" i="55" s="1"/>
  <c r="K11" i="55" s="1"/>
  <c r="E10" i="54"/>
  <c r="G10" i="54" s="1"/>
  <c r="J10" i="54" s="1"/>
  <c r="E11" i="54"/>
  <c r="G11" i="54" s="1"/>
  <c r="J11" i="54" s="1"/>
  <c r="E12" i="54"/>
  <c r="G12" i="54" s="1"/>
  <c r="J12" i="54" s="1"/>
  <c r="E9" i="54"/>
  <c r="G9" i="54" s="1"/>
  <c r="J9" i="54" s="1"/>
  <c r="E14" i="54"/>
  <c r="G14" i="54" s="1"/>
  <c r="J14" i="54" s="1"/>
  <c r="E16" i="54"/>
  <c r="G16" i="54" s="1"/>
  <c r="J16" i="54" s="1"/>
  <c r="E5" i="54"/>
  <c r="G5" i="54" s="1"/>
  <c r="J5" i="54" s="1"/>
  <c r="E19" i="54"/>
  <c r="G19" i="54" s="1"/>
  <c r="J19" i="54" s="1"/>
  <c r="E15" i="54"/>
  <c r="G15" i="54" s="1"/>
  <c r="J15" i="54" s="1"/>
  <c r="E18" i="54"/>
  <c r="G18" i="54" s="1"/>
  <c r="J18" i="54" s="1"/>
  <c r="E4" i="54"/>
  <c r="G4" i="54" s="1"/>
  <c r="J4" i="54" s="1"/>
  <c r="E7" i="54"/>
  <c r="G7" i="54" s="1"/>
  <c r="J7" i="54" s="1"/>
  <c r="E6" i="54"/>
  <c r="G6" i="54" s="1"/>
  <c r="J6" i="54" s="1"/>
  <c r="E17" i="54"/>
  <c r="G17" i="54" s="1"/>
  <c r="J17" i="54" s="1"/>
  <c r="E8" i="54"/>
  <c r="G8" i="54" s="1"/>
  <c r="J8" i="54" s="1"/>
  <c r="E20" i="21"/>
  <c r="G20" i="21" s="1"/>
  <c r="E12" i="21"/>
  <c r="G12" i="21" s="1"/>
  <c r="E5" i="21"/>
  <c r="E7" i="21"/>
  <c r="G7" i="21" s="1"/>
  <c r="E11" i="21"/>
  <c r="G11" i="21" s="1"/>
  <c r="E19" i="21"/>
  <c r="G19" i="21" s="1"/>
  <c r="E10" i="21"/>
  <c r="G10" i="21" s="1"/>
  <c r="E15" i="21"/>
  <c r="G15" i="21" s="1"/>
  <c r="E16" i="21"/>
  <c r="G16" i="21" s="1"/>
  <c r="E6" i="21"/>
  <c r="G6" i="21" s="1"/>
  <c r="E13" i="21"/>
  <c r="G13" i="21" s="1"/>
  <c r="E14" i="21"/>
  <c r="G14" i="21" s="1"/>
  <c r="E8" i="21"/>
  <c r="G8" i="21" s="1"/>
  <c r="E17" i="21"/>
  <c r="G17" i="21" s="1"/>
  <c r="E9" i="21"/>
  <c r="G9" i="21" s="1"/>
  <c r="E18" i="21"/>
  <c r="G18" i="21" s="1"/>
  <c r="G4" i="44"/>
  <c r="J4" i="44" s="1"/>
  <c r="G5" i="19"/>
  <c r="G4" i="23"/>
  <c r="E13" i="15"/>
  <c r="G13" i="15" s="1"/>
  <c r="E5" i="15"/>
  <c r="E17" i="15"/>
  <c r="G17" i="15" s="1"/>
  <c r="E16" i="15"/>
  <c r="G16" i="15" s="1"/>
  <c r="E20" i="15"/>
  <c r="G20" i="15" s="1"/>
  <c r="E8" i="15"/>
  <c r="G8" i="15" s="1"/>
  <c r="E12" i="15"/>
  <c r="G12" i="15" s="1"/>
  <c r="E18" i="51"/>
  <c r="G18" i="51" s="1"/>
  <c r="J18" i="51" s="1"/>
  <c r="E10" i="51"/>
  <c r="G10" i="51" s="1"/>
  <c r="J10" i="51" s="1"/>
  <c r="E8" i="39"/>
  <c r="G8" i="39" s="1"/>
  <c r="I8" i="39" s="1"/>
  <c r="E7" i="36"/>
  <c r="G7" i="36" s="1"/>
  <c r="I7" i="36" s="1"/>
  <c r="E13" i="36"/>
  <c r="G13" i="36" s="1"/>
  <c r="I13" i="36" s="1"/>
  <c r="E18" i="26"/>
  <c r="G18" i="26" s="1"/>
  <c r="E13" i="26"/>
  <c r="G13" i="26" s="1"/>
  <c r="E5" i="26"/>
  <c r="G5" i="26" s="1"/>
  <c r="E9" i="26"/>
  <c r="G9" i="26" s="1"/>
  <c r="E16" i="26"/>
  <c r="G16" i="26" s="1"/>
  <c r="E7" i="26"/>
  <c r="G7" i="26" s="1"/>
  <c r="E11" i="26"/>
  <c r="G11" i="26" s="1"/>
  <c r="E10" i="26"/>
  <c r="G10" i="26" s="1"/>
  <c r="H18" i="14"/>
  <c r="H10" i="14"/>
  <c r="H15" i="14"/>
  <c r="H12" i="14"/>
  <c r="H19" i="14"/>
  <c r="H14" i="14"/>
  <c r="H11" i="14"/>
  <c r="H16" i="14"/>
  <c r="H13" i="14"/>
  <c r="H17" i="14"/>
  <c r="H9" i="14"/>
  <c r="E42" i="12"/>
  <c r="G42" i="12" s="1"/>
  <c r="I42" i="12" s="1"/>
  <c r="E44" i="12"/>
  <c r="G44" i="12" s="1"/>
  <c r="I44" i="12" s="1"/>
  <c r="E30" i="12"/>
  <c r="G30" i="12" s="1"/>
  <c r="I30" i="12" s="1"/>
  <c r="E6" i="15"/>
  <c r="G6" i="15" s="1"/>
  <c r="G4" i="7"/>
  <c r="E16" i="50"/>
  <c r="G16" i="50" s="1"/>
  <c r="J16" i="50" s="1"/>
  <c r="E18" i="50"/>
  <c r="G18" i="50" s="1"/>
  <c r="J18" i="50" s="1"/>
  <c r="G4" i="43"/>
  <c r="J4" i="43" s="1"/>
  <c r="J21" i="43" s="1"/>
  <c r="E22" i="43"/>
  <c r="E9" i="44"/>
  <c r="G9" i="44" s="1"/>
  <c r="J9" i="44" s="1"/>
  <c r="K9" i="44" s="1"/>
  <c r="E4" i="39"/>
  <c r="E14" i="51"/>
  <c r="G14" i="51" s="1"/>
  <c r="J14" i="51" s="1"/>
  <c r="E15" i="34"/>
  <c r="G15" i="34" s="1"/>
  <c r="I15" i="34" s="1"/>
  <c r="E18" i="39"/>
  <c r="G18" i="39" s="1"/>
  <c r="I18" i="39" s="1"/>
  <c r="E15" i="29"/>
  <c r="G15" i="29" s="1"/>
  <c r="E10" i="29"/>
  <c r="G10" i="29" s="1"/>
  <c r="E11" i="29"/>
  <c r="G11" i="29" s="1"/>
  <c r="E17" i="29"/>
  <c r="G17" i="29" s="1"/>
  <c r="E4" i="29"/>
  <c r="E16" i="29"/>
  <c r="G16" i="29" s="1"/>
  <c r="E8" i="29"/>
  <c r="G8" i="29" s="1"/>
  <c r="E12" i="29"/>
  <c r="G12" i="29" s="1"/>
  <c r="E14" i="24"/>
  <c r="G14" i="24" s="1"/>
  <c r="E18" i="33"/>
  <c r="G18" i="33" s="1"/>
  <c r="E12" i="33"/>
  <c r="G12" i="33" s="1"/>
  <c r="E4" i="33"/>
  <c r="G4" i="33" s="1"/>
  <c r="E6" i="33"/>
  <c r="G6" i="33" s="1"/>
  <c r="E14" i="33"/>
  <c r="G14" i="33" s="1"/>
  <c r="E10" i="33"/>
  <c r="G10" i="33" s="1"/>
  <c r="E17" i="33"/>
  <c r="G17" i="33" s="1"/>
  <c r="E16" i="33"/>
  <c r="G16" i="33" s="1"/>
  <c r="E7" i="33"/>
  <c r="G7" i="33" s="1"/>
  <c r="E4" i="34"/>
  <c r="G4" i="34" s="1"/>
  <c r="I4" i="34" s="1"/>
  <c r="E9" i="24"/>
  <c r="G9" i="24" s="1"/>
  <c r="E5" i="33"/>
  <c r="G5" i="33" s="1"/>
  <c r="E14" i="29"/>
  <c r="G14" i="29" s="1"/>
  <c r="E4" i="51"/>
  <c r="E12" i="19"/>
  <c r="G12" i="19" s="1"/>
  <c r="E6" i="26"/>
  <c r="G6" i="26" s="1"/>
  <c r="E47" i="15"/>
  <c r="G47" i="15" s="1"/>
  <c r="J47" i="15" s="1"/>
  <c r="E34" i="12"/>
  <c r="G34" i="12" s="1"/>
  <c r="I34" i="12" s="1"/>
  <c r="E16" i="16"/>
  <c r="G16" i="16" s="1"/>
  <c r="E36" i="12"/>
  <c r="G36" i="12" s="1"/>
  <c r="I36" i="12" s="1"/>
  <c r="E38" i="15"/>
  <c r="G38" i="15" s="1"/>
  <c r="J38" i="15" s="1"/>
  <c r="E20" i="4"/>
  <c r="G20" i="4" s="1"/>
  <c r="G4" i="4"/>
  <c r="E37" i="15"/>
  <c r="G37" i="15" s="1"/>
  <c r="J37" i="15" s="1"/>
  <c r="E43" i="12"/>
  <c r="G43" i="12" s="1"/>
  <c r="I43" i="12" s="1"/>
  <c r="E20" i="5"/>
  <c r="G20" i="5" s="1"/>
  <c r="E12" i="37"/>
  <c r="E4" i="37"/>
  <c r="E18" i="37"/>
  <c r="E14" i="37"/>
  <c r="E6" i="37"/>
  <c r="E10" i="37"/>
  <c r="E5" i="37"/>
  <c r="H45" i="14"/>
  <c r="J45" i="14" s="1"/>
  <c r="H43" i="14"/>
  <c r="J43" i="14" s="1"/>
  <c r="H39" i="14"/>
  <c r="J39" i="14" s="1"/>
  <c r="H35" i="14"/>
  <c r="J35" i="14" s="1"/>
  <c r="H42" i="14"/>
  <c r="J42" i="14" s="1"/>
  <c r="H38" i="14"/>
  <c r="J38" i="14" s="1"/>
  <c r="H41" i="14"/>
  <c r="J41" i="14" s="1"/>
  <c r="H37" i="14"/>
  <c r="J37" i="14" s="1"/>
  <c r="H40" i="14"/>
  <c r="J40" i="14" s="1"/>
  <c r="H36" i="14"/>
  <c r="J36" i="14" s="1"/>
  <c r="H44" i="14"/>
  <c r="J44" i="14" s="1"/>
  <c r="G3" i="13"/>
  <c r="I4" i="9"/>
  <c r="I19" i="9" s="1"/>
  <c r="E14" i="31"/>
  <c r="G14" i="31" s="1"/>
  <c r="E6" i="31"/>
  <c r="G6" i="31" s="1"/>
  <c r="E16" i="31"/>
  <c r="G16" i="31" s="1"/>
  <c r="E12" i="31"/>
  <c r="G12" i="31" s="1"/>
  <c r="E7" i="31"/>
  <c r="G7" i="31" s="1"/>
  <c r="E4" i="31"/>
  <c r="G4" i="31" s="1"/>
  <c r="E15" i="31"/>
  <c r="G15" i="31" s="1"/>
  <c r="E8" i="31"/>
  <c r="G8" i="31" s="1"/>
  <c r="E9" i="37"/>
  <c r="E8" i="26"/>
  <c r="E17" i="27"/>
  <c r="G17" i="27" s="1"/>
  <c r="E12" i="27"/>
  <c r="G12" i="27" s="1"/>
  <c r="E4" i="27"/>
  <c r="E19" i="27"/>
  <c r="G19" i="27" s="1"/>
  <c r="E15" i="27"/>
  <c r="G15" i="27" s="1"/>
  <c r="E10" i="27"/>
  <c r="G10" i="27" s="1"/>
  <c r="E6" i="27"/>
  <c r="G6" i="27" s="1"/>
  <c r="E9" i="27"/>
  <c r="G9" i="27" s="1"/>
  <c r="E11" i="31"/>
  <c r="G11" i="31" s="1"/>
  <c r="E15" i="26"/>
  <c r="G15" i="26" s="1"/>
  <c r="E10" i="13"/>
  <c r="G10" i="13" s="1"/>
  <c r="E18" i="13"/>
  <c r="G18" i="13" s="1"/>
  <c r="E4" i="13"/>
  <c r="G4" i="13" s="1"/>
  <c r="E8" i="13"/>
  <c r="G8" i="13" s="1"/>
  <c r="E16" i="13"/>
  <c r="G16" i="13" s="1"/>
  <c r="E12" i="13"/>
  <c r="G12" i="13" s="1"/>
  <c r="E12" i="50"/>
  <c r="G12" i="50" s="1"/>
  <c r="J12" i="50" s="1"/>
  <c r="E14" i="42"/>
  <c r="G14" i="42" s="1"/>
  <c r="I14" i="42" s="1"/>
  <c r="E19" i="42"/>
  <c r="G19" i="42" s="1"/>
  <c r="I19" i="42" s="1"/>
  <c r="E9" i="42"/>
  <c r="G9" i="42" s="1"/>
  <c r="I9" i="42" s="1"/>
  <c r="E16" i="42"/>
  <c r="G16" i="42" s="1"/>
  <c r="I16" i="42" s="1"/>
  <c r="E11" i="42"/>
  <c r="G11" i="42" s="1"/>
  <c r="I11" i="42" s="1"/>
  <c r="E18" i="42"/>
  <c r="G18" i="42" s="1"/>
  <c r="I18" i="42" s="1"/>
  <c r="E15" i="42"/>
  <c r="G15" i="42" s="1"/>
  <c r="I15" i="42" s="1"/>
  <c r="E17" i="42"/>
  <c r="G17" i="42" s="1"/>
  <c r="I17" i="42" s="1"/>
  <c r="E22" i="47"/>
  <c r="E15" i="48"/>
  <c r="G15" i="48" s="1"/>
  <c r="J15" i="48" s="1"/>
  <c r="E14" i="50"/>
  <c r="G14" i="50" s="1"/>
  <c r="J14" i="50" s="1"/>
  <c r="E5" i="42"/>
  <c r="G5" i="42" s="1"/>
  <c r="I5" i="42" s="1"/>
  <c r="E11" i="37"/>
  <c r="E17" i="50"/>
  <c r="G17" i="50" s="1"/>
  <c r="J17" i="50" s="1"/>
  <c r="E14" i="39"/>
  <c r="G14" i="39" s="1"/>
  <c r="I14" i="39" s="1"/>
  <c r="E8" i="48"/>
  <c r="G8" i="48" s="1"/>
  <c r="J8" i="48" s="1"/>
  <c r="E12" i="32"/>
  <c r="G12" i="32" s="1"/>
  <c r="E7" i="32"/>
  <c r="G7" i="32" s="1"/>
  <c r="E14" i="32"/>
  <c r="G14" i="32" s="1"/>
  <c r="E10" i="32"/>
  <c r="G10" i="32" s="1"/>
  <c r="E13" i="32"/>
  <c r="G13" i="32" s="1"/>
  <c r="E18" i="32"/>
  <c r="G18" i="32" s="1"/>
  <c r="E18" i="45"/>
  <c r="G18" i="45" s="1"/>
  <c r="J18" i="45" s="1"/>
  <c r="E9" i="45"/>
  <c r="G9" i="45" s="1"/>
  <c r="J9" i="45" s="1"/>
  <c r="E15" i="45"/>
  <c r="G15" i="45" s="1"/>
  <c r="J15" i="45" s="1"/>
  <c r="E5" i="45"/>
  <c r="G5" i="45" s="1"/>
  <c r="J5" i="45" s="1"/>
  <c r="E11" i="45"/>
  <c r="G11" i="45" s="1"/>
  <c r="J11" i="45" s="1"/>
  <c r="E13" i="45"/>
  <c r="G13" i="45" s="1"/>
  <c r="J13" i="45" s="1"/>
  <c r="E7" i="45"/>
  <c r="G7" i="45" s="1"/>
  <c r="J7" i="45" s="1"/>
  <c r="E10" i="35"/>
  <c r="G10" i="35" s="1"/>
  <c r="I10" i="35" s="1"/>
  <c r="E16" i="35"/>
  <c r="G16" i="35" s="1"/>
  <c r="I16" i="35" s="1"/>
  <c r="E13" i="35"/>
  <c r="G13" i="35" s="1"/>
  <c r="I13" i="35" s="1"/>
  <c r="E19" i="35"/>
  <c r="G19" i="35" s="1"/>
  <c r="I19" i="35" s="1"/>
  <c r="E6" i="35"/>
  <c r="G6" i="35" s="1"/>
  <c r="I6" i="35" s="1"/>
  <c r="E18" i="35"/>
  <c r="G18" i="35" s="1"/>
  <c r="I18" i="35" s="1"/>
  <c r="E15" i="35"/>
  <c r="G15" i="35" s="1"/>
  <c r="I15" i="35" s="1"/>
  <c r="E8" i="35"/>
  <c r="G8" i="35" s="1"/>
  <c r="I8" i="35" s="1"/>
  <c r="E11" i="35"/>
  <c r="G11" i="35" s="1"/>
  <c r="I11" i="35" s="1"/>
  <c r="E4" i="35"/>
  <c r="G4" i="35" s="1"/>
  <c r="I4" i="35" s="1"/>
  <c r="E14" i="35"/>
  <c r="G14" i="35" s="1"/>
  <c r="I14" i="35" s="1"/>
  <c r="E12" i="35"/>
  <c r="G12" i="35" s="1"/>
  <c r="I12" i="35" s="1"/>
  <c r="E17" i="35"/>
  <c r="G17" i="35" s="1"/>
  <c r="I17" i="35" s="1"/>
  <c r="E9" i="35"/>
  <c r="G9" i="35" s="1"/>
  <c r="I9" i="35" s="1"/>
  <c r="E16" i="32"/>
  <c r="G16" i="32" s="1"/>
  <c r="E15" i="32"/>
  <c r="G15" i="32" s="1"/>
  <c r="E14" i="27"/>
  <c r="G14" i="27" s="1"/>
  <c r="E5" i="32"/>
  <c r="G5" i="32" s="1"/>
  <c r="E20" i="25"/>
  <c r="G20" i="25" s="1"/>
  <c r="G4" i="25"/>
  <c r="E9" i="32"/>
  <c r="G9" i="32" s="1"/>
  <c r="E18" i="24"/>
  <c r="G18" i="24" s="1"/>
  <c r="E13" i="24"/>
  <c r="G13" i="24" s="1"/>
  <c r="E8" i="24"/>
  <c r="G8" i="24" s="1"/>
  <c r="E11" i="24"/>
  <c r="G11" i="24" s="1"/>
  <c r="E7" i="24"/>
  <c r="G7" i="24" s="1"/>
  <c r="E4" i="24"/>
  <c r="E17" i="24"/>
  <c r="G17" i="24" s="1"/>
  <c r="E12" i="24"/>
  <c r="G12" i="24" s="1"/>
  <c r="E6" i="24"/>
  <c r="G6" i="24" s="1"/>
  <c r="E19" i="24"/>
  <c r="G19" i="24" s="1"/>
  <c r="E16" i="17"/>
  <c r="G16" i="17" s="1"/>
  <c r="E6" i="17"/>
  <c r="G6" i="17" s="1"/>
  <c r="E5" i="17"/>
  <c r="E15" i="17"/>
  <c r="G15" i="17" s="1"/>
  <c r="E11" i="17"/>
  <c r="G11" i="17" s="1"/>
  <c r="E14" i="17"/>
  <c r="G14" i="17" s="1"/>
  <c r="E19" i="17"/>
  <c r="G19" i="17" s="1"/>
  <c r="E13" i="31"/>
  <c r="G13" i="31" s="1"/>
  <c r="E13" i="23"/>
  <c r="G13" i="23" s="1"/>
  <c r="E8" i="23"/>
  <c r="G8" i="23" s="1"/>
  <c r="E18" i="23"/>
  <c r="G18" i="23" s="1"/>
  <c r="E16" i="23"/>
  <c r="G16" i="23" s="1"/>
  <c r="E11" i="23"/>
  <c r="G11" i="23" s="1"/>
  <c r="E12" i="23"/>
  <c r="G12" i="23" s="1"/>
  <c r="E7" i="23"/>
  <c r="G7" i="23" s="1"/>
  <c r="E6" i="23"/>
  <c r="G6" i="23" s="1"/>
  <c r="E6" i="13"/>
  <c r="G6" i="13" s="1"/>
  <c r="E14" i="23"/>
  <c r="G14" i="23" s="1"/>
  <c r="E15" i="13"/>
  <c r="G15" i="13" s="1"/>
  <c r="E8" i="30"/>
  <c r="G8" i="30" s="1"/>
  <c r="E16" i="12"/>
  <c r="G16" i="12" s="1"/>
  <c r="E6" i="12"/>
  <c r="G6" i="12" s="1"/>
  <c r="E14" i="12"/>
  <c r="G14" i="12" s="1"/>
  <c r="E10" i="12"/>
  <c r="G10" i="12" s="1"/>
  <c r="E18" i="12"/>
  <c r="G18" i="12" s="1"/>
  <c r="E8" i="12"/>
  <c r="G8" i="12" s="1"/>
  <c r="E32" i="12"/>
  <c r="G32" i="12" s="1"/>
  <c r="I32" i="12" s="1"/>
  <c r="E19" i="15"/>
  <c r="G19" i="15" s="1"/>
  <c r="E10" i="23"/>
  <c r="G10" i="23" s="1"/>
  <c r="E12" i="17"/>
  <c r="G12" i="17" s="1"/>
  <c r="E3" i="12"/>
  <c r="G3" i="12" s="1"/>
  <c r="E18" i="15"/>
  <c r="G18" i="15" s="1"/>
  <c r="E39" i="12"/>
  <c r="G39" i="12" s="1"/>
  <c r="I39" i="12" s="1"/>
  <c r="E17" i="12"/>
  <c r="G17" i="12" s="1"/>
  <c r="H7" i="14"/>
  <c r="H6" i="14"/>
  <c r="H5" i="14"/>
  <c r="E18" i="36"/>
  <c r="G18" i="36" s="1"/>
  <c r="I18" i="36" s="1"/>
  <c r="E16" i="36"/>
  <c r="G16" i="36" s="1"/>
  <c r="I16" i="36" s="1"/>
  <c r="E14" i="36"/>
  <c r="G14" i="36" s="1"/>
  <c r="I14" i="36" s="1"/>
  <c r="E12" i="36"/>
  <c r="G12" i="36" s="1"/>
  <c r="I12" i="36" s="1"/>
  <c r="E10" i="36"/>
  <c r="G10" i="36" s="1"/>
  <c r="I10" i="36" s="1"/>
  <c r="E8" i="36"/>
  <c r="G8" i="36" s="1"/>
  <c r="I8" i="36" s="1"/>
  <c r="E18" i="44"/>
  <c r="G18" i="44" s="1"/>
  <c r="J18" i="44" s="1"/>
  <c r="K18" i="44" s="1"/>
  <c r="E10" i="44"/>
  <c r="G10" i="44" s="1"/>
  <c r="J10" i="44" s="1"/>
  <c r="K10" i="44" s="1"/>
  <c r="E15" i="44"/>
  <c r="G15" i="44" s="1"/>
  <c r="J15" i="44" s="1"/>
  <c r="K15" i="44" s="1"/>
  <c r="E8" i="44"/>
  <c r="G8" i="44" s="1"/>
  <c r="J8" i="44" s="1"/>
  <c r="K8" i="44" s="1"/>
  <c r="E19" i="44"/>
  <c r="G19" i="44" s="1"/>
  <c r="J19" i="44" s="1"/>
  <c r="K19" i="44" s="1"/>
  <c r="E7" i="44"/>
  <c r="G7" i="44" s="1"/>
  <c r="J7" i="44" s="1"/>
  <c r="K7" i="44" s="1"/>
  <c r="E11" i="44"/>
  <c r="G11" i="44" s="1"/>
  <c r="J11" i="44" s="1"/>
  <c r="K11" i="44" s="1"/>
  <c r="E4" i="26"/>
  <c r="G4" i="45"/>
  <c r="J4" i="45" s="1"/>
  <c r="E9" i="31"/>
  <c r="G9" i="31" s="1"/>
  <c r="E22" i="46"/>
  <c r="G4" i="46"/>
  <c r="J4" i="46" s="1"/>
  <c r="J21" i="46" s="1"/>
  <c r="E38" i="12"/>
  <c r="G38" i="12" s="1"/>
  <c r="I38" i="12" s="1"/>
  <c r="E6" i="39"/>
  <c r="G6" i="39" s="1"/>
  <c r="I6" i="39" s="1"/>
  <c r="E18" i="30"/>
  <c r="G18" i="30" s="1"/>
  <c r="E19" i="39"/>
  <c r="G19" i="39" s="1"/>
  <c r="I19" i="39" s="1"/>
  <c r="E11" i="39"/>
  <c r="G11" i="39" s="1"/>
  <c r="I11" i="39" s="1"/>
  <c r="E10" i="31"/>
  <c r="G10" i="31" s="1"/>
  <c r="E19" i="48"/>
  <c r="G19" i="48" s="1"/>
  <c r="J19" i="48" s="1"/>
  <c r="E5" i="31"/>
  <c r="G5" i="31" s="1"/>
  <c r="E15" i="39"/>
  <c r="G15" i="39" s="1"/>
  <c r="I15" i="39" s="1"/>
  <c r="E6" i="30"/>
  <c r="G6" i="30" s="1"/>
  <c r="E11" i="36"/>
  <c r="G11" i="36" s="1"/>
  <c r="I11" i="36" s="1"/>
  <c r="E7" i="22"/>
  <c r="G7" i="22" s="1"/>
  <c r="E18" i="22"/>
  <c r="G18" i="22" s="1"/>
  <c r="E9" i="22"/>
  <c r="G9" i="22" s="1"/>
  <c r="E5" i="22"/>
  <c r="G5" i="22" s="1"/>
  <c r="E19" i="22"/>
  <c r="G19" i="22" s="1"/>
  <c r="E15" i="22"/>
  <c r="G15" i="22" s="1"/>
  <c r="E10" i="22"/>
  <c r="G10" i="22" s="1"/>
  <c r="E7" i="17"/>
  <c r="G7" i="17" s="1"/>
  <c r="E10" i="30"/>
  <c r="G10" i="30" s="1"/>
  <c r="E9" i="36"/>
  <c r="G9" i="36" s="1"/>
  <c r="I9" i="36" s="1"/>
  <c r="E37" i="12"/>
  <c r="G37" i="12" s="1"/>
  <c r="I37" i="12" s="1"/>
  <c r="E45" i="14"/>
  <c r="H29" i="14"/>
  <c r="J29" i="14" s="1"/>
  <c r="E19" i="14"/>
  <c r="H3" i="14"/>
  <c r="E12" i="26"/>
  <c r="G12" i="26" s="1"/>
  <c r="E15" i="15"/>
  <c r="G15" i="15" s="1"/>
  <c r="E19" i="23"/>
  <c r="G19" i="23" s="1"/>
  <c r="E7" i="15"/>
  <c r="G7" i="15" s="1"/>
  <c r="E12" i="22"/>
  <c r="G12" i="22" s="1"/>
  <c r="E15" i="7"/>
  <c r="G15" i="7" s="1"/>
  <c r="E7" i="7"/>
  <c r="G7" i="7" s="1"/>
  <c r="E18" i="7"/>
  <c r="G18" i="7" s="1"/>
  <c r="E12" i="7"/>
  <c r="G12" i="7" s="1"/>
  <c r="E6" i="7"/>
  <c r="G6" i="7" s="1"/>
  <c r="E10" i="7"/>
  <c r="G10" i="7" s="1"/>
  <c r="E14" i="7"/>
  <c r="G14" i="7" s="1"/>
  <c r="E13" i="7"/>
  <c r="G13" i="7" s="1"/>
  <c r="E19" i="51"/>
  <c r="G19" i="51" s="1"/>
  <c r="J19" i="51" s="1"/>
  <c r="E17" i="51"/>
  <c r="G17" i="51" s="1"/>
  <c r="J17" i="51" s="1"/>
  <c r="E15" i="51"/>
  <c r="G15" i="51" s="1"/>
  <c r="J15" i="51" s="1"/>
  <c r="E13" i="51"/>
  <c r="G13" i="51" s="1"/>
  <c r="J13" i="51" s="1"/>
  <c r="E11" i="51"/>
  <c r="G11" i="51" s="1"/>
  <c r="J11" i="51" s="1"/>
  <c r="E9" i="51"/>
  <c r="G9" i="51" s="1"/>
  <c r="J9" i="51" s="1"/>
  <c r="E7" i="51"/>
  <c r="G7" i="51" s="1"/>
  <c r="J7" i="51" s="1"/>
  <c r="E5" i="51"/>
  <c r="G5" i="51" s="1"/>
  <c r="J5" i="51" s="1"/>
  <c r="E12" i="39"/>
  <c r="G12" i="39" s="1"/>
  <c r="I12" i="39" s="1"/>
  <c r="E4" i="36"/>
  <c r="G4" i="36" s="1"/>
  <c r="I4" i="36" s="1"/>
  <c r="E10" i="39"/>
  <c r="G10" i="39" s="1"/>
  <c r="I10" i="39" s="1"/>
  <c r="E14" i="19"/>
  <c r="G14" i="19" s="1"/>
  <c r="E19" i="19"/>
  <c r="G19" i="19" s="1"/>
  <c r="E18" i="19"/>
  <c r="G18" i="19" s="1"/>
  <c r="E20" i="19"/>
  <c r="G20" i="19" s="1"/>
  <c r="E7" i="19"/>
  <c r="G7" i="19" s="1"/>
  <c r="E13" i="19"/>
  <c r="G13" i="19" s="1"/>
  <c r="E9" i="19"/>
  <c r="G9" i="19" s="1"/>
  <c r="E17" i="19"/>
  <c r="G17" i="19" s="1"/>
  <c r="E8" i="19"/>
  <c r="G8" i="19" s="1"/>
  <c r="E6" i="44"/>
  <c r="G6" i="44" s="1"/>
  <c r="J6" i="44" s="1"/>
  <c r="K6" i="44" s="1"/>
  <c r="E12" i="51"/>
  <c r="G12" i="51" s="1"/>
  <c r="J12" i="51" s="1"/>
  <c r="E6" i="51"/>
  <c r="G6" i="51" s="1"/>
  <c r="J6" i="51" s="1"/>
  <c r="E4" i="48"/>
  <c r="E6" i="50"/>
  <c r="G6" i="50" s="1"/>
  <c r="J6" i="50" s="1"/>
  <c r="E10" i="42"/>
  <c r="G10" i="42" s="1"/>
  <c r="I10" i="42" s="1"/>
  <c r="E5" i="48"/>
  <c r="G5" i="48" s="1"/>
  <c r="J5" i="48" s="1"/>
  <c r="E22" i="40"/>
  <c r="G4" i="40"/>
  <c r="I4" i="40" s="1"/>
  <c r="I21" i="40" s="1"/>
  <c r="E13" i="44"/>
  <c r="G13" i="44" s="1"/>
  <c r="J13" i="44" s="1"/>
  <c r="K13" i="44" s="1"/>
  <c r="E16" i="37"/>
  <c r="E14" i="30"/>
  <c r="G14" i="30" s="1"/>
  <c r="E13" i="39"/>
  <c r="G13" i="39" s="1"/>
  <c r="I13" i="39" s="1"/>
  <c r="E6" i="29"/>
  <c r="G6" i="29" s="1"/>
  <c r="E5" i="39"/>
  <c r="G5" i="39" s="1"/>
  <c r="I5" i="39" s="1"/>
  <c r="E7" i="30"/>
  <c r="G7" i="30" s="1"/>
  <c r="E9" i="39"/>
  <c r="G9" i="39" s="1"/>
  <c r="I9" i="39" s="1"/>
  <c r="E6" i="22"/>
  <c r="G6" i="22" s="1"/>
  <c r="E17" i="37"/>
  <c r="E20" i="16"/>
  <c r="G20" i="16" s="1"/>
  <c r="E8" i="16"/>
  <c r="G8" i="16" s="1"/>
  <c r="E5" i="16"/>
  <c r="E14" i="16"/>
  <c r="G14" i="16" s="1"/>
  <c r="E18" i="16"/>
  <c r="G18" i="16" s="1"/>
  <c r="E12" i="16"/>
  <c r="G12" i="16" s="1"/>
  <c r="E10" i="16"/>
  <c r="G10" i="16" s="1"/>
  <c r="E19" i="16"/>
  <c r="G19" i="16" s="1"/>
  <c r="G4" i="28"/>
  <c r="E4" i="22"/>
  <c r="E13" i="29"/>
  <c r="G13" i="29" s="1"/>
  <c r="E11" i="22"/>
  <c r="G11" i="22" s="1"/>
  <c r="E11" i="32"/>
  <c r="G11" i="32" s="1"/>
  <c r="E9" i="16"/>
  <c r="G9" i="16" s="1"/>
  <c r="G33" i="15"/>
  <c r="J33" i="15" s="1"/>
  <c r="E49" i="15"/>
  <c r="G49" i="15" s="1"/>
  <c r="J49" i="15" s="1"/>
  <c r="H31" i="14"/>
  <c r="J31" i="14" s="1"/>
  <c r="H33" i="14"/>
  <c r="J33" i="14" s="1"/>
  <c r="H32" i="14"/>
  <c r="J32" i="14" s="1"/>
  <c r="E9" i="13"/>
  <c r="G9" i="13" s="1"/>
  <c r="E5" i="24"/>
  <c r="G5" i="24" s="1"/>
  <c r="E8" i="22"/>
  <c r="G8" i="22" s="1"/>
  <c r="E13" i="13"/>
  <c r="G13" i="13" s="1"/>
  <c r="G29" i="13"/>
  <c r="I29" i="13" s="1"/>
  <c r="E45" i="13"/>
  <c r="G45" i="13" s="1"/>
  <c r="I45" i="13" s="1"/>
  <c r="E20" i="6"/>
  <c r="G20" i="6" s="1"/>
  <c r="G4" i="6"/>
  <c r="E5" i="7"/>
  <c r="G5" i="7" s="1"/>
  <c r="E19" i="7"/>
  <c r="G19" i="7" s="1"/>
  <c r="E17" i="7"/>
  <c r="G17" i="7" s="1"/>
  <c r="E35" i="12"/>
  <c r="G35" i="12" s="1"/>
  <c r="I35" i="12" s="1"/>
  <c r="E33" i="12"/>
  <c r="G33" i="12" s="1"/>
  <c r="I33" i="12" s="1"/>
  <c r="E31" i="12"/>
  <c r="G31" i="12" s="1"/>
  <c r="I31" i="12" s="1"/>
  <c r="E29" i="12"/>
  <c r="G29" i="12" s="1"/>
  <c r="E8" i="50"/>
  <c r="G8" i="50" s="1"/>
  <c r="J8" i="50" s="1"/>
  <c r="E10" i="50"/>
  <c r="G10" i="50" s="1"/>
  <c r="J10" i="50" s="1"/>
  <c r="E18" i="48"/>
  <c r="G18" i="48" s="1"/>
  <c r="J18" i="48" s="1"/>
  <c r="E19" i="30"/>
  <c r="G19" i="30" s="1"/>
  <c r="E11" i="30"/>
  <c r="G11" i="30" s="1"/>
  <c r="E13" i="30"/>
  <c r="G13" i="30" s="1"/>
  <c r="E9" i="30"/>
  <c r="G9" i="30" s="1"/>
  <c r="E4" i="30"/>
  <c r="G4" i="30" s="1"/>
  <c r="E12" i="30"/>
  <c r="G12" i="30" s="1"/>
  <c r="E17" i="30"/>
  <c r="G17" i="30" s="1"/>
  <c r="E5" i="30"/>
  <c r="G5" i="30" s="1"/>
  <c r="E19" i="31"/>
  <c r="G19" i="31" s="1"/>
  <c r="E15" i="30"/>
  <c r="G15" i="30" s="1"/>
  <c r="E5" i="50"/>
  <c r="G5" i="50" s="1"/>
  <c r="J5" i="50" s="1"/>
  <c r="E14" i="15"/>
  <c r="G14" i="15" s="1"/>
  <c r="E19" i="26"/>
  <c r="G19" i="26" s="1"/>
  <c r="E8" i="51"/>
  <c r="G8" i="51" s="1"/>
  <c r="J8" i="51" s="1"/>
  <c r="E4" i="50"/>
  <c r="E17" i="31"/>
  <c r="G17" i="31" s="1"/>
  <c r="E19" i="50"/>
  <c r="G19" i="50" s="1"/>
  <c r="J19" i="50" s="1"/>
  <c r="E6" i="42"/>
  <c r="G6" i="42" s="1"/>
  <c r="I6" i="42" s="1"/>
  <c r="E22" i="49"/>
  <c r="G4" i="49"/>
  <c r="J4" i="49" s="1"/>
  <c r="J21" i="49" s="1"/>
  <c r="E15" i="50"/>
  <c r="G15" i="50" s="1"/>
  <c r="J15" i="50" s="1"/>
  <c r="E5" i="44"/>
  <c r="G5" i="44" s="1"/>
  <c r="J5" i="44" s="1"/>
  <c r="K5" i="44" s="1"/>
  <c r="E8" i="45"/>
  <c r="G8" i="45" s="1"/>
  <c r="J8" i="45" s="1"/>
  <c r="E4" i="42"/>
  <c r="E8" i="37"/>
  <c r="E16" i="39"/>
  <c r="G16" i="39" s="1"/>
  <c r="I16" i="39" s="1"/>
  <c r="E7" i="37"/>
  <c r="E17" i="44"/>
  <c r="G17" i="44" s="1"/>
  <c r="J17" i="44" s="1"/>
  <c r="K17" i="44" s="1"/>
  <c r="E6" i="36"/>
  <c r="G6" i="36" s="1"/>
  <c r="I6" i="36" s="1"/>
  <c r="E7" i="39"/>
  <c r="G7" i="39" s="1"/>
  <c r="I7" i="39" s="1"/>
  <c r="E11" i="27"/>
  <c r="G11" i="27" s="1"/>
  <c r="E19" i="37"/>
  <c r="E7" i="27"/>
  <c r="G7" i="27" s="1"/>
  <c r="E17" i="36"/>
  <c r="G17" i="36" s="1"/>
  <c r="I17" i="36" s="1"/>
  <c r="E18" i="29"/>
  <c r="G18" i="29" s="1"/>
  <c r="E9" i="29"/>
  <c r="G9" i="29" s="1"/>
  <c r="E15" i="36"/>
  <c r="G15" i="36" s="1"/>
  <c r="I15" i="36" s="1"/>
  <c r="E13" i="37"/>
  <c r="E15" i="19"/>
  <c r="G15" i="19" s="1"/>
  <c r="E16" i="28"/>
  <c r="G16" i="28" s="1"/>
  <c r="E11" i="28"/>
  <c r="G11" i="28" s="1"/>
  <c r="E18" i="28"/>
  <c r="G18" i="28" s="1"/>
  <c r="E14" i="28"/>
  <c r="G14" i="28" s="1"/>
  <c r="E5" i="28"/>
  <c r="G5" i="28" s="1"/>
  <c r="E13" i="28"/>
  <c r="G13" i="28" s="1"/>
  <c r="E17" i="20"/>
  <c r="G17" i="20" s="1"/>
  <c r="E9" i="20"/>
  <c r="G9" i="20" s="1"/>
  <c r="E7" i="20"/>
  <c r="G7" i="20" s="1"/>
  <c r="E16" i="20"/>
  <c r="G16" i="20" s="1"/>
  <c r="E12" i="20"/>
  <c r="G12" i="20" s="1"/>
  <c r="E20" i="20"/>
  <c r="G20" i="20" s="1"/>
  <c r="E5" i="20"/>
  <c r="E19" i="41"/>
  <c r="G19" i="41" s="1"/>
  <c r="I19" i="41" s="1"/>
  <c r="E11" i="41"/>
  <c r="G11" i="41" s="1"/>
  <c r="I11" i="41" s="1"/>
  <c r="E6" i="41"/>
  <c r="G6" i="41" s="1"/>
  <c r="I6" i="41" s="1"/>
  <c r="E10" i="41"/>
  <c r="G10" i="41" s="1"/>
  <c r="I10" i="41" s="1"/>
  <c r="E18" i="41"/>
  <c r="G18" i="41" s="1"/>
  <c r="I18" i="41" s="1"/>
  <c r="E14" i="41"/>
  <c r="G14" i="41" s="1"/>
  <c r="I14" i="41" s="1"/>
  <c r="E4" i="41"/>
  <c r="E15" i="28"/>
  <c r="G15" i="28" s="1"/>
  <c r="E4" i="32"/>
  <c r="G4" i="32" s="1"/>
  <c r="E11" i="15"/>
  <c r="G11" i="15" s="1"/>
  <c r="E10" i="15"/>
  <c r="G10" i="15" s="1"/>
  <c r="E18" i="27"/>
  <c r="G18" i="27" s="1"/>
  <c r="E40" i="12"/>
  <c r="G40" i="12" s="1"/>
  <c r="I40" i="12" s="1"/>
  <c r="E15" i="20"/>
  <c r="G15" i="20" s="1"/>
  <c r="E9" i="15"/>
  <c r="G9" i="15" s="1"/>
  <c r="E13" i="18"/>
  <c r="G13" i="18" s="1"/>
  <c r="E20" i="18"/>
  <c r="G20" i="18" s="1"/>
  <c r="E5" i="18"/>
  <c r="E15" i="18"/>
  <c r="G15" i="18" s="1"/>
  <c r="E11" i="18"/>
  <c r="G11" i="18" s="1"/>
  <c r="E14" i="18"/>
  <c r="G14" i="18" s="1"/>
  <c r="E19" i="18"/>
  <c r="G19" i="18" s="1"/>
  <c r="E9" i="12"/>
  <c r="G9" i="12" s="1"/>
  <c r="E11" i="13"/>
  <c r="G11" i="13" s="1"/>
  <c r="E13" i="16"/>
  <c r="G13" i="16" s="1"/>
  <c r="E17" i="13"/>
  <c r="G17" i="13" s="1"/>
  <c r="E53" i="3"/>
  <c r="I2" i="3" s="1"/>
  <c r="H1" i="4" s="1"/>
  <c r="G37" i="4" s="1"/>
  <c r="H1" i="5" s="1"/>
  <c r="D53" i="3"/>
  <c r="E11" i="7"/>
  <c r="G11" i="7" s="1"/>
  <c r="E9" i="7"/>
  <c r="G9" i="7" s="1"/>
  <c r="G4" i="77" l="1"/>
  <c r="I4" i="77" s="1"/>
  <c r="I21" i="77" s="1"/>
  <c r="E22" i="77"/>
  <c r="G4" i="76"/>
  <c r="I4" i="76" s="1"/>
  <c r="I21" i="76" s="1"/>
  <c r="E22" i="76"/>
  <c r="E22" i="75"/>
  <c r="I21" i="75"/>
  <c r="J21" i="75"/>
  <c r="E22" i="74"/>
  <c r="I21" i="74"/>
  <c r="G4" i="73"/>
  <c r="I4" i="73" s="1"/>
  <c r="I21" i="73" s="1"/>
  <c r="E22" i="73"/>
  <c r="J21" i="45"/>
  <c r="K21" i="55"/>
  <c r="M33" i="55" s="1"/>
  <c r="E22" i="72"/>
  <c r="I21" i="72"/>
  <c r="E22" i="71"/>
  <c r="I21" i="71"/>
  <c r="E22" i="69"/>
  <c r="G4" i="69"/>
  <c r="I4" i="69" s="1"/>
  <c r="I21" i="69" s="1"/>
  <c r="E22" i="68"/>
  <c r="G4" i="68"/>
  <c r="G11" i="66"/>
  <c r="G12" i="66"/>
  <c r="G7" i="66"/>
  <c r="G6" i="66"/>
  <c r="G5" i="66"/>
  <c r="G4" i="66"/>
  <c r="J4" i="66" s="1"/>
  <c r="L4" i="66" s="1"/>
  <c r="G18" i="66"/>
  <c r="G19" i="66"/>
  <c r="G10" i="66"/>
  <c r="G15" i="66"/>
  <c r="G13" i="66"/>
  <c r="G8" i="66"/>
  <c r="G9" i="66"/>
  <c r="G14" i="66"/>
  <c r="G17" i="66"/>
  <c r="G16" i="66"/>
  <c r="J21" i="67"/>
  <c r="E22" i="67"/>
  <c r="E22" i="66"/>
  <c r="J21" i="65"/>
  <c r="E22" i="65"/>
  <c r="E22" i="64"/>
  <c r="J21" i="64"/>
  <c r="H23" i="64" s="1"/>
  <c r="E22" i="63"/>
  <c r="G4" i="63"/>
  <c r="J4" i="63" s="1"/>
  <c r="J21" i="63" s="1"/>
  <c r="H23" i="63" s="1"/>
  <c r="E22" i="60"/>
  <c r="G4" i="60"/>
  <c r="J4" i="60" s="1"/>
  <c r="J21" i="60" s="1"/>
  <c r="H23" i="60" s="1"/>
  <c r="E22" i="59"/>
  <c r="G4" i="59"/>
  <c r="J4" i="59" s="1"/>
  <c r="N25" i="59" s="1"/>
  <c r="G4" i="58"/>
  <c r="J4" i="58" s="1"/>
  <c r="J21" i="58" s="1"/>
  <c r="P21" i="58" s="1"/>
  <c r="E22" i="58"/>
  <c r="G4" i="56"/>
  <c r="J4" i="56" s="1"/>
  <c r="J21" i="56" s="1"/>
  <c r="E22" i="56"/>
  <c r="J21" i="55"/>
  <c r="E22" i="55"/>
  <c r="J21" i="54"/>
  <c r="E22" i="54"/>
  <c r="K21" i="44"/>
  <c r="H23" i="44" s="1"/>
  <c r="G45" i="12"/>
  <c r="I45" i="12" s="1"/>
  <c r="I29" i="12"/>
  <c r="E20" i="22"/>
  <c r="G20" i="22" s="1"/>
  <c r="H22" i="22" s="1"/>
  <c r="G4" i="22"/>
  <c r="E21" i="16"/>
  <c r="G21" i="16" s="1"/>
  <c r="G5" i="16"/>
  <c r="E20" i="23"/>
  <c r="G20" i="23" s="1"/>
  <c r="H22" i="23" s="1"/>
  <c r="G4" i="42"/>
  <c r="I4" i="42" s="1"/>
  <c r="I21" i="42" s="1"/>
  <c r="E22" i="42"/>
  <c r="E21" i="18"/>
  <c r="G21" i="18" s="1"/>
  <c r="G5" i="18"/>
  <c r="E21" i="20"/>
  <c r="G21" i="20" s="1"/>
  <c r="G5" i="20"/>
  <c r="E20" i="28"/>
  <c r="G20" i="28" s="1"/>
  <c r="E21" i="15"/>
  <c r="G21" i="15" s="1"/>
  <c r="G5" i="15"/>
  <c r="E22" i="41"/>
  <c r="G4" i="41"/>
  <c r="I4" i="41" s="1"/>
  <c r="I21" i="41" s="1"/>
  <c r="G4" i="48"/>
  <c r="J4" i="48" s="1"/>
  <c r="J21" i="48" s="1"/>
  <c r="E22" i="48"/>
  <c r="E19" i="13"/>
  <c r="G19" i="13" s="1"/>
  <c r="E22" i="51"/>
  <c r="G4" i="51"/>
  <c r="J4" i="51" s="1"/>
  <c r="J21" i="51" s="1"/>
  <c r="E20" i="7"/>
  <c r="G20" i="7" s="1"/>
  <c r="E21" i="19"/>
  <c r="G21" i="19" s="1"/>
  <c r="G5" i="21"/>
  <c r="E21" i="21"/>
  <c r="G21" i="21" s="1"/>
  <c r="E22" i="50"/>
  <c r="G4" i="50"/>
  <c r="J4" i="50" s="1"/>
  <c r="J21" i="50" s="1"/>
  <c r="O31" i="50" s="1"/>
  <c r="E20" i="26"/>
  <c r="G20" i="26" s="1"/>
  <c r="G4" i="26"/>
  <c r="G4" i="27"/>
  <c r="E20" i="27"/>
  <c r="G20" i="27" s="1"/>
  <c r="J21" i="44"/>
  <c r="E20" i="24"/>
  <c r="G20" i="24" s="1"/>
  <c r="G4" i="24"/>
  <c r="E21" i="17"/>
  <c r="G21" i="17" s="1"/>
  <c r="G5" i="17"/>
  <c r="E22" i="45"/>
  <c r="E21" i="29"/>
  <c r="G4" i="29"/>
  <c r="G21" i="29" s="1"/>
  <c r="G4" i="39"/>
  <c r="I4" i="39" s="1"/>
  <c r="I21" i="39" s="1"/>
  <c r="E22" i="39"/>
  <c r="E22" i="44"/>
  <c r="I4" i="68" l="1"/>
  <c r="I21" i="68" s="1"/>
  <c r="J12" i="66"/>
  <c r="L12" i="66" s="1"/>
  <c r="J19" i="66"/>
  <c r="L19" i="66" s="1"/>
  <c r="J16" i="66"/>
  <c r="L16" i="66" s="1"/>
  <c r="J8" i="66"/>
  <c r="L8" i="66" s="1"/>
  <c r="J15" i="66"/>
  <c r="L15" i="66" s="1"/>
  <c r="J5" i="66"/>
  <c r="L5" i="66" s="1"/>
  <c r="J11" i="66"/>
  <c r="L11" i="66" s="1"/>
  <c r="J9" i="66"/>
  <c r="L9" i="66" s="1"/>
  <c r="J10" i="66"/>
  <c r="L10" i="66" s="1"/>
  <c r="J6" i="66"/>
  <c r="L6" i="66" s="1"/>
  <c r="J14" i="66"/>
  <c r="L14" i="66" s="1"/>
  <c r="J7" i="66"/>
  <c r="L7" i="66" s="1"/>
  <c r="J17" i="66"/>
  <c r="L17" i="66" s="1"/>
  <c r="J13" i="66"/>
  <c r="L13" i="66" s="1"/>
  <c r="J18" i="66"/>
  <c r="L18" i="66" s="1"/>
  <c r="J21" i="66" l="1"/>
  <c r="O24" i="66" l="1"/>
  <c r="L21" i="66"/>
</calcChain>
</file>

<file path=xl/sharedStrings.xml><?xml version="1.0" encoding="utf-8"?>
<sst xmlns="http://schemas.openxmlformats.org/spreadsheetml/2006/main" count="3860" uniqueCount="818">
  <si>
    <t>Collection</t>
  </si>
  <si>
    <t>Expendature</t>
  </si>
  <si>
    <t>Name</t>
  </si>
  <si>
    <t>Flat no</t>
  </si>
  <si>
    <t>date</t>
  </si>
  <si>
    <t>amount</t>
  </si>
  <si>
    <t>Item</t>
  </si>
  <si>
    <t>Quantity</t>
  </si>
  <si>
    <t>sheshu</t>
  </si>
  <si>
    <t>dust bin</t>
  </si>
  <si>
    <t>Ram kumar</t>
  </si>
  <si>
    <t>mop stick</t>
  </si>
  <si>
    <t>mahesh</t>
  </si>
  <si>
    <t>G4</t>
  </si>
  <si>
    <t>sanitisation</t>
  </si>
  <si>
    <t>jagadish</t>
  </si>
  <si>
    <t>G3</t>
  </si>
  <si>
    <t>Garbage people</t>
  </si>
  <si>
    <t>Naveen</t>
  </si>
  <si>
    <t>Book/marker</t>
  </si>
  <si>
    <t>Total</t>
  </si>
  <si>
    <t xml:space="preserve">Balance </t>
  </si>
  <si>
    <t>Maintanence</t>
  </si>
  <si>
    <t>Total Balance</t>
  </si>
  <si>
    <t>Bottels Cost</t>
  </si>
  <si>
    <t>Stuff</t>
  </si>
  <si>
    <t>Soft Drinks</t>
  </si>
  <si>
    <t>Chicken</t>
  </si>
  <si>
    <t>total</t>
  </si>
  <si>
    <t>Share</t>
  </si>
  <si>
    <t>Sheshu</t>
  </si>
  <si>
    <t>Mahesh</t>
  </si>
  <si>
    <t>Jagadish</t>
  </si>
  <si>
    <t>Peddi rau</t>
  </si>
  <si>
    <t>Uma Mahesh</t>
  </si>
  <si>
    <t>Last month Balance</t>
  </si>
  <si>
    <t xml:space="preserve">Total Balance </t>
  </si>
  <si>
    <t>Transform Fuse</t>
  </si>
  <si>
    <t>Advanceamount</t>
  </si>
  <si>
    <t>JUly Maintanence</t>
  </si>
  <si>
    <t>Garbage collection people</t>
  </si>
  <si>
    <t>250 Cash Paid</t>
  </si>
  <si>
    <t>Manjeera tank</t>
  </si>
  <si>
    <t>brom stick</t>
  </si>
  <si>
    <t>100 Cash Paid</t>
  </si>
  <si>
    <t>Builder amount</t>
  </si>
  <si>
    <t>Manjeera  bill Pay</t>
  </si>
  <si>
    <t>Naveen/Peddi raju</t>
  </si>
  <si>
    <t>Muggu pindi</t>
  </si>
  <si>
    <t>subbaRao (Land Owner)</t>
  </si>
  <si>
    <t>R.All</t>
  </si>
  <si>
    <t>Watchman Advance</t>
  </si>
  <si>
    <t>Water Bill</t>
  </si>
  <si>
    <t>No of Tankers in prevoius Month</t>
  </si>
  <si>
    <t>Current Month Tankers</t>
  </si>
  <si>
    <t>Each Tank Cost</t>
  </si>
  <si>
    <t>S.No</t>
  </si>
  <si>
    <t>Date</t>
  </si>
  <si>
    <t>No Ltrs</t>
  </si>
  <si>
    <t>Cost</t>
  </si>
  <si>
    <t>Each Tank Capacty</t>
  </si>
  <si>
    <t>Total Water Tank Bill</t>
  </si>
  <si>
    <t>Manjeera Bill</t>
  </si>
  <si>
    <t>Meeter Readings as on July 2, 2020  around 5 PM</t>
  </si>
  <si>
    <t>Flat Number</t>
  </si>
  <si>
    <t>Curret Meter Reading</t>
  </si>
  <si>
    <t>Total Units</t>
  </si>
  <si>
    <t>Cost wth manjeera</t>
  </si>
  <si>
    <t>G1</t>
  </si>
  <si>
    <t>PAID</t>
  </si>
  <si>
    <t>G2</t>
  </si>
  <si>
    <t>Water bill for others flats</t>
  </si>
  <si>
    <t>Advance for Bilder share</t>
  </si>
  <si>
    <t>give to builder amount</t>
  </si>
  <si>
    <t>Watch Man</t>
  </si>
  <si>
    <t>Total Usage Units</t>
  </si>
  <si>
    <t>per Lt Cost With Manira</t>
  </si>
  <si>
    <t>Total Water Bill Wth Manjeera</t>
  </si>
  <si>
    <t>3600 + 2044 = 5644</t>
  </si>
  <si>
    <t>Last Month Balance</t>
  </si>
  <si>
    <t>Previous Meter Reading</t>
  </si>
  <si>
    <t>CommonMaintanence</t>
  </si>
  <si>
    <t>Total to Pay</t>
  </si>
  <si>
    <t>paid</t>
  </si>
  <si>
    <t>per Lt Cost With Manjira</t>
  </si>
  <si>
    <t>Total Water Bill</t>
  </si>
  <si>
    <t>EXPENDITURE</t>
  </si>
  <si>
    <t>Watch man salary</t>
  </si>
  <si>
    <t>sanitizer stand with lock</t>
  </si>
  <si>
    <t>sanitizer liquid</t>
  </si>
  <si>
    <t>Garbage colleaction</t>
  </si>
  <si>
    <t>Power bill</t>
  </si>
  <si>
    <t>Final Balance</t>
  </si>
  <si>
    <t>drinage water issues</t>
  </si>
  <si>
    <t>cheepuru</t>
  </si>
  <si>
    <t>Water bill</t>
  </si>
  <si>
    <t>Augest Maintanence</t>
  </si>
  <si>
    <t>builders</t>
  </si>
  <si>
    <t>Paid</t>
  </si>
  <si>
    <t>Bleaching powder</t>
  </si>
  <si>
    <t>Water taner</t>
  </si>
  <si>
    <t>bulbs</t>
  </si>
  <si>
    <t>locks</t>
  </si>
  <si>
    <t>majeera bill</t>
  </si>
  <si>
    <t xml:space="preserve">water tanker </t>
  </si>
  <si>
    <t>=</t>
  </si>
  <si>
    <t>]]]]]]</t>
  </si>
  <si>
    <t>|\</t>
  </si>
  <si>
    <t>5154+1200(owners pending)</t>
  </si>
  <si>
    <t>3600(owners pending)</t>
  </si>
  <si>
    <t>Return Amount</t>
  </si>
  <si>
    <t>1432-1001=431</t>
  </si>
  <si>
    <t>1421-996=425</t>
  </si>
  <si>
    <t>1703-1131=572</t>
  </si>
  <si>
    <t>869-729=140</t>
  </si>
  <si>
    <t>1176-877=299</t>
  </si>
  <si>
    <t>1243-909=334</t>
  </si>
  <si>
    <t>Last Month Adjustments</t>
  </si>
  <si>
    <t>Final to pay</t>
  </si>
  <si>
    <t>next pay amount</t>
  </si>
  <si>
    <t xml:space="preserve">WATER Tanker </t>
  </si>
  <si>
    <t>Prev calc</t>
  </si>
  <si>
    <t>Diff</t>
  </si>
  <si>
    <t xml:space="preserve">WATER Tankers(4) </t>
  </si>
  <si>
    <t>Common meter bill paid extra Amount</t>
  </si>
  <si>
    <t>G2 Owner will paid the 139.00 Amount</t>
  </si>
  <si>
    <t>102 Owner will paid the 139.00 Amount</t>
  </si>
  <si>
    <t xml:space="preserve">WATER Tankers(3) </t>
  </si>
  <si>
    <t>Payment Status</t>
  </si>
  <si>
    <t>Carpus Fund Amounts</t>
  </si>
  <si>
    <t>Shop-1</t>
  </si>
  <si>
    <t>NA</t>
  </si>
  <si>
    <t>Shop-2</t>
  </si>
  <si>
    <t>Flat No</t>
  </si>
  <si>
    <t>Amount</t>
  </si>
  <si>
    <t>102</t>
  </si>
  <si>
    <t>103</t>
  </si>
  <si>
    <t>104</t>
  </si>
  <si>
    <t>202</t>
  </si>
  <si>
    <t>203</t>
  </si>
  <si>
    <t>204</t>
  </si>
  <si>
    <t>303</t>
  </si>
  <si>
    <t>Expendeatures&amp; Collections of June 2021</t>
  </si>
  <si>
    <t>Collection Amount</t>
  </si>
  <si>
    <t>Expendeature Amt</t>
  </si>
  <si>
    <t>June Month AptBalance</t>
  </si>
  <si>
    <t>Carpus fund Amt(June 2021)</t>
  </si>
  <si>
    <t xml:space="preserve">WATER Tankers(6) </t>
  </si>
  <si>
    <t xml:space="preserve"> April Diff</t>
  </si>
  <si>
    <t xml:space="preserve"> May Diff</t>
  </si>
  <si>
    <t>Jun Diff</t>
  </si>
  <si>
    <t>Jul Diff</t>
  </si>
  <si>
    <t>Total Diff</t>
  </si>
  <si>
    <t>Paid status</t>
  </si>
  <si>
    <t>Type</t>
  </si>
  <si>
    <t>Manjeera additional water</t>
  </si>
  <si>
    <t>Maintenance</t>
  </si>
  <si>
    <t>Bore maintenance used</t>
  </si>
  <si>
    <t>Amount received</t>
  </si>
  <si>
    <t>June balance</t>
  </si>
  <si>
    <t>Expendutre</t>
  </si>
  <si>
    <t>Watchman</t>
  </si>
  <si>
    <t>Watchman 04 days</t>
  </si>
  <si>
    <t>Common  power bill</t>
  </si>
  <si>
    <t>Lift maintenance</t>
  </si>
  <si>
    <t>Manjeera water bill</t>
  </si>
  <si>
    <t>Chepuru</t>
  </si>
  <si>
    <t>Lizol2L</t>
  </si>
  <si>
    <t>Dust pan</t>
  </si>
  <si>
    <t>Water tanker</t>
  </si>
  <si>
    <t>Bill Generated</t>
  </si>
  <si>
    <t>JUL balance</t>
  </si>
  <si>
    <t>Maintenance Received</t>
  </si>
  <si>
    <t>Jul balance</t>
  </si>
  <si>
    <t>Drainage issue</t>
  </si>
  <si>
    <t>Bulbs</t>
  </si>
  <si>
    <t>Muggu</t>
  </si>
  <si>
    <t>Drainage Work</t>
  </si>
  <si>
    <t>Drainage Work (Jagadish)</t>
  </si>
  <si>
    <t>700 pending amt received</t>
  </si>
  <si>
    <t>Aug balance</t>
  </si>
  <si>
    <t xml:space="preserve">WATER Tankers(5) </t>
  </si>
  <si>
    <t>139 electrical amount received</t>
  </si>
  <si>
    <t>AUG balance</t>
  </si>
  <si>
    <t>Electrical Repair</t>
  </si>
  <si>
    <t>sep balance</t>
  </si>
  <si>
    <t>Ganesh Chathurthi</t>
  </si>
  <si>
    <t>Expenditure</t>
  </si>
  <si>
    <t>Sponsor</t>
  </si>
  <si>
    <t>Tent</t>
  </si>
  <si>
    <t>Mr.Mahesh -  Laddu</t>
  </si>
  <si>
    <t>idol</t>
  </si>
  <si>
    <t>Pujari</t>
  </si>
  <si>
    <t>Mr. Ramkumar- Flower Garland</t>
  </si>
  <si>
    <t>LED Light</t>
  </si>
  <si>
    <t>Mr. Seshu - Nimmajanam Bowl</t>
  </si>
  <si>
    <t>Flowers</t>
  </si>
  <si>
    <t>Mr. Sita Rama Raju - Small Ganesh Idol</t>
  </si>
  <si>
    <t>Puja items</t>
  </si>
  <si>
    <t>Gi wire</t>
  </si>
  <si>
    <t>Raju shop</t>
  </si>
  <si>
    <t>3days pooja items</t>
  </si>
  <si>
    <t>2 meter panche</t>
  </si>
  <si>
    <t>Electrical items</t>
  </si>
  <si>
    <t>Total expenditure</t>
  </si>
  <si>
    <t>Balance</t>
  </si>
  <si>
    <t>Balance amount clear</t>
  </si>
  <si>
    <t>Sep balance</t>
  </si>
  <si>
    <t>Manjeera bill</t>
  </si>
  <si>
    <t>Manjeera chanda</t>
  </si>
  <si>
    <t>Sweeper chandha</t>
  </si>
  <si>
    <t>Watchman Chandha</t>
  </si>
  <si>
    <t>Dust clear chanda</t>
  </si>
  <si>
    <t>Dusserra Flowers</t>
  </si>
  <si>
    <t>04 tank clean</t>
  </si>
  <si>
    <t>Bleaching, sponze etc</t>
  </si>
  <si>
    <t>Water tankers</t>
  </si>
  <si>
    <t>Electricity bill</t>
  </si>
  <si>
    <t>Cheepus+Bucket</t>
  </si>
  <si>
    <t>Oil</t>
  </si>
  <si>
    <t>Oct balance</t>
  </si>
  <si>
    <t>Last + current month</t>
  </si>
  <si>
    <t>Lizol+chipurue</t>
  </si>
  <si>
    <t>water tankers</t>
  </si>
  <si>
    <t>Grills + wire</t>
  </si>
  <si>
    <t>Nov balance</t>
  </si>
  <si>
    <t>NOV month- Dec balance</t>
  </si>
  <si>
    <t>Lizol</t>
  </si>
  <si>
    <t>Plumber-pipe leak</t>
  </si>
  <si>
    <t>LiftGaurds replace</t>
  </si>
  <si>
    <t>Water tanks</t>
  </si>
  <si>
    <t>Birds net Buil</t>
  </si>
  <si>
    <t>Dec balance</t>
  </si>
  <si>
    <t>Misc</t>
  </si>
  <si>
    <t>Tanker</t>
  </si>
  <si>
    <t>Jan balance</t>
  </si>
  <si>
    <t>Current Meter Reading</t>
  </si>
  <si>
    <t xml:space="preserve"> </t>
  </si>
  <si>
    <t>FEB balance</t>
  </si>
  <si>
    <t>Expenditures</t>
  </si>
  <si>
    <t>Tankers</t>
  </si>
  <si>
    <t>Lift Man</t>
  </si>
  <si>
    <t>Horpic</t>
  </si>
  <si>
    <t>Per Lt cost</t>
  </si>
  <si>
    <t>Number of tankers/Number of litters</t>
  </si>
  <si>
    <t xml:space="preserve">Total </t>
  </si>
  <si>
    <t>Mar Balance</t>
  </si>
  <si>
    <t>Generator Charger</t>
  </si>
  <si>
    <t>Bleaching Power &amp; spanges</t>
  </si>
  <si>
    <t>Lyzol &amp; Dust pan</t>
  </si>
  <si>
    <t>Tanks Clean</t>
  </si>
  <si>
    <t>FEB Balance</t>
  </si>
  <si>
    <t>Addition (Subbarao)</t>
  </si>
  <si>
    <t>Water Tankers</t>
  </si>
  <si>
    <t>Paid Amount</t>
  </si>
  <si>
    <t>Received 101 pending amount</t>
  </si>
  <si>
    <t>Mar balance</t>
  </si>
  <si>
    <t>ugadi flowers</t>
  </si>
  <si>
    <t>cheepuru,lizol</t>
  </si>
  <si>
    <t>Apr Balance</t>
  </si>
  <si>
    <t>April balance</t>
  </si>
  <si>
    <t xml:space="preserve">Lift maintainance </t>
  </si>
  <si>
    <t>Lift Gear oil</t>
  </si>
  <si>
    <t>Two Bulbs</t>
  </si>
  <si>
    <t xml:space="preserve">WATER Tankers(7) </t>
  </si>
  <si>
    <t>May Balance</t>
  </si>
  <si>
    <t>May balance</t>
  </si>
  <si>
    <t>Muggu+dust bin+mop sticks+grooms</t>
  </si>
  <si>
    <t>June Balance</t>
  </si>
  <si>
    <t>Miscellaneous</t>
  </si>
  <si>
    <t xml:space="preserve">WATER Tankers(8) </t>
  </si>
  <si>
    <t>Aug Balance</t>
  </si>
  <si>
    <t>July balance</t>
  </si>
  <si>
    <t xml:space="preserve">WATER Tankers(9) </t>
  </si>
  <si>
    <t>July Balance</t>
  </si>
  <si>
    <t xml:space="preserve">Received on </t>
  </si>
  <si>
    <t>9th sep</t>
  </si>
  <si>
    <t>18th sep</t>
  </si>
  <si>
    <t>4th sep</t>
  </si>
  <si>
    <t>10th sep</t>
  </si>
  <si>
    <t>1st oct</t>
  </si>
  <si>
    <t>7th sep</t>
  </si>
  <si>
    <t>Aug Balnce</t>
  </si>
  <si>
    <t xml:space="preserve">6th sep </t>
  </si>
  <si>
    <t>Muggu @ 2nd Sep</t>
  </si>
  <si>
    <t>Broom Stick @ 9th sep</t>
  </si>
  <si>
    <t>Electricity bill @9th sep</t>
  </si>
  <si>
    <t>Common</t>
  </si>
  <si>
    <t>GHMc - sweeper</t>
  </si>
  <si>
    <t>Manjeera person</t>
  </si>
  <si>
    <t xml:space="preserve">Balance avilable </t>
  </si>
  <si>
    <t>September Month Balance avilable - 31212</t>
  </si>
  <si>
    <t>Balance from sep.month</t>
  </si>
  <si>
    <t xml:space="preserve">watchman salary+bonus </t>
  </si>
  <si>
    <t>Tankers bill -sep month</t>
  </si>
  <si>
    <t>4th oct</t>
  </si>
  <si>
    <t>GHMC -Garbage</t>
  </si>
  <si>
    <t>5th Oct</t>
  </si>
  <si>
    <t>8th Oct</t>
  </si>
  <si>
    <t>manjeera bill common</t>
  </si>
  <si>
    <t xml:space="preserve">9th oct </t>
  </si>
  <si>
    <t>electricity bill common</t>
  </si>
  <si>
    <t xml:space="preserve">3rd oct </t>
  </si>
  <si>
    <t>GHMC</t>
  </si>
  <si>
    <t>25th Oct</t>
  </si>
  <si>
    <t>Diesel</t>
  </si>
  <si>
    <t>watchMan salary advance</t>
  </si>
  <si>
    <t>28thoct</t>
  </si>
  <si>
    <t xml:space="preserve">WATER Tankers(10) </t>
  </si>
  <si>
    <t>Received on (Subbarao)</t>
  </si>
  <si>
    <t>Balance from Oct.month</t>
  </si>
  <si>
    <t>Received</t>
  </si>
  <si>
    <t>Received in dec</t>
  </si>
  <si>
    <t xml:space="preserve">Paid On </t>
  </si>
  <si>
    <t>watchman salary</t>
  </si>
  <si>
    <t>4th Nov</t>
  </si>
  <si>
    <t>R</t>
  </si>
  <si>
    <t>6000 Received for 3 months (OCT,NOV,DEC-22) in March -23</t>
  </si>
  <si>
    <t>Tankers bill -Oct month</t>
  </si>
  <si>
    <t xml:space="preserve">Broom Stick </t>
  </si>
  <si>
    <t>6th Nov</t>
  </si>
  <si>
    <t>Common electricity bill</t>
  </si>
  <si>
    <t>5th Nov</t>
  </si>
  <si>
    <t xml:space="preserve">water bill </t>
  </si>
  <si>
    <t>22nd Nov</t>
  </si>
  <si>
    <t xml:space="preserve">Tank Cleaning </t>
  </si>
  <si>
    <t>14th Nov</t>
  </si>
  <si>
    <t>Plumbing amount</t>
  </si>
  <si>
    <t>29th Nov</t>
  </si>
  <si>
    <t xml:space="preserve">Muggu </t>
  </si>
  <si>
    <t xml:space="preserve">                                                                                                                                </t>
  </si>
  <si>
    <t>Reveived Amount (Subbarao)</t>
  </si>
  <si>
    <t>Balance from Nov.month</t>
  </si>
  <si>
    <t>Not Received</t>
  </si>
  <si>
    <t>For Nov &amp; December Month</t>
  </si>
  <si>
    <t xml:space="preserve">Watch Man Salary </t>
  </si>
  <si>
    <t>Nov - Water Tanker</t>
  </si>
  <si>
    <t xml:space="preserve">Common electricity </t>
  </si>
  <si>
    <t>common water</t>
  </si>
  <si>
    <t>MCB Repair</t>
  </si>
  <si>
    <t>Lift &amp; Watchman washroom Repair</t>
  </si>
  <si>
    <t>distled water</t>
  </si>
  <si>
    <t>lizol</t>
  </si>
  <si>
    <t>watchman service fee</t>
  </si>
  <si>
    <t>watchman salary advance</t>
  </si>
  <si>
    <t>16-12-2022</t>
  </si>
  <si>
    <t>9w lights 6 no.s</t>
  </si>
  <si>
    <t>20-12-2022</t>
  </si>
  <si>
    <t>Tankers Taken on date</t>
  </si>
  <si>
    <t xml:space="preserve">No.s - 9 </t>
  </si>
  <si>
    <t xml:space="preserve">Balance from December Month </t>
  </si>
  <si>
    <t xml:space="preserve">Garbage Amount </t>
  </si>
  <si>
    <t xml:space="preserve">Water Tanker </t>
  </si>
  <si>
    <t>Jan 3rd</t>
  </si>
  <si>
    <t xml:space="preserve">watchman salary </t>
  </si>
  <si>
    <t>Common electricity</t>
  </si>
  <si>
    <t>jan 5th</t>
  </si>
  <si>
    <t>Broomsticks</t>
  </si>
  <si>
    <t>jan7th</t>
  </si>
  <si>
    <t>jan 10th</t>
  </si>
  <si>
    <t>Lift maintenance( Last paid may -22 )</t>
  </si>
  <si>
    <t>jan 11th</t>
  </si>
  <si>
    <t xml:space="preserve">Wiper </t>
  </si>
  <si>
    <t>jan 13th</t>
  </si>
  <si>
    <t>22991 Received</t>
  </si>
  <si>
    <t>Total Maintenance</t>
  </si>
  <si>
    <t>Garbage Amount</t>
  </si>
  <si>
    <t xml:space="preserve">Topay </t>
  </si>
  <si>
    <t xml:space="preserve">Balance from January Month </t>
  </si>
  <si>
    <t>NR</t>
  </si>
  <si>
    <t xml:space="preserve">feb 4th </t>
  </si>
  <si>
    <t>4000 Received for 2 months (JAN,FEB-23) in April -23</t>
  </si>
  <si>
    <t>water tanker</t>
  </si>
  <si>
    <t>water bill manjeera</t>
  </si>
  <si>
    <t xml:space="preserve">feb 8th </t>
  </si>
  <si>
    <t xml:space="preserve">common electrictiy </t>
  </si>
  <si>
    <t xml:space="preserve">GHMC dust </t>
  </si>
  <si>
    <t xml:space="preserve">feb 9th </t>
  </si>
  <si>
    <t xml:space="preserve">feb 26th </t>
  </si>
  <si>
    <t>Tank cleaning</t>
  </si>
  <si>
    <t>feb 28th</t>
  </si>
  <si>
    <t xml:space="preserve">WATER Tankers(11) </t>
  </si>
  <si>
    <t xml:space="preserve">Balance from Feb Month </t>
  </si>
  <si>
    <t>tanker bill</t>
  </si>
  <si>
    <t>common electricity</t>
  </si>
  <si>
    <t>flowers</t>
  </si>
  <si>
    <t>mangoleaves</t>
  </si>
  <si>
    <t>Transformer</t>
  </si>
  <si>
    <t>garbage</t>
  </si>
  <si>
    <t>tank cleaning</t>
  </si>
  <si>
    <t>Bulb</t>
  </si>
  <si>
    <t>Received 6000 Rs against maintenance for Nov ,Dec, Jan from subba rao garu</t>
  </si>
  <si>
    <t xml:space="preserve">Balance from Mar Month </t>
  </si>
  <si>
    <t>Pending Amounts (Subbarao)</t>
  </si>
  <si>
    <t xml:space="preserve">water tankers </t>
  </si>
  <si>
    <t xml:space="preserve">common electricity </t>
  </si>
  <si>
    <t>plumber</t>
  </si>
  <si>
    <t xml:space="preserve">common water bill </t>
  </si>
  <si>
    <t xml:space="preserve">chetta </t>
  </si>
  <si>
    <t>diseal</t>
  </si>
  <si>
    <t>muggu</t>
  </si>
  <si>
    <t>bulbs (5)</t>
  </si>
  <si>
    <t xml:space="preserve">manjeer water cap cleaning </t>
  </si>
  <si>
    <t>Received  4000 against Maintenance for Feb, March fromSubbaRao garu</t>
  </si>
  <si>
    <t xml:space="preserve">WATER Tankers(15) </t>
  </si>
  <si>
    <t>To Pay</t>
  </si>
  <si>
    <t>Received Amount</t>
  </si>
  <si>
    <t xml:space="preserve">Balance from April  Month </t>
  </si>
  <si>
    <t>302 Flat (May)</t>
  </si>
  <si>
    <t>301 flat (April)</t>
  </si>
  <si>
    <t>watch man salary</t>
  </si>
  <si>
    <t>moter repair</t>
  </si>
  <si>
    <t>plumber old balance</t>
  </si>
  <si>
    <t>power bill</t>
  </si>
  <si>
    <t>Dust amount</t>
  </si>
  <si>
    <t>Pending (500)</t>
  </si>
  <si>
    <t>Dust Covers</t>
  </si>
  <si>
    <t>Total:</t>
  </si>
  <si>
    <t xml:space="preserve"> Saving Amount for May 23</t>
  </si>
  <si>
    <t>Total  Balance(May)</t>
  </si>
  <si>
    <t xml:space="preserve">WATER Tankers(12) </t>
  </si>
  <si>
    <t>Receive Amount</t>
  </si>
  <si>
    <t xml:space="preserve">Balance from May Month </t>
  </si>
  <si>
    <t>WATCHMAN SALARY</t>
  </si>
  <si>
    <t>Tankers Amunt (May Month)</t>
  </si>
  <si>
    <t>Groom</t>
  </si>
  <si>
    <t>Current Bill</t>
  </si>
  <si>
    <t>Chetta amount</t>
  </si>
  <si>
    <t xml:space="preserve">Received(with500) </t>
  </si>
  <si>
    <t>Taps&amp;Pipes repair</t>
  </si>
  <si>
    <t>Lift repair</t>
  </si>
  <si>
    <t>manjeera water tanker</t>
  </si>
  <si>
    <t>urban clap person</t>
  </si>
  <si>
    <t>lizol,bleaching</t>
  </si>
  <si>
    <t>Total Balance(June)</t>
  </si>
  <si>
    <t xml:space="preserve">Balance from June  Month </t>
  </si>
  <si>
    <t>RECEIVED</t>
  </si>
  <si>
    <t>Watchman Salary</t>
  </si>
  <si>
    <t>Water tankers Amount</t>
  </si>
  <si>
    <t>Dust clean chatalu</t>
  </si>
  <si>
    <t>Manjerra water bill(3 Mon)</t>
  </si>
  <si>
    <t>Current bill Amount</t>
  </si>
  <si>
    <t>Tank Cleaning(2) amount</t>
  </si>
  <si>
    <t>Lift bulb repair</t>
  </si>
  <si>
    <t xml:space="preserve">WATER Tankers(14) </t>
  </si>
  <si>
    <t xml:space="preserve">Balance from July  Month </t>
  </si>
  <si>
    <t>SUBBARAO GARU</t>
  </si>
  <si>
    <t>Carpus fund</t>
  </si>
  <si>
    <t>Manjerra water bill</t>
  </si>
  <si>
    <t>Diesel Amount</t>
  </si>
  <si>
    <t>Mapu Amount</t>
  </si>
  <si>
    <t>Balance amount (Auguest)</t>
  </si>
  <si>
    <t>2 bulbs</t>
  </si>
  <si>
    <t>Chipurlu-2 +2</t>
  </si>
  <si>
    <t>Lift Sound Box</t>
  </si>
  <si>
    <t>Motor Capacitor</t>
  </si>
  <si>
    <t xml:space="preserve">WATER Tankers(13) </t>
  </si>
  <si>
    <t xml:space="preserve">Dussera </t>
  </si>
  <si>
    <t>Water Tanker person</t>
  </si>
  <si>
    <t>Dustbin Person</t>
  </si>
  <si>
    <t>Sweepers</t>
  </si>
  <si>
    <t>Skybroom</t>
  </si>
  <si>
    <t>Per flat</t>
  </si>
  <si>
    <t>Lock</t>
  </si>
  <si>
    <t>Rounded</t>
  </si>
  <si>
    <t>Added in NOV bill</t>
  </si>
  <si>
    <t>Capacitor +Tape</t>
  </si>
  <si>
    <t>Tank clean (3 Nos)</t>
  </si>
  <si>
    <t>Flowers+ Mango</t>
  </si>
  <si>
    <t>Broom</t>
  </si>
  <si>
    <t>Dussera Payment</t>
  </si>
  <si>
    <t>1Tank clean</t>
  </si>
  <si>
    <t>Lizol 2.5 L</t>
  </si>
  <si>
    <t>Dussera payment</t>
  </si>
  <si>
    <t>Diwali Flowers</t>
  </si>
  <si>
    <t>Electrical repair</t>
  </si>
  <si>
    <t>Motor repair</t>
  </si>
  <si>
    <t>Motor switch</t>
  </si>
  <si>
    <t xml:space="preserve">Motor leak </t>
  </si>
  <si>
    <t xml:space="preserve">Water pipe leak </t>
  </si>
  <si>
    <t>New watch man salary</t>
  </si>
  <si>
    <t>paid as advance in December</t>
  </si>
  <si>
    <t>Common Water</t>
  </si>
  <si>
    <t>Common Electricity</t>
  </si>
  <si>
    <t xml:space="preserve">Garbage collection </t>
  </si>
  <si>
    <t xml:space="preserve">Water tanker </t>
  </si>
  <si>
    <t xml:space="preserve">Broom stick </t>
  </si>
  <si>
    <t>Muggu , Wiper, Flowers,Colours</t>
  </si>
  <si>
    <t>Total Expenses</t>
  </si>
  <si>
    <t xml:space="preserve">Watchman Salary </t>
  </si>
  <si>
    <t xml:space="preserve">Water Tankers </t>
  </si>
  <si>
    <t>Common elecrticity</t>
  </si>
  <si>
    <t xml:space="preserve">common water bill paid </t>
  </si>
  <si>
    <t>Muggu &amp; Mop stick</t>
  </si>
  <si>
    <t xml:space="preserve">Garbage </t>
  </si>
  <si>
    <t>Bleaching powder abd broomstick</t>
  </si>
  <si>
    <t xml:space="preserve">  </t>
  </si>
  <si>
    <t xml:space="preserve">Tanks Cleaning ( 2) tanks </t>
  </si>
  <si>
    <t>Water Tankers (13) No.s</t>
  </si>
  <si>
    <t>muncipal weater bill</t>
  </si>
  <si>
    <t>common power</t>
  </si>
  <si>
    <t>watchman salary advance for aprl</t>
  </si>
  <si>
    <t xml:space="preserve">Filters and meter cleaning </t>
  </si>
  <si>
    <t>Balance amount (MAR)-24</t>
  </si>
  <si>
    <t>received</t>
  </si>
  <si>
    <t xml:space="preserve">transferred to jagadesh garu on 13th april </t>
  </si>
  <si>
    <t xml:space="preserve">Watchman Salary Already given advance </t>
  </si>
  <si>
    <t xml:space="preserve">Tanker -13 </t>
  </si>
  <si>
    <t>plumber bill for 3rd filter installsation and accessories</t>
  </si>
  <si>
    <t>plumber charges for fixing leakges</t>
  </si>
  <si>
    <t>urban clap plumber</t>
  </si>
  <si>
    <t xml:space="preserve">ugadi flowers </t>
  </si>
  <si>
    <t>drainage cleaning</t>
  </si>
  <si>
    <t>mop</t>
  </si>
  <si>
    <t>Garbage</t>
  </si>
  <si>
    <t xml:space="preserve">Common water </t>
  </si>
  <si>
    <t>tanker</t>
  </si>
  <si>
    <t>tankers- cost increase</t>
  </si>
  <si>
    <t>Meter Problem</t>
  </si>
  <si>
    <t xml:space="preserve">Revised Tanker cost @1250 per tanker </t>
  </si>
  <si>
    <t>Common water (Majeera)</t>
  </si>
  <si>
    <t>Generator service</t>
  </si>
  <si>
    <t>(from Corpus fund)</t>
  </si>
  <si>
    <t>Genrator Disel</t>
  </si>
  <si>
    <t>Builb and Genetor Lock</t>
  </si>
  <si>
    <t xml:space="preserve">Meter Problem </t>
  </si>
  <si>
    <t xml:space="preserve">Bleeching </t>
  </si>
  <si>
    <t>Cleaning Acid</t>
  </si>
  <si>
    <t>Teflon Tape &amp; Castic Soda for pipe clean</t>
  </si>
  <si>
    <t>Lift Maintanance</t>
  </si>
  <si>
    <t xml:space="preserve">Watch man door repair </t>
  </si>
  <si>
    <t xml:space="preserve">Water tanker cleaning </t>
  </si>
  <si>
    <t xml:space="preserve">Bleaching powder, hand gloves and dustbin covers </t>
  </si>
  <si>
    <t>Grabase collector ( Cleaning beside wall)</t>
  </si>
  <si>
    <t>Chipurulu</t>
  </si>
  <si>
    <t xml:space="preserve">Total reading </t>
  </si>
  <si>
    <t>stuck at 144.42 from their previous meter reading is considered</t>
  </si>
  <si>
    <t>`</t>
  </si>
  <si>
    <t>Balance amount (June)-24</t>
  </si>
  <si>
    <t>Carpus Fund</t>
  </si>
  <si>
    <t>12200-3000=9200</t>
  </si>
  <si>
    <t>Owner</t>
  </si>
  <si>
    <t>Total collect</t>
  </si>
  <si>
    <t>Bore Repair Amount</t>
  </si>
  <si>
    <t>Builder Krishna</t>
  </si>
  <si>
    <t>Mr. KP Rao</t>
  </si>
  <si>
    <t>Mr. Jagadish</t>
  </si>
  <si>
    <t>Mr. Mahesh</t>
  </si>
  <si>
    <t>Disbursement</t>
  </si>
  <si>
    <t>Mr.Krishanm Raju</t>
  </si>
  <si>
    <t>Mr. Peddi RaJu</t>
  </si>
  <si>
    <t>Mr. Pedda Raju</t>
  </si>
  <si>
    <t>Mr. Uma Mahesh</t>
  </si>
  <si>
    <t>Mr.Subbarao garu</t>
  </si>
  <si>
    <t>Mr. Ram Kumar</t>
  </si>
  <si>
    <t>Mr. Sai Sankar</t>
  </si>
  <si>
    <t>Mr. Srinivas</t>
  </si>
  <si>
    <t>Mr. Seshu</t>
  </si>
  <si>
    <t>Mr. Sai ram kumar</t>
  </si>
  <si>
    <t>Total Bal in Carpus fund</t>
  </si>
  <si>
    <t>Water connection spend amt</t>
  </si>
  <si>
    <t>Advance Bal</t>
  </si>
  <si>
    <t>Added in carpus fund</t>
  </si>
  <si>
    <t>Added in maintenance</t>
  </si>
  <si>
    <t>Birds Net 12 Aug2021</t>
  </si>
  <si>
    <t>Birds Net Amount</t>
  </si>
  <si>
    <t>reverted on 28 Aug 2023</t>
  </si>
  <si>
    <t>list</t>
  </si>
  <si>
    <t>CC Camera</t>
  </si>
  <si>
    <t xml:space="preserve">Vinayaka Chavithi Stage </t>
  </si>
  <si>
    <t>Bore Motor</t>
  </si>
  <si>
    <t>Reverted on 27-Dec-23</t>
  </si>
  <si>
    <t>Curent balance (16-6-2024)</t>
  </si>
  <si>
    <t>350 Back from Uma Mahesh</t>
  </si>
  <si>
    <t>Meters</t>
  </si>
  <si>
    <t>Generator Service</t>
  </si>
  <si>
    <t>Water connection expendature</t>
  </si>
  <si>
    <t>Received funds from Ram kumar</t>
  </si>
  <si>
    <t xml:space="preserve">Given to Hari </t>
  </si>
  <si>
    <t>Added 5000 my pending month payment</t>
  </si>
  <si>
    <t>Print outs</t>
  </si>
  <si>
    <t>Khairathabad Water Board</t>
  </si>
  <si>
    <t>Online Payment</t>
  </si>
  <si>
    <t>balance = 4200</t>
  </si>
  <si>
    <t>Contractor</t>
  </si>
  <si>
    <t>Including Meter cost</t>
  </si>
  <si>
    <t>Cement</t>
  </si>
  <si>
    <t>Need to confirm with Sri Sai nivas Apartment People</t>
  </si>
  <si>
    <t>Manjeera Pipe Items</t>
  </si>
  <si>
    <t xml:space="preserve">Total Expendature </t>
  </si>
  <si>
    <t>Plumbing Items</t>
  </si>
  <si>
    <t>Plumber charges</t>
  </si>
  <si>
    <t>Watchman Money</t>
  </si>
  <si>
    <t>CementWork</t>
  </si>
  <si>
    <t>ManjeeraPipe leak repair</t>
  </si>
  <si>
    <t>Urban clap Plumber</t>
  </si>
  <si>
    <t>Final After expendature Balance</t>
  </si>
  <si>
    <t>Cleared</t>
  </si>
  <si>
    <t>Jaga maintanance for Feb Month</t>
  </si>
  <si>
    <t>Total Expendature</t>
  </si>
  <si>
    <t>Manjeera Bill Paid by Jaga</t>
  </si>
  <si>
    <t>Jaga need to receive from Maintanence</t>
  </si>
  <si>
    <t>Share of Each Flat</t>
  </si>
  <si>
    <t>Round of amount</t>
  </si>
  <si>
    <t>CC Camera repair (PowerBox Issue)</t>
  </si>
  <si>
    <t>Balance amount (MAY)-24</t>
  </si>
  <si>
    <t>CC Camera Power Box failure</t>
  </si>
  <si>
    <t>Balance amount (July)-24</t>
  </si>
  <si>
    <t xml:space="preserve">WATER Tankers(17) </t>
  </si>
  <si>
    <t>Generater Batary</t>
  </si>
  <si>
    <t>1500 Send from Curpus</t>
  </si>
  <si>
    <t>Balance on Date Aug 2nd 2024</t>
  </si>
  <si>
    <t>July 2024 Expendature</t>
  </si>
  <si>
    <t>Watchman Shelfs</t>
  </si>
  <si>
    <t>Water Purification</t>
  </si>
  <si>
    <t>Puumbing work</t>
  </si>
  <si>
    <t>16120 Paid by Teja</t>
  </si>
  <si>
    <t xml:space="preserve">80 paid by Sai shankar </t>
  </si>
  <si>
    <t>tankers Last Month (17)</t>
  </si>
  <si>
    <t>List Door Open Buzzer</t>
  </si>
  <si>
    <t>Balance amount (Aug)-24</t>
  </si>
  <si>
    <t>Vinakaya Chavithi Flowers</t>
  </si>
  <si>
    <t>Muggu color</t>
  </si>
  <si>
    <t>Prasadam Cups/Glasses</t>
  </si>
  <si>
    <t>Bulbs (8)</t>
  </si>
  <si>
    <t xml:space="preserve">Softner Electrical board </t>
  </si>
  <si>
    <t>Electri</t>
  </si>
  <si>
    <t>Balance amount (Sep)-24</t>
  </si>
  <si>
    <t>Previous Balance</t>
  </si>
  <si>
    <t>Mr.Teja</t>
  </si>
  <si>
    <t>Mr.Ganesh</t>
  </si>
  <si>
    <t>Dasurra Amounts</t>
  </si>
  <si>
    <t xml:space="preserve">WATER Tankers(18) </t>
  </si>
  <si>
    <t>light</t>
  </si>
  <si>
    <t>Broom Stick</t>
  </si>
  <si>
    <t>Tank Cleaning</t>
  </si>
  <si>
    <t>Ropes</t>
  </si>
  <si>
    <t>Balance amount (Nov)-24</t>
  </si>
  <si>
    <t>Pending</t>
  </si>
  <si>
    <t>Balance amount (Dec)-24</t>
  </si>
  <si>
    <t>Savitri Muggu/Clours</t>
  </si>
  <si>
    <t>Number of tankers / Number of litters</t>
  </si>
  <si>
    <t>Flat Numbers</t>
  </si>
  <si>
    <t>Flowers &amp; Clours</t>
  </si>
  <si>
    <t xml:space="preserve">Broom sticks &amp; Muggu </t>
  </si>
  <si>
    <t>Balance amount (Jan)-24</t>
  </si>
  <si>
    <t>Balance amount (Feb)-24</t>
  </si>
  <si>
    <t>Feb Month Expenditures</t>
  </si>
  <si>
    <t xml:space="preserve">Disiel </t>
  </si>
  <si>
    <t>Electrical work</t>
  </si>
  <si>
    <t>Lift AMC</t>
  </si>
  <si>
    <t>Bleasching &amp; Tank Clean</t>
  </si>
  <si>
    <t xml:space="preserve">WATER Tankers(19) </t>
  </si>
  <si>
    <t>Mar Month Expenditures</t>
  </si>
  <si>
    <t>Pipe work</t>
  </si>
  <si>
    <t>Manjeera water tank</t>
  </si>
  <si>
    <t>Watchman Disital water</t>
  </si>
  <si>
    <t>Balance amount (Mar)-24</t>
  </si>
  <si>
    <t>Shehu (balance refund)</t>
  </si>
  <si>
    <t>Balance amount (April)-24</t>
  </si>
  <si>
    <t>April Month Expenditures</t>
  </si>
  <si>
    <t>Salary Advance</t>
  </si>
  <si>
    <t>Balance amount (May)-25</t>
  </si>
  <si>
    <t>Net Balance (After Deduction)</t>
  </si>
  <si>
    <t>Water Purify Amount</t>
  </si>
  <si>
    <t>Other</t>
  </si>
  <si>
    <t>Balance amount (June)-25</t>
  </si>
  <si>
    <t>Next Month Balance</t>
  </si>
  <si>
    <t>May Month Expenditures</t>
  </si>
  <si>
    <t>June Month Expenditures</t>
  </si>
  <si>
    <t>Water Tank Clean brush</t>
  </si>
  <si>
    <t xml:space="preserve">WATER Tankers(11+6+1.5=18.5) </t>
  </si>
  <si>
    <t>Water Softner Cleaning</t>
  </si>
  <si>
    <t>List Maintanance</t>
  </si>
  <si>
    <t>Manjeera+watertank Spot payment</t>
  </si>
  <si>
    <t>Last Month Adjustment</t>
  </si>
  <si>
    <t>Difference Amount</t>
  </si>
  <si>
    <t>July Month Expenditures</t>
  </si>
  <si>
    <t>Water Tankers New(3*1400)</t>
  </si>
  <si>
    <t>Lift AMC Amount</t>
  </si>
  <si>
    <t xml:space="preserve">Capacitor replaced </t>
  </si>
  <si>
    <t>Water Tank Cleaning</t>
  </si>
  <si>
    <t>Gate + Handle</t>
  </si>
  <si>
    <t>Hanging Wire(229+2*69)</t>
  </si>
  <si>
    <t>)Muggu(100)+lizol(140)+detttol(158)+broom(50)</t>
  </si>
  <si>
    <t>Balance amount (July)-25</t>
  </si>
  <si>
    <t xml:space="preserve">WATER Tankers(16+3=19) </t>
  </si>
  <si>
    <t xml:space="preserve">WATER Tankers(16) </t>
  </si>
  <si>
    <t>Generator checking</t>
  </si>
  <si>
    <t>Batter charge</t>
  </si>
  <si>
    <t>Hanging wires(240*2+89)</t>
  </si>
  <si>
    <t>wipers</t>
  </si>
  <si>
    <t>Softner Amount</t>
  </si>
  <si>
    <t>cleared</t>
  </si>
  <si>
    <t xml:space="preserve">Corpus fund details </t>
  </si>
  <si>
    <t>Interest rate</t>
  </si>
  <si>
    <t>Given Date</t>
  </si>
  <si>
    <t>1 Rupee</t>
  </si>
  <si>
    <t xml:space="preserve">Remaining Corpus fund </t>
  </si>
  <si>
    <t>Collected from Jagadheesh</t>
  </si>
  <si>
    <t>202- 10k</t>
  </si>
  <si>
    <t>204-10k</t>
  </si>
  <si>
    <t>103-5k</t>
  </si>
  <si>
    <t>104-5k</t>
  </si>
  <si>
    <t>101-10k</t>
  </si>
  <si>
    <t>203- 5k</t>
  </si>
  <si>
    <t>collected in JULY&amp;AUG-2025</t>
  </si>
  <si>
    <t>Collected Amount</t>
  </si>
  <si>
    <t>Expences</t>
  </si>
  <si>
    <t>Last Laddu Auction</t>
  </si>
  <si>
    <t>Carpet</t>
  </si>
  <si>
    <t>Stand</t>
  </si>
  <si>
    <t>Puja Samagri</t>
  </si>
  <si>
    <t>Stand Bolts</t>
  </si>
  <si>
    <t>Auto</t>
  </si>
  <si>
    <t xml:space="preserve">cow dung packets </t>
  </si>
  <si>
    <t>flowers  Banti Dandalu (80*20)</t>
  </si>
  <si>
    <t>coconuts(14*25)</t>
  </si>
  <si>
    <t>Bananas</t>
  </si>
  <si>
    <t>Jagadheesh (Switch Board + chembu)</t>
  </si>
  <si>
    <t>Sai Shankar (blue carpet)</t>
  </si>
  <si>
    <t>Paper Plates + glasses (1st time)</t>
  </si>
  <si>
    <t>Dustbin Covers</t>
  </si>
  <si>
    <t>Paper Plates + glasses (2nd time)</t>
  </si>
  <si>
    <t xml:space="preserve">Hijra </t>
  </si>
  <si>
    <t>Banana (2nd time)</t>
  </si>
  <si>
    <t>flowers 1/4kg</t>
  </si>
  <si>
    <t>Suredu gummadi kaya</t>
  </si>
  <si>
    <t>Prasadam Cups</t>
  </si>
  <si>
    <t>Ganesh Bands</t>
  </si>
  <si>
    <t>Saluva's (2*100)</t>
  </si>
  <si>
    <t>Sai Shankar (mang o leaves+ water bottles+ paper plates)</t>
  </si>
  <si>
    <t>Mahesh (raju shop)</t>
  </si>
  <si>
    <t>Rambabu (velaga pandu)</t>
  </si>
  <si>
    <t>Jagadheesh (spatika)</t>
  </si>
  <si>
    <t>Carpet dry cleaning (2*600)</t>
  </si>
  <si>
    <t>collected Amount</t>
  </si>
  <si>
    <t>Total Amount (A)</t>
  </si>
  <si>
    <t>Total Expenses(B)</t>
  </si>
  <si>
    <t>Balance Amount (A-B)</t>
  </si>
  <si>
    <t>Balance amount (Aug)-25</t>
  </si>
  <si>
    <t>Balance amount (sep)-25</t>
  </si>
  <si>
    <t>sep Month Expenditures</t>
  </si>
  <si>
    <t>aug Month Expenditures</t>
  </si>
  <si>
    <t>eletritian</t>
  </si>
  <si>
    <t>greez</t>
  </si>
  <si>
    <t>ganesh mamulu (garbage)</t>
  </si>
  <si>
    <t>motor repair</t>
  </si>
  <si>
    <t>stick broom</t>
  </si>
  <si>
    <t>mapu stick</t>
  </si>
  <si>
    <t>normal broom'</t>
  </si>
  <si>
    <t>floor cleaner</t>
  </si>
  <si>
    <t xml:space="preserve">dussara bonus for manjeera </t>
  </si>
  <si>
    <t>dussara bonus for municipality</t>
  </si>
  <si>
    <t>dussara bonus for watch man</t>
  </si>
  <si>
    <t>Ganesh Festival - 2025</t>
  </si>
  <si>
    <t>Water Tanker</t>
  </si>
  <si>
    <t>Common Maintanence</t>
  </si>
  <si>
    <t>Balance amount (Oct)-25</t>
  </si>
  <si>
    <t>WATER Tankers(17) One Tanker Cost: 1200</t>
  </si>
  <si>
    <t>Watchman Dassura Bonus</t>
  </si>
  <si>
    <t>Flowers For Dussara</t>
  </si>
  <si>
    <t>Flowers for Diwali</t>
  </si>
  <si>
    <t>Diyas</t>
  </si>
  <si>
    <t>Oct Month Expenditures</t>
  </si>
  <si>
    <t>Nov Month Expenditures</t>
  </si>
  <si>
    <t>Ganesh Laddu Auction</t>
  </si>
  <si>
    <t xml:space="preserve">The Balance 9560 is still with Peddaraju </t>
  </si>
  <si>
    <t>Plumbing work</t>
  </si>
  <si>
    <t>Broom Stick + Muggu</t>
  </si>
  <si>
    <t>Floor Cleaner</t>
  </si>
  <si>
    <t>Dec Month Expenditures</t>
  </si>
  <si>
    <t>15784</t>
  </si>
  <si>
    <t>Contribution</t>
  </si>
  <si>
    <t>Sno</t>
  </si>
  <si>
    <t>Plates (24)</t>
  </si>
  <si>
    <t>Ballons</t>
  </si>
  <si>
    <t>Tessues</t>
  </si>
  <si>
    <t>Muggu Colors</t>
  </si>
  <si>
    <t>Cake</t>
  </si>
  <si>
    <t>Plates &amp; Glasses</t>
  </si>
  <si>
    <t>Palli Chekki</t>
  </si>
  <si>
    <t>Non Veg Biryani</t>
  </si>
  <si>
    <t>Veg Biryani</t>
  </si>
  <si>
    <t>Curd+ water+plates</t>
  </si>
  <si>
    <t>Balance amount (nov)-25 After Expendatures</t>
  </si>
  <si>
    <t xml:space="preserve">Dec 31st Celebration </t>
  </si>
  <si>
    <t>31st Excess Amount</t>
  </si>
  <si>
    <t>Balance amount (nov)-25 COD: 31-12-2025</t>
  </si>
  <si>
    <t>Jan Month Expenditures</t>
  </si>
  <si>
    <t>Dec Month Tankers</t>
  </si>
  <si>
    <t>Nov Month Water Tankers</t>
  </si>
  <si>
    <t>Common Power Bill</t>
  </si>
  <si>
    <t>Common Water (Manjeera)</t>
  </si>
  <si>
    <t>19301</t>
  </si>
  <si>
    <t>Bulbs 2</t>
  </si>
  <si>
    <t>Manjeera Water Tank</t>
  </si>
  <si>
    <t>Water Meeters (G1 &amp; 203)</t>
  </si>
  <si>
    <t xml:space="preserve">Tanks Cleaning </t>
  </si>
  <si>
    <t xml:space="preserve">Broom Stick and Bleaching </t>
  </si>
  <si>
    <t>Jan 1st Tanker (Paid)</t>
  </si>
  <si>
    <t>Dust cleaner stick</t>
  </si>
  <si>
    <t>Balance amount (jan)-26 COD: 31-01-2026</t>
  </si>
  <si>
    <t>WATER Tankers(15) One Tanker Cost: 1200</t>
  </si>
  <si>
    <t>17199</t>
  </si>
  <si>
    <t>Jan Month Tankers</t>
  </si>
  <si>
    <t>Lift Maintananace</t>
  </si>
  <si>
    <t>Broom Stick &amp; Muggu pindi</t>
  </si>
  <si>
    <t>14470</t>
  </si>
  <si>
    <t>Feb Month Tankers</t>
  </si>
  <si>
    <t>WATER Tankers(18) One Tanker Cost: 1200</t>
  </si>
  <si>
    <t xml:space="preserve">Lozol </t>
  </si>
  <si>
    <t>Ugadi Flower Decoration</t>
  </si>
  <si>
    <t>Balance amount (Feb)-26 COD: 28-02-2026</t>
  </si>
  <si>
    <t>Balance amount (Mar)-26 COD: 31-03-2026</t>
  </si>
  <si>
    <t>Mar Month Tankers</t>
  </si>
  <si>
    <t>Status</t>
  </si>
  <si>
    <t>19360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</si>
</sst>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00000"/>
  </numFmts>
  <fonts count="27" x14ac:knownFonts="1">
    <font>
      <sz val="11"/>
      <color rgb="FF000000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u/>
      <sz val="11"/>
      <color rgb="FF0563C1"/>
      <name val="Calibri"/>
      <family val="2"/>
    </font>
    <font>
      <b/>
      <sz val="11"/>
      <color rgb="FF7030A0"/>
      <name val="Calibri"/>
      <family val="2"/>
    </font>
    <font>
      <b/>
      <sz val="11"/>
      <color rgb="FF00B050"/>
      <name val="Calibri"/>
      <family val="2"/>
    </font>
    <font>
      <b/>
      <sz val="11"/>
      <color rgb="FF00206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color rgb="FFED0000"/>
      <name val="Calibri"/>
      <family val="2"/>
    </font>
    <font>
      <sz val="11"/>
      <color rgb="FFED0000"/>
      <name val="Calibri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scheme val="minor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E2F3"/>
        <bgColor rgb="FFD9E2F3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92D050"/>
      </patternFill>
    </fill>
    <fill>
      <patternFill patternType="solid">
        <fgColor rgb="FF7030A0"/>
        <bgColor rgb="FF7030A0"/>
      </patternFill>
    </fill>
    <fill>
      <patternFill patternType="solid">
        <fgColor rgb="FF00B0F0"/>
        <bgColor rgb="FF00B0F0"/>
      </patternFill>
    </fill>
    <fill>
      <patternFill patternType="solid">
        <fgColor rgb="FFFBE4D5"/>
        <bgColor rgb="FFFBE4D5"/>
      </patternFill>
    </fill>
    <fill>
      <patternFill patternType="solid">
        <fgColor rgb="FFF4B083"/>
        <bgColor rgb="FFF4B083"/>
      </patternFill>
    </fill>
    <fill>
      <patternFill patternType="solid">
        <fgColor rgb="FFF7CAAC"/>
        <bgColor rgb="FFF7CAAC"/>
      </patternFill>
    </fill>
    <fill>
      <patternFill patternType="solid">
        <fgColor rgb="FFFFE598"/>
        <bgColor rgb="FFFFE598"/>
      </patternFill>
    </fill>
    <fill>
      <patternFill patternType="solid">
        <fgColor rgb="FFD8D8D8"/>
        <bgColor rgb="FFD8D8D8"/>
      </patternFill>
    </fill>
    <fill>
      <patternFill patternType="solid">
        <fgColor rgb="FFC55A11"/>
        <bgColor rgb="FFC55A11"/>
      </patternFill>
    </fill>
    <fill>
      <patternFill patternType="solid">
        <fgColor rgb="FFFFC000"/>
        <bgColor rgb="FFFFC000"/>
      </patternFill>
    </fill>
    <fill>
      <patternFill patternType="solid">
        <fgColor rgb="FFDEEAF6"/>
        <bgColor rgb="FFDEEAF6"/>
      </patternFill>
    </fill>
    <fill>
      <patternFill patternType="solid">
        <fgColor rgb="FFD0CECE"/>
        <bgColor rgb="FFD0CECE"/>
      </patternFill>
    </fill>
    <fill>
      <patternFill patternType="solid">
        <fgColor rgb="FF70AD47"/>
        <bgColor rgb="FF70AD47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rgb="FF92D05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rgb="FFC55A11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7">
    <border>
      <left/>
      <right/>
      <top/>
      <bottom/>
      <diagonal/>
    </border>
    <border>
      <left/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 style="thin">
        <color rgb="FF505050"/>
      </left>
      <right/>
      <top style="thin">
        <color rgb="FF50505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rgb="FF000000"/>
      </left>
      <right style="thin">
        <color rgb="FF000000"/>
      </right>
      <top style="thin">
        <color theme="4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6"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/>
    <xf numFmtId="0" fontId="7" fillId="0" borderId="4" xfId="0" applyFont="1" applyBorder="1"/>
    <xf numFmtId="0" fontId="8" fillId="0" borderId="5" xfId="0" applyFont="1" applyBorder="1"/>
    <xf numFmtId="0" fontId="8" fillId="0" borderId="4" xfId="0" applyFont="1" applyBorder="1" applyAlignment="1">
      <alignment horizontal="center"/>
    </xf>
    <xf numFmtId="164" fontId="8" fillId="0" borderId="4" xfId="0" applyNumberFormat="1" applyFont="1" applyBorder="1"/>
    <xf numFmtId="0" fontId="8" fillId="0" borderId="6" xfId="0" applyFont="1" applyBorder="1"/>
    <xf numFmtId="0" fontId="8" fillId="0" borderId="4" xfId="0" applyFont="1" applyBorder="1"/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9" fillId="0" borderId="0" xfId="0" applyFont="1"/>
    <xf numFmtId="0" fontId="7" fillId="0" borderId="0" xfId="0" applyFont="1"/>
    <xf numFmtId="0" fontId="10" fillId="2" borderId="4" xfId="0" applyFont="1" applyFill="1" applyBorder="1"/>
    <xf numFmtId="0" fontId="8" fillId="3" borderId="4" xfId="0" applyFont="1" applyFill="1" applyBorder="1"/>
    <xf numFmtId="0" fontId="8" fillId="3" borderId="4" xfId="0" applyFont="1" applyFill="1" applyBorder="1" applyAlignment="1">
      <alignment horizontal="center"/>
    </xf>
    <xf numFmtId="0" fontId="7" fillId="4" borderId="10" xfId="0" applyFont="1" applyFill="1" applyBorder="1"/>
    <xf numFmtId="14" fontId="8" fillId="0" borderId="4" xfId="0" applyNumberFormat="1" applyFont="1" applyBorder="1"/>
    <xf numFmtId="0" fontId="8" fillId="0" borderId="11" xfId="0" applyFont="1" applyBorder="1" applyAlignment="1">
      <alignment horizontal="center"/>
    </xf>
    <xf numFmtId="0" fontId="8" fillId="0" borderId="10" xfId="0" applyFont="1" applyBorder="1"/>
    <xf numFmtId="164" fontId="8" fillId="0" borderId="10" xfId="0" applyNumberFormat="1" applyFont="1" applyBorder="1"/>
    <xf numFmtId="15" fontId="8" fillId="0" borderId="10" xfId="0" applyNumberFormat="1" applyFont="1" applyBorder="1"/>
    <xf numFmtId="0" fontId="8" fillId="0" borderId="0" xfId="0" applyFont="1" applyAlignment="1">
      <alignment horizontal="center"/>
    </xf>
    <xf numFmtId="0" fontId="8" fillId="0" borderId="0" xfId="0" applyFont="1"/>
    <xf numFmtId="0" fontId="7" fillId="0" borderId="10" xfId="0" applyFont="1" applyBorder="1"/>
    <xf numFmtId="0" fontId="7" fillId="5" borderId="10" xfId="0" applyFont="1" applyFill="1" applyBorder="1"/>
    <xf numFmtId="0" fontId="8" fillId="0" borderId="10" xfId="0" applyFont="1" applyBorder="1" applyAlignment="1">
      <alignment horizontal="center"/>
    </xf>
    <xf numFmtId="2" fontId="8" fillId="0" borderId="10" xfId="0" applyNumberFormat="1" applyFont="1" applyBorder="1" applyAlignment="1">
      <alignment horizontal="center"/>
    </xf>
    <xf numFmtId="0" fontId="8" fillId="5" borderId="10" xfId="0" applyFont="1" applyFill="1" applyBorder="1"/>
    <xf numFmtId="0" fontId="8" fillId="6" borderId="10" xfId="0" applyFont="1" applyFill="1" applyBorder="1" applyAlignment="1">
      <alignment horizontal="center"/>
    </xf>
    <xf numFmtId="2" fontId="8" fillId="6" borderId="10" xfId="0" applyNumberFormat="1" applyFont="1" applyFill="1" applyBorder="1" applyAlignment="1">
      <alignment horizontal="center"/>
    </xf>
    <xf numFmtId="0" fontId="8" fillId="6" borderId="10" xfId="0" applyFont="1" applyFill="1" applyBorder="1"/>
    <xf numFmtId="0" fontId="8" fillId="7" borderId="14" xfId="0" applyFont="1" applyFill="1" applyBorder="1"/>
    <xf numFmtId="0" fontId="12" fillId="0" borderId="0" xfId="0" applyFont="1"/>
    <xf numFmtId="0" fontId="7" fillId="5" borderId="15" xfId="0" applyFont="1" applyFill="1" applyBorder="1"/>
    <xf numFmtId="0" fontId="8" fillId="5" borderId="15" xfId="0" applyFont="1" applyFill="1" applyBorder="1"/>
    <xf numFmtId="0" fontId="8" fillId="6" borderId="15" xfId="0" applyFont="1" applyFill="1" applyBorder="1"/>
    <xf numFmtId="0" fontId="7" fillId="0" borderId="11" xfId="0" applyFont="1" applyBorder="1"/>
    <xf numFmtId="0" fontId="8" fillId="0" borderId="11" xfId="0" applyFont="1" applyBorder="1"/>
    <xf numFmtId="0" fontId="14" fillId="0" borderId="0" xfId="0" applyFont="1"/>
    <xf numFmtId="0" fontId="13" fillId="7" borderId="14" xfId="0" applyFont="1" applyFill="1" applyBorder="1"/>
    <xf numFmtId="2" fontId="8" fillId="0" borderId="10" xfId="0" applyNumberFormat="1" applyFont="1" applyBorder="1"/>
    <xf numFmtId="2" fontId="8" fillId="6" borderId="16" xfId="0" applyNumberFormat="1" applyFont="1" applyFill="1" applyBorder="1" applyAlignment="1">
      <alignment horizontal="center"/>
    </xf>
    <xf numFmtId="0" fontId="8" fillId="2" borderId="14" xfId="0" applyFont="1" applyFill="1" applyBorder="1"/>
    <xf numFmtId="0" fontId="8" fillId="0" borderId="0" xfId="0" applyFont="1" applyAlignment="1">
      <alignment wrapText="1"/>
    </xf>
    <xf numFmtId="0" fontId="7" fillId="0" borderId="0" xfId="0" applyFont="1" applyAlignment="1">
      <alignment vertical="top" wrapText="1"/>
    </xf>
    <xf numFmtId="0" fontId="7" fillId="0" borderId="10" xfId="0" applyFont="1" applyBorder="1" applyAlignment="1">
      <alignment horizontal="center"/>
    </xf>
    <xf numFmtId="0" fontId="8" fillId="5" borderId="15" xfId="0" applyFont="1" applyFill="1" applyBorder="1" applyAlignment="1">
      <alignment horizontal="center"/>
    </xf>
    <xf numFmtId="0" fontId="15" fillId="0" borderId="10" xfId="0" applyFont="1" applyBorder="1" applyAlignment="1">
      <alignment horizontal="center"/>
    </xf>
    <xf numFmtId="0" fontId="8" fillId="0" borderId="10" xfId="0" applyFont="1" applyBorder="1" applyAlignment="1">
      <alignment vertical="top"/>
    </xf>
    <xf numFmtId="0" fontId="7" fillId="0" borderId="0" xfId="0" applyFont="1" applyAlignment="1">
      <alignment vertical="top"/>
    </xf>
    <xf numFmtId="0" fontId="15" fillId="0" borderId="0" xfId="0" applyFont="1"/>
    <xf numFmtId="0" fontId="8" fillId="8" borderId="14" xfId="0" applyFont="1" applyFill="1" applyBorder="1"/>
    <xf numFmtId="0" fontId="16" fillId="0" borderId="0" xfId="0" applyFont="1" applyAlignment="1">
      <alignment wrapText="1"/>
    </xf>
    <xf numFmtId="0" fontId="16" fillId="0" borderId="0" xfId="0" applyFont="1"/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top"/>
    </xf>
    <xf numFmtId="0" fontId="8" fillId="9" borderId="10" xfId="0" applyFont="1" applyFill="1" applyBorder="1" applyAlignment="1">
      <alignment horizontal="center"/>
    </xf>
    <xf numFmtId="0" fontId="8" fillId="10" borderId="10" xfId="0" applyFont="1" applyFill="1" applyBorder="1" applyAlignment="1">
      <alignment horizontal="center"/>
    </xf>
    <xf numFmtId="0" fontId="8" fillId="9" borderId="16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8" fillId="6" borderId="15" xfId="0" applyFont="1" applyFill="1" applyBorder="1" applyAlignment="1">
      <alignment horizontal="center"/>
    </xf>
    <xf numFmtId="0" fontId="7" fillId="8" borderId="14" xfId="0" applyFont="1" applyFill="1" applyBorder="1"/>
    <xf numFmtId="0" fontId="8" fillId="0" borderId="17" xfId="0" applyFont="1" applyBorder="1" applyAlignment="1">
      <alignment horizontal="center"/>
    </xf>
    <xf numFmtId="0" fontId="8" fillId="9" borderId="14" xfId="0" applyFont="1" applyFill="1" applyBorder="1"/>
    <xf numFmtId="0" fontId="8" fillId="5" borderId="18" xfId="0" applyFont="1" applyFill="1" applyBorder="1"/>
    <xf numFmtId="0" fontId="8" fillId="5" borderId="19" xfId="0" applyFont="1" applyFill="1" applyBorder="1"/>
    <xf numFmtId="0" fontId="7" fillId="5" borderId="15" xfId="0" applyFont="1" applyFill="1" applyBorder="1" applyAlignment="1">
      <alignment horizontal="center"/>
    </xf>
    <xf numFmtId="0" fontId="7" fillId="6" borderId="10" xfId="0" applyFont="1" applyFill="1" applyBorder="1" applyAlignment="1">
      <alignment horizontal="center"/>
    </xf>
    <xf numFmtId="0" fontId="8" fillId="11" borderId="10" xfId="0" applyFont="1" applyFill="1" applyBorder="1" applyAlignment="1">
      <alignment horizontal="center"/>
    </xf>
    <xf numFmtId="2" fontId="8" fillId="11" borderId="10" xfId="0" applyNumberFormat="1" applyFont="1" applyFill="1" applyBorder="1" applyAlignment="1">
      <alignment horizontal="center"/>
    </xf>
    <xf numFmtId="0" fontId="8" fillId="12" borderId="10" xfId="0" applyFont="1" applyFill="1" applyBorder="1" applyAlignment="1">
      <alignment horizontal="center"/>
    </xf>
    <xf numFmtId="2" fontId="8" fillId="12" borderId="10" xfId="0" applyNumberFormat="1" applyFont="1" applyFill="1" applyBorder="1" applyAlignment="1">
      <alignment horizontal="center"/>
    </xf>
    <xf numFmtId="2" fontId="8" fillId="0" borderId="17" xfId="0" applyNumberFormat="1" applyFont="1" applyBorder="1" applyAlignment="1">
      <alignment horizontal="center"/>
    </xf>
    <xf numFmtId="0" fontId="13" fillId="11" borderId="10" xfId="0" applyFont="1" applyFill="1" applyBorder="1" applyAlignment="1">
      <alignment horizontal="center"/>
    </xf>
    <xf numFmtId="2" fontId="13" fillId="11" borderId="10" xfId="0" applyNumberFormat="1" applyFont="1" applyFill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8" fillId="8" borderId="14" xfId="0" applyFont="1" applyFill="1" applyBorder="1" applyAlignment="1">
      <alignment horizontal="center"/>
    </xf>
    <xf numFmtId="0" fontId="17" fillId="0" borderId="10" xfId="0" applyFont="1" applyBorder="1" applyAlignment="1">
      <alignment horizontal="center" vertical="top" wrapText="1"/>
    </xf>
    <xf numFmtId="0" fontId="17" fillId="0" borderId="10" xfId="0" applyFont="1" applyBorder="1" applyAlignment="1">
      <alignment horizontal="center" vertical="top"/>
    </xf>
    <xf numFmtId="0" fontId="8" fillId="0" borderId="0" xfId="0" applyFont="1" applyAlignment="1">
      <alignment horizontal="center" wrapText="1"/>
    </xf>
    <xf numFmtId="0" fontId="8" fillId="2" borderId="14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17" fillId="0" borderId="20" xfId="0" applyFont="1" applyBorder="1" applyAlignment="1">
      <alignment horizontal="center" vertical="top" wrapText="1"/>
    </xf>
    <xf numFmtId="0" fontId="17" fillId="0" borderId="20" xfId="0" applyFont="1" applyBorder="1" applyAlignment="1">
      <alignment horizontal="center" vertical="top"/>
    </xf>
    <xf numFmtId="0" fontId="8" fillId="0" borderId="20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0" borderId="22" xfId="0" applyFont="1" applyBorder="1" applyAlignment="1">
      <alignment wrapText="1"/>
    </xf>
    <xf numFmtId="0" fontId="7" fillId="0" borderId="25" xfId="0" applyFont="1" applyBorder="1" applyAlignment="1">
      <alignment horizontal="center"/>
    </xf>
    <xf numFmtId="0" fontId="8" fillId="0" borderId="26" xfId="0" applyFont="1" applyBorder="1" applyAlignment="1">
      <alignment horizontal="center"/>
    </xf>
    <xf numFmtId="0" fontId="8" fillId="0" borderId="27" xfId="0" applyFont="1" applyBorder="1" applyAlignment="1">
      <alignment horizontal="center"/>
    </xf>
    <xf numFmtId="0" fontId="8" fillId="0" borderId="28" xfId="0" applyFont="1" applyBorder="1" applyAlignment="1">
      <alignment horizontal="center"/>
    </xf>
    <xf numFmtId="0" fontId="18" fillId="0" borderId="26" xfId="0" applyFont="1" applyBorder="1" applyAlignment="1">
      <alignment horizontal="center"/>
    </xf>
    <xf numFmtId="0" fontId="18" fillId="0" borderId="27" xfId="0" applyFont="1" applyBorder="1" applyAlignment="1">
      <alignment horizontal="center"/>
    </xf>
    <xf numFmtId="0" fontId="18" fillId="0" borderId="29" xfId="0" applyFont="1" applyBorder="1" applyAlignment="1">
      <alignment horizontal="center"/>
    </xf>
    <xf numFmtId="0" fontId="8" fillId="0" borderId="26" xfId="0" applyFont="1" applyBorder="1" applyAlignment="1">
      <alignment horizontal="center" wrapText="1"/>
    </xf>
    <xf numFmtId="0" fontId="7" fillId="13" borderId="26" xfId="0" applyFont="1" applyFill="1" applyBorder="1" applyAlignment="1">
      <alignment horizontal="center"/>
    </xf>
    <xf numFmtId="1" fontId="8" fillId="0" borderId="27" xfId="0" applyNumberFormat="1" applyFont="1" applyBorder="1" applyAlignment="1">
      <alignment horizontal="center"/>
    </xf>
    <xf numFmtId="0" fontId="8" fillId="0" borderId="30" xfId="0" applyFont="1" applyBorder="1" applyAlignment="1">
      <alignment horizontal="center"/>
    </xf>
    <xf numFmtId="0" fontId="8" fillId="0" borderId="31" xfId="0" applyFont="1" applyBorder="1" applyAlignment="1">
      <alignment horizontal="center"/>
    </xf>
    <xf numFmtId="0" fontId="8" fillId="13" borderId="30" xfId="0" applyFont="1" applyFill="1" applyBorder="1" applyAlignment="1">
      <alignment horizontal="center"/>
    </xf>
    <xf numFmtId="1" fontId="7" fillId="0" borderId="31" xfId="0" applyNumberFormat="1" applyFont="1" applyBorder="1" applyAlignment="1">
      <alignment horizontal="center"/>
    </xf>
    <xf numFmtId="0" fontId="8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1" fontId="8" fillId="0" borderId="0" xfId="0" applyNumberFormat="1" applyFont="1" applyAlignment="1">
      <alignment horizontal="center"/>
    </xf>
    <xf numFmtId="15" fontId="8" fillId="0" borderId="0" xfId="0" applyNumberFormat="1" applyFont="1"/>
    <xf numFmtId="0" fontId="15" fillId="0" borderId="20" xfId="0" applyFont="1" applyBorder="1" applyAlignment="1">
      <alignment horizontal="center"/>
    </xf>
    <xf numFmtId="165" fontId="8" fillId="0" borderId="10" xfId="0" applyNumberFormat="1" applyFont="1" applyBorder="1" applyAlignment="1">
      <alignment horizontal="center"/>
    </xf>
    <xf numFmtId="0" fontId="18" fillId="11" borderId="10" xfId="0" applyFont="1" applyFill="1" applyBorder="1" applyAlignment="1">
      <alignment horizontal="center"/>
    </xf>
    <xf numFmtId="0" fontId="7" fillId="5" borderId="10" xfId="0" applyFont="1" applyFill="1" applyBorder="1" applyAlignment="1">
      <alignment horizontal="center"/>
    </xf>
    <xf numFmtId="0" fontId="18" fillId="0" borderId="10" xfId="0" applyFont="1" applyBorder="1" applyAlignment="1">
      <alignment vertical="center"/>
    </xf>
    <xf numFmtId="0" fontId="8" fillId="0" borderId="10" xfId="0" applyFont="1" applyBorder="1" applyAlignment="1">
      <alignment wrapText="1"/>
    </xf>
    <xf numFmtId="0" fontId="7" fillId="8" borderId="10" xfId="0" applyFont="1" applyFill="1" applyBorder="1"/>
    <xf numFmtId="0" fontId="8" fillId="8" borderId="10" xfId="0" applyFont="1" applyFill="1" applyBorder="1"/>
    <xf numFmtId="0" fontId="8" fillId="0" borderId="10" xfId="0" applyFont="1" applyBorder="1" applyAlignment="1">
      <alignment horizontal="left"/>
    </xf>
    <xf numFmtId="0" fontId="8" fillId="0" borderId="10" xfId="0" applyFont="1" applyBorder="1" applyAlignment="1">
      <alignment horizontal="center" wrapText="1"/>
    </xf>
    <xf numFmtId="16" fontId="15" fillId="0" borderId="10" xfId="0" applyNumberFormat="1" applyFont="1" applyBorder="1" applyAlignment="1">
      <alignment horizontal="center"/>
    </xf>
    <xf numFmtId="0" fontId="9" fillId="0" borderId="10" xfId="0" applyFont="1" applyBorder="1" applyAlignment="1">
      <alignment vertical="center"/>
    </xf>
    <xf numFmtId="0" fontId="18" fillId="0" borderId="17" xfId="0" applyFont="1" applyBorder="1" applyAlignment="1">
      <alignment vertic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vertical="center" wrapText="1"/>
    </xf>
    <xf numFmtId="14" fontId="18" fillId="0" borderId="10" xfId="0" applyNumberFormat="1" applyFont="1" applyBorder="1" applyAlignment="1">
      <alignment vertical="center"/>
    </xf>
    <xf numFmtId="0" fontId="15" fillId="5" borderId="10" xfId="0" applyFont="1" applyFill="1" applyBorder="1" applyAlignment="1">
      <alignment horizontal="center"/>
    </xf>
    <xf numFmtId="16" fontId="18" fillId="0" borderId="10" xfId="0" applyNumberFormat="1" applyFont="1" applyBorder="1" applyAlignment="1">
      <alignment vertical="center"/>
    </xf>
    <xf numFmtId="0" fontId="18" fillId="5" borderId="10" xfId="0" applyFont="1" applyFill="1" applyBorder="1" applyAlignment="1">
      <alignment vertical="center"/>
    </xf>
    <xf numFmtId="0" fontId="8" fillId="9" borderId="32" xfId="0" applyFont="1" applyFill="1" applyBorder="1" applyAlignment="1">
      <alignment horizontal="center"/>
    </xf>
    <xf numFmtId="0" fontId="18" fillId="5" borderId="14" xfId="0" applyFont="1" applyFill="1" applyBorder="1" applyAlignment="1">
      <alignment vertical="center"/>
    </xf>
    <xf numFmtId="0" fontId="7" fillId="0" borderId="10" xfId="0" applyFont="1" applyBorder="1" applyAlignment="1">
      <alignment horizontal="center" vertical="top"/>
    </xf>
    <xf numFmtId="0" fontId="7" fillId="5" borderId="10" xfId="0" applyFont="1" applyFill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0" fontId="18" fillId="0" borderId="10" xfId="0" applyFont="1" applyBorder="1" applyAlignment="1">
      <alignment vertical="top" wrapText="1"/>
    </xf>
    <xf numFmtId="0" fontId="18" fillId="5" borderId="10" xfId="0" applyFont="1" applyFill="1" applyBorder="1" applyAlignment="1">
      <alignment vertical="top"/>
    </xf>
    <xf numFmtId="0" fontId="18" fillId="0" borderId="10" xfId="0" applyFont="1" applyBorder="1" applyAlignment="1">
      <alignment vertical="top"/>
    </xf>
    <xf numFmtId="2" fontId="8" fillId="0" borderId="10" xfId="0" applyNumberFormat="1" applyFont="1" applyBorder="1" applyAlignment="1">
      <alignment horizontal="center" vertical="top"/>
    </xf>
    <xf numFmtId="0" fontId="7" fillId="0" borderId="10" xfId="0" applyFont="1" applyBorder="1" applyAlignment="1">
      <alignment horizontal="left" vertical="top"/>
    </xf>
    <xf numFmtId="0" fontId="7" fillId="5" borderId="10" xfId="0" applyFont="1" applyFill="1" applyBorder="1" applyAlignment="1">
      <alignment horizontal="left" vertical="top"/>
    </xf>
    <xf numFmtId="0" fontId="8" fillId="0" borderId="10" xfId="0" applyFont="1" applyBorder="1" applyAlignment="1">
      <alignment horizontal="left" vertical="top"/>
    </xf>
    <xf numFmtId="0" fontId="18" fillId="0" borderId="10" xfId="0" applyFont="1" applyBorder="1" applyAlignment="1">
      <alignment horizontal="left" vertical="top" wrapText="1"/>
    </xf>
    <xf numFmtId="0" fontId="18" fillId="5" borderId="10" xfId="0" applyFont="1" applyFill="1" applyBorder="1" applyAlignment="1">
      <alignment horizontal="left" vertical="top"/>
    </xf>
    <xf numFmtId="0" fontId="9" fillId="14" borderId="10" xfId="0" applyFont="1" applyFill="1" applyBorder="1" applyAlignment="1">
      <alignment vertical="center"/>
    </xf>
    <xf numFmtId="0" fontId="18" fillId="14" borderId="10" xfId="0" applyFont="1" applyFill="1" applyBorder="1" applyAlignment="1">
      <alignment vertical="center"/>
    </xf>
    <xf numFmtId="16" fontId="9" fillId="5" borderId="10" xfId="0" applyNumberFormat="1" applyFont="1" applyFill="1" applyBorder="1" applyAlignment="1">
      <alignment horizontal="center"/>
    </xf>
    <xf numFmtId="0" fontId="7" fillId="0" borderId="10" xfId="0" applyFont="1" applyBorder="1" applyAlignment="1">
      <alignment horizontal="left"/>
    </xf>
    <xf numFmtId="0" fontId="7" fillId="5" borderId="10" xfId="0" applyFont="1" applyFill="1" applyBorder="1" applyAlignment="1">
      <alignment horizontal="left"/>
    </xf>
    <xf numFmtId="0" fontId="9" fillId="15" borderId="10" xfId="0" applyFont="1" applyFill="1" applyBorder="1" applyAlignment="1">
      <alignment vertical="center"/>
    </xf>
    <xf numFmtId="0" fontId="18" fillId="15" borderId="10" xfId="0" applyFont="1" applyFill="1" applyBorder="1" applyAlignment="1">
      <alignment vertical="center"/>
    </xf>
    <xf numFmtId="0" fontId="9" fillId="0" borderId="10" xfId="0" applyFont="1" applyBorder="1" applyAlignment="1">
      <alignment wrapText="1"/>
    </xf>
    <xf numFmtId="0" fontId="18" fillId="5" borderId="10" xfId="0" applyFont="1" applyFill="1" applyBorder="1"/>
    <xf numFmtId="0" fontId="18" fillId="0" borderId="10" xfId="0" applyFont="1" applyBorder="1"/>
    <xf numFmtId="0" fontId="7" fillId="14" borderId="10" xfId="0" applyFont="1" applyFill="1" applyBorder="1" applyAlignment="1">
      <alignment horizontal="center"/>
    </xf>
    <xf numFmtId="0" fontId="9" fillId="0" borderId="10" xfId="0" applyFont="1" applyBorder="1"/>
    <xf numFmtId="0" fontId="7" fillId="8" borderId="10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left"/>
    </xf>
    <xf numFmtId="0" fontId="7" fillId="0" borderId="10" xfId="0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8" fillId="0" borderId="10" xfId="0" applyFont="1" applyBorder="1" applyAlignment="1">
      <alignment vertical="center"/>
    </xf>
    <xf numFmtId="14" fontId="8" fillId="0" borderId="10" xfId="0" applyNumberFormat="1" applyFont="1" applyBorder="1" applyAlignment="1">
      <alignment vertical="center"/>
    </xf>
    <xf numFmtId="14" fontId="8" fillId="0" borderId="0" xfId="0" applyNumberFormat="1" applyFont="1" applyAlignment="1">
      <alignment vertical="center"/>
    </xf>
    <xf numFmtId="2" fontId="8" fillId="5" borderId="10" xfId="0" applyNumberFormat="1" applyFont="1" applyFill="1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20" xfId="0" applyFont="1" applyBorder="1" applyAlignment="1">
      <alignment horizontal="center"/>
    </xf>
    <xf numFmtId="17" fontId="7" fillId="16" borderId="39" xfId="0" applyNumberFormat="1" applyFont="1" applyFill="1" applyBorder="1" applyAlignment="1">
      <alignment horizontal="center"/>
    </xf>
    <xf numFmtId="17" fontId="7" fillId="0" borderId="20" xfId="0" applyNumberFormat="1" applyFont="1" applyBorder="1" applyAlignment="1">
      <alignment horizontal="center"/>
    </xf>
    <xf numFmtId="17" fontId="7" fillId="0" borderId="10" xfId="0" applyNumberFormat="1" applyFont="1" applyBorder="1" applyAlignment="1">
      <alignment horizontal="center"/>
    </xf>
    <xf numFmtId="0" fontId="8" fillId="6" borderId="26" xfId="0" applyFont="1" applyFill="1" applyBorder="1" applyAlignment="1">
      <alignment horizontal="center"/>
    </xf>
    <xf numFmtId="1" fontId="18" fillId="6" borderId="10" xfId="0" applyNumberFormat="1" applyFont="1" applyFill="1" applyBorder="1" applyAlignment="1">
      <alignment horizontal="center"/>
    </xf>
    <xf numFmtId="1" fontId="8" fillId="6" borderId="10" xfId="0" applyNumberFormat="1" applyFont="1" applyFill="1" applyBorder="1" applyAlignment="1">
      <alignment horizontal="center"/>
    </xf>
    <xf numFmtId="0" fontId="8" fillId="0" borderId="11" xfId="0" applyFont="1" applyBorder="1" applyAlignment="1">
      <alignment vertical="center"/>
    </xf>
    <xf numFmtId="0" fontId="8" fillId="17" borderId="10" xfId="0" applyFont="1" applyFill="1" applyBorder="1" applyAlignment="1">
      <alignment horizontal="center"/>
    </xf>
    <xf numFmtId="0" fontId="8" fillId="17" borderId="26" xfId="0" applyFont="1" applyFill="1" applyBorder="1" applyAlignment="1">
      <alignment horizontal="center"/>
    </xf>
    <xf numFmtId="1" fontId="8" fillId="17" borderId="10" xfId="0" applyNumberFormat="1" applyFont="1" applyFill="1" applyBorder="1" applyAlignment="1">
      <alignment horizontal="center"/>
    </xf>
    <xf numFmtId="1" fontId="8" fillId="16" borderId="10" xfId="0" applyNumberFormat="1" applyFont="1" applyFill="1" applyBorder="1" applyAlignment="1">
      <alignment horizontal="center"/>
    </xf>
    <xf numFmtId="15" fontId="8" fillId="0" borderId="0" xfId="0" applyNumberFormat="1" applyFont="1" applyAlignment="1">
      <alignment horizontal="center"/>
    </xf>
    <xf numFmtId="0" fontId="18" fillId="6" borderId="26" xfId="0" applyFont="1" applyFill="1" applyBorder="1" applyAlignment="1">
      <alignment horizontal="center"/>
    </xf>
    <xf numFmtId="0" fontId="18" fillId="6" borderId="10" xfId="0" applyFont="1" applyFill="1" applyBorder="1" applyAlignment="1">
      <alignment horizontal="center"/>
    </xf>
    <xf numFmtId="0" fontId="18" fillId="17" borderId="10" xfId="0" applyFont="1" applyFill="1" applyBorder="1" applyAlignment="1">
      <alignment horizontal="center"/>
    </xf>
    <xf numFmtId="2" fontId="8" fillId="17" borderId="10" xfId="0" applyNumberFormat="1" applyFont="1" applyFill="1" applyBorder="1" applyAlignment="1">
      <alignment horizontal="center"/>
    </xf>
    <xf numFmtId="0" fontId="8" fillId="6" borderId="15" xfId="0" applyFont="1" applyFill="1" applyBorder="1" applyAlignment="1">
      <alignment vertical="center"/>
    </xf>
    <xf numFmtId="0" fontId="8" fillId="6" borderId="10" xfId="0" applyFont="1" applyFill="1" applyBorder="1" applyAlignment="1">
      <alignment vertical="center"/>
    </xf>
    <xf numFmtId="0" fontId="8" fillId="6" borderId="40" xfId="0" applyFont="1" applyFill="1" applyBorder="1" applyAlignment="1">
      <alignment horizontal="center"/>
    </xf>
    <xf numFmtId="0" fontId="8" fillId="6" borderId="39" xfId="0" applyFont="1" applyFill="1" applyBorder="1" applyAlignment="1">
      <alignment horizontal="center"/>
    </xf>
    <xf numFmtId="1" fontId="8" fillId="6" borderId="39" xfId="0" applyNumberFormat="1" applyFont="1" applyFill="1" applyBorder="1" applyAlignment="1">
      <alignment horizontal="center"/>
    </xf>
    <xf numFmtId="2" fontId="8" fillId="6" borderId="39" xfId="0" applyNumberFormat="1" applyFont="1" applyFill="1" applyBorder="1" applyAlignment="1">
      <alignment horizontal="center"/>
    </xf>
    <xf numFmtId="0" fontId="7" fillId="18" borderId="10" xfId="0" applyFont="1" applyFill="1" applyBorder="1" applyAlignment="1">
      <alignment horizontal="center"/>
    </xf>
    <xf numFmtId="0" fontId="8" fillId="18" borderId="10" xfId="0" applyFont="1" applyFill="1" applyBorder="1" applyAlignment="1">
      <alignment horizontal="center"/>
    </xf>
    <xf numFmtId="1" fontId="8" fillId="18" borderId="10" xfId="0" applyNumberFormat="1" applyFont="1" applyFill="1" applyBorder="1" applyAlignment="1">
      <alignment horizontal="center"/>
    </xf>
    <xf numFmtId="1" fontId="8" fillId="18" borderId="41" xfId="0" applyNumberFormat="1" applyFont="1" applyFill="1" applyBorder="1" applyAlignment="1">
      <alignment horizontal="center"/>
    </xf>
    <xf numFmtId="1" fontId="8" fillId="0" borderId="10" xfId="0" applyNumberFormat="1" applyFont="1" applyBorder="1" applyAlignment="1">
      <alignment horizontal="center"/>
    </xf>
    <xf numFmtId="0" fontId="7" fillId="5" borderId="14" xfId="0" applyFont="1" applyFill="1" applyBorder="1" applyAlignment="1">
      <alignment horizontal="left" vertical="top" wrapText="1"/>
    </xf>
    <xf numFmtId="1" fontId="7" fillId="4" borderId="14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 vertical="top" wrapText="1"/>
    </xf>
    <xf numFmtId="0" fontId="7" fillId="19" borderId="10" xfId="0" applyFont="1" applyFill="1" applyBorder="1" applyAlignment="1">
      <alignment horizontal="center"/>
    </xf>
    <xf numFmtId="0" fontId="8" fillId="19" borderId="10" xfId="0" applyFont="1" applyFill="1" applyBorder="1" applyAlignment="1">
      <alignment horizontal="center"/>
    </xf>
    <xf numFmtId="15" fontId="8" fillId="0" borderId="0" xfId="0" applyNumberFormat="1" applyFont="1" applyAlignment="1">
      <alignment vertical="center"/>
    </xf>
    <xf numFmtId="0" fontId="8" fillId="4" borderId="10" xfId="0" applyFont="1" applyFill="1" applyBorder="1" applyAlignment="1">
      <alignment horizontal="center"/>
    </xf>
    <xf numFmtId="0" fontId="8" fillId="15" borderId="10" xfId="0" applyFont="1" applyFill="1" applyBorder="1" applyAlignment="1">
      <alignment horizontal="center"/>
    </xf>
    <xf numFmtId="0" fontId="8" fillId="20" borderId="10" xfId="0" applyFont="1" applyFill="1" applyBorder="1" applyAlignment="1">
      <alignment horizontal="center"/>
    </xf>
    <xf numFmtId="0" fontId="8" fillId="0" borderId="10" xfId="0" applyFont="1" applyBorder="1" applyAlignment="1">
      <alignment horizontal="right"/>
    </xf>
    <xf numFmtId="2" fontId="8" fillId="0" borderId="10" xfId="0" applyNumberFormat="1" applyFont="1" applyBorder="1" applyAlignment="1">
      <alignment horizontal="right"/>
    </xf>
    <xf numFmtId="0" fontId="18" fillId="21" borderId="10" xfId="0" applyFont="1" applyFill="1" applyBorder="1" applyAlignment="1">
      <alignment vertical="center"/>
    </xf>
    <xf numFmtId="14" fontId="8" fillId="21" borderId="10" xfId="0" applyNumberFormat="1" applyFont="1" applyFill="1" applyBorder="1" applyAlignment="1">
      <alignment vertical="center"/>
    </xf>
    <xf numFmtId="0" fontId="8" fillId="22" borderId="10" xfId="0" applyFont="1" applyFill="1" applyBorder="1" applyAlignment="1">
      <alignment horizontal="center"/>
    </xf>
    <xf numFmtId="17" fontId="0" fillId="0" borderId="0" xfId="0" applyNumberFormat="1" applyAlignment="1">
      <alignment vertical="center"/>
    </xf>
    <xf numFmtId="0" fontId="13" fillId="17" borderId="26" xfId="0" applyFont="1" applyFill="1" applyBorder="1" applyAlignment="1">
      <alignment horizontal="center"/>
    </xf>
    <xf numFmtId="0" fontId="8" fillId="6" borderId="10" xfId="0" applyFont="1" applyFill="1" applyBorder="1" applyAlignment="1">
      <alignment horizontal="left"/>
    </xf>
    <xf numFmtId="0" fontId="13" fillId="17" borderId="10" xfId="0" applyFont="1" applyFill="1" applyBorder="1" applyAlignment="1">
      <alignment horizontal="left"/>
    </xf>
    <xf numFmtId="0" fontId="18" fillId="6" borderId="10" xfId="0" applyFont="1" applyFill="1" applyBorder="1" applyAlignment="1">
      <alignment horizontal="left"/>
    </xf>
    <xf numFmtId="0" fontId="8" fillId="6" borderId="39" xfId="0" applyFont="1" applyFill="1" applyBorder="1" applyAlignment="1">
      <alignment horizontal="left"/>
    </xf>
    <xf numFmtId="0" fontId="8" fillId="23" borderId="10" xfId="0" applyFont="1" applyFill="1" applyBorder="1" applyAlignment="1">
      <alignment vertical="center"/>
    </xf>
    <xf numFmtId="0" fontId="18" fillId="23" borderId="10" xfId="0" applyFont="1" applyFill="1" applyBorder="1" applyAlignment="1">
      <alignment vertical="center"/>
    </xf>
    <xf numFmtId="0" fontId="9" fillId="5" borderId="10" xfId="0" applyFont="1" applyFill="1" applyBorder="1"/>
    <xf numFmtId="0" fontId="19" fillId="0" borderId="0" xfId="0" applyFont="1" applyAlignment="1">
      <alignment vertical="center"/>
    </xf>
    <xf numFmtId="0" fontId="18" fillId="22" borderId="10" xfId="0" applyFont="1" applyFill="1" applyBorder="1" applyAlignment="1">
      <alignment vertical="center"/>
    </xf>
    <xf numFmtId="2" fontId="11" fillId="0" borderId="10" xfId="0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0" fillId="24" borderId="10" xfId="0" applyFont="1" applyFill="1" applyBorder="1" applyAlignment="1">
      <alignment horizontal="left"/>
    </xf>
    <xf numFmtId="0" fontId="11" fillId="24" borderId="10" xfId="0" applyFont="1" applyFill="1" applyBorder="1" applyAlignment="1">
      <alignment horizontal="center"/>
    </xf>
    <xf numFmtId="0" fontId="20" fillId="24" borderId="10" xfId="0" applyFont="1" applyFill="1" applyBorder="1" applyAlignment="1">
      <alignment horizontal="center"/>
    </xf>
    <xf numFmtId="0" fontId="0" fillId="23" borderId="0" xfId="0" applyFill="1" applyAlignment="1">
      <alignment vertical="center"/>
    </xf>
    <xf numFmtId="0" fontId="18" fillId="25" borderId="10" xfId="0" applyFont="1" applyFill="1" applyBorder="1" applyAlignment="1">
      <alignment vertical="center"/>
    </xf>
    <xf numFmtId="2" fontId="8" fillId="0" borderId="15" xfId="0" applyNumberFormat="1" applyFont="1" applyBorder="1" applyAlignment="1">
      <alignment horizontal="center"/>
    </xf>
    <xf numFmtId="2" fontId="11" fillId="0" borderId="15" xfId="0" applyNumberFormat="1" applyFont="1" applyBorder="1" applyAlignment="1">
      <alignment horizontal="center"/>
    </xf>
    <xf numFmtId="0" fontId="8" fillId="0" borderId="15" xfId="0" applyFont="1" applyBorder="1" applyAlignment="1">
      <alignment horizontal="center"/>
    </xf>
    <xf numFmtId="0" fontId="8" fillId="0" borderId="32" xfId="0" applyFont="1" applyBorder="1" applyAlignment="1">
      <alignment horizontal="center"/>
    </xf>
    <xf numFmtId="2" fontId="8" fillId="0" borderId="39" xfId="0" applyNumberFormat="1" applyFont="1" applyBorder="1" applyAlignment="1">
      <alignment horizontal="center"/>
    </xf>
    <xf numFmtId="0" fontId="8" fillId="0" borderId="44" xfId="0" applyFont="1" applyBorder="1" applyAlignment="1">
      <alignment horizontal="center"/>
    </xf>
    <xf numFmtId="0" fontId="0" fillId="0" borderId="43" xfId="0" applyBorder="1" applyAlignment="1">
      <alignment vertical="center"/>
    </xf>
    <xf numFmtId="0" fontId="0" fillId="0" borderId="43" xfId="0" applyBorder="1" applyAlignment="1">
      <alignment horizontal="center" vertical="center"/>
    </xf>
    <xf numFmtId="0" fontId="0" fillId="0" borderId="34" xfId="0" applyBorder="1" applyAlignment="1">
      <alignment vertical="center"/>
    </xf>
    <xf numFmtId="0" fontId="7" fillId="26" borderId="43" xfId="0" applyFont="1" applyFill="1" applyBorder="1" applyAlignment="1">
      <alignment horizontal="center"/>
    </xf>
    <xf numFmtId="0" fontId="8" fillId="6" borderId="43" xfId="0" applyFont="1" applyFill="1" applyBorder="1" applyAlignment="1">
      <alignment horizontal="center"/>
    </xf>
    <xf numFmtId="0" fontId="19" fillId="0" borderId="43" xfId="0" applyFont="1" applyBorder="1" applyAlignment="1">
      <alignment vertical="center"/>
    </xf>
    <xf numFmtId="0" fontId="19" fillId="0" borderId="43" xfId="0" applyFont="1" applyBorder="1" applyAlignment="1">
      <alignment horizontal="center" vertical="center"/>
    </xf>
    <xf numFmtId="0" fontId="19" fillId="27" borderId="43" xfId="0" applyFont="1" applyFill="1" applyBorder="1" applyAlignment="1">
      <alignment horizontal="center" vertical="center"/>
    </xf>
    <xf numFmtId="0" fontId="8" fillId="28" borderId="43" xfId="0" applyFont="1" applyFill="1" applyBorder="1" applyAlignment="1">
      <alignment horizontal="center"/>
    </xf>
    <xf numFmtId="0" fontId="0" fillId="29" borderId="43" xfId="0" applyFill="1" applyBorder="1" applyAlignment="1">
      <alignment horizontal="center" vertical="center"/>
    </xf>
    <xf numFmtId="15" fontId="7" fillId="0" borderId="43" xfId="0" applyNumberFormat="1" applyFont="1" applyBorder="1" applyAlignment="1">
      <alignment horizontal="center"/>
    </xf>
    <xf numFmtId="0" fontId="21" fillId="30" borderId="43" xfId="0" applyFont="1" applyFill="1" applyBorder="1" applyAlignment="1">
      <alignment vertical="center"/>
    </xf>
    <xf numFmtId="15" fontId="7" fillId="0" borderId="45" xfId="0" applyNumberFormat="1" applyFont="1" applyBorder="1" applyAlignment="1">
      <alignment horizontal="center"/>
    </xf>
    <xf numFmtId="0" fontId="0" fillId="0" borderId="34" xfId="0" applyBorder="1" applyAlignment="1">
      <alignment horizontal="center" vertical="center"/>
    </xf>
    <xf numFmtId="0" fontId="21" fillId="0" borderId="43" xfId="0" applyFont="1" applyBorder="1" applyAlignment="1">
      <alignment vertical="center"/>
    </xf>
    <xf numFmtId="15" fontId="0" fillId="0" borderId="43" xfId="0" applyNumberFormat="1" applyBorder="1" applyAlignment="1">
      <alignment horizontal="center" vertical="center"/>
    </xf>
    <xf numFmtId="0" fontId="19" fillId="31" borderId="43" xfId="0" applyFont="1" applyFill="1" applyBorder="1" applyAlignment="1">
      <alignment horizontal="center" vertical="center"/>
    </xf>
    <xf numFmtId="0" fontId="21" fillId="31" borderId="43" xfId="0" applyFont="1" applyFill="1" applyBorder="1" applyAlignment="1">
      <alignment vertical="center"/>
    </xf>
    <xf numFmtId="0" fontId="19" fillId="29" borderId="43" xfId="0" applyFont="1" applyFill="1" applyBorder="1" applyAlignment="1">
      <alignment horizontal="center" vertical="center"/>
    </xf>
    <xf numFmtId="0" fontId="21" fillId="26" borderId="43" xfId="0" applyFont="1" applyFill="1" applyBorder="1" applyAlignment="1">
      <alignment vertical="center"/>
    </xf>
    <xf numFmtId="0" fontId="19" fillId="32" borderId="43" xfId="0" applyFont="1" applyFill="1" applyBorder="1" applyAlignment="1">
      <alignment vertical="center"/>
    </xf>
    <xf numFmtId="0" fontId="0" fillId="32" borderId="43" xfId="0" applyFill="1" applyBorder="1" applyAlignment="1">
      <alignment vertical="center"/>
    </xf>
    <xf numFmtId="0" fontId="19" fillId="33" borderId="43" xfId="0" applyFont="1" applyFill="1" applyBorder="1" applyAlignment="1">
      <alignment horizontal="center" vertical="center"/>
    </xf>
    <xf numFmtId="0" fontId="18" fillId="33" borderId="10" xfId="0" applyFont="1" applyFill="1" applyBorder="1" applyAlignment="1">
      <alignment vertical="center"/>
    </xf>
    <xf numFmtId="0" fontId="15" fillId="0" borderId="15" xfId="0" applyFont="1" applyBorder="1" applyAlignment="1">
      <alignment horizontal="center"/>
    </xf>
    <xf numFmtId="0" fontId="18" fillId="0" borderId="39" xfId="0" applyFont="1" applyBorder="1"/>
    <xf numFmtId="0" fontId="18" fillId="0" borderId="44" xfId="0" applyFont="1" applyBorder="1" applyAlignment="1">
      <alignment vertical="center"/>
    </xf>
    <xf numFmtId="0" fontId="9" fillId="23" borderId="10" xfId="0" applyFont="1" applyFill="1" applyBorder="1" applyAlignment="1">
      <alignment vertical="center"/>
    </xf>
    <xf numFmtId="0" fontId="18" fillId="23" borderId="39" xfId="0" applyFont="1" applyFill="1" applyBorder="1"/>
    <xf numFmtId="0" fontId="0" fillId="23" borderId="43" xfId="0" applyFill="1" applyBorder="1" applyAlignment="1">
      <alignment vertical="center"/>
    </xf>
    <xf numFmtId="0" fontId="7" fillId="0" borderId="10" xfId="0" applyFont="1" applyBorder="1" applyAlignment="1">
      <alignment horizontal="center" wrapText="1"/>
    </xf>
    <xf numFmtId="0" fontId="7" fillId="0" borderId="10" xfId="0" applyFont="1" applyBorder="1" applyAlignment="1">
      <alignment horizontal="left" wrapText="1"/>
    </xf>
    <xf numFmtId="0" fontId="7" fillId="5" borderId="10" xfId="0" applyFont="1" applyFill="1" applyBorder="1" applyAlignment="1">
      <alignment horizontal="left" wrapText="1"/>
    </xf>
    <xf numFmtId="0" fontId="0" fillId="22" borderId="0" xfId="0" applyFill="1" applyAlignment="1">
      <alignment vertical="center" wrapText="1"/>
    </xf>
    <xf numFmtId="0" fontId="9" fillId="5" borderId="10" xfId="0" applyFont="1" applyFill="1" applyBorder="1" applyAlignment="1">
      <alignment wrapText="1"/>
    </xf>
    <xf numFmtId="0" fontId="22" fillId="0" borderId="0" xfId="0" applyFont="1"/>
    <xf numFmtId="0" fontId="23" fillId="0" borderId="10" xfId="0" applyFont="1" applyBorder="1" applyAlignment="1">
      <alignment horizontal="center"/>
    </xf>
    <xf numFmtId="2" fontId="23" fillId="0" borderId="10" xfId="0" applyNumberFormat="1" applyFont="1" applyBorder="1" applyAlignment="1">
      <alignment horizontal="center"/>
    </xf>
    <xf numFmtId="0" fontId="23" fillId="0" borderId="0" xfId="0" applyFont="1"/>
    <xf numFmtId="0" fontId="22" fillId="0" borderId="10" xfId="0" applyFont="1" applyBorder="1"/>
    <xf numFmtId="0" fontId="23" fillId="0" borderId="11" xfId="0" applyFont="1" applyBorder="1" applyAlignment="1">
      <alignment horizontal="center"/>
    </xf>
    <xf numFmtId="0" fontId="7" fillId="34" borderId="10" xfId="0" applyFont="1" applyFill="1" applyBorder="1" applyAlignment="1">
      <alignment horizontal="center"/>
    </xf>
    <xf numFmtId="0" fontId="0" fillId="22" borderId="43" xfId="0" applyFill="1" applyBorder="1" applyAlignment="1">
      <alignment horizontal="center" vertical="center"/>
    </xf>
    <xf numFmtId="0" fontId="18" fillId="0" borderId="43" xfId="0" applyFont="1" applyBorder="1" applyAlignment="1">
      <alignment vertical="center"/>
    </xf>
    <xf numFmtId="0" fontId="8" fillId="0" borderId="43" xfId="0" applyFont="1" applyBorder="1" applyAlignment="1">
      <alignment vertical="center"/>
    </xf>
    <xf numFmtId="0" fontId="0" fillId="0" borderId="46" xfId="0" applyBorder="1" applyAlignment="1">
      <alignment vertical="center"/>
    </xf>
    <xf numFmtId="0" fontId="7" fillId="34" borderId="47" xfId="0" applyFont="1" applyFill="1" applyBorder="1" applyAlignment="1">
      <alignment horizontal="center"/>
    </xf>
    <xf numFmtId="0" fontId="7" fillId="34" borderId="48" xfId="0" applyFont="1" applyFill="1" applyBorder="1" applyAlignment="1">
      <alignment horizontal="center"/>
    </xf>
    <xf numFmtId="0" fontId="7" fillId="6" borderId="32" xfId="0" applyFont="1" applyFill="1" applyBorder="1" applyAlignment="1">
      <alignment horizontal="center"/>
    </xf>
    <xf numFmtId="0" fontId="8" fillId="6" borderId="32" xfId="0" applyFont="1" applyFill="1" applyBorder="1" applyAlignment="1">
      <alignment horizontal="center"/>
    </xf>
    <xf numFmtId="0" fontId="8" fillId="0" borderId="32" xfId="0" applyFont="1" applyBorder="1" applyAlignment="1">
      <alignment horizontal="center" wrapText="1"/>
    </xf>
    <xf numFmtId="0" fontId="7" fillId="0" borderId="49" xfId="0" applyFont="1" applyBorder="1" applyAlignment="1">
      <alignment horizontal="center" wrapText="1"/>
    </xf>
    <xf numFmtId="0" fontId="7" fillId="0" borderId="44" xfId="0" applyFont="1" applyBorder="1" applyAlignment="1">
      <alignment horizontal="center" wrapText="1"/>
    </xf>
    <xf numFmtId="0" fontId="7" fillId="0" borderId="44" xfId="0" applyFont="1" applyBorder="1" applyAlignment="1">
      <alignment horizontal="left" wrapText="1"/>
    </xf>
    <xf numFmtId="0" fontId="9" fillId="0" borderId="44" xfId="0" applyFont="1" applyBorder="1" applyAlignment="1">
      <alignment wrapText="1"/>
    </xf>
    <xf numFmtId="0" fontId="12" fillId="5" borderId="44" xfId="0" applyFont="1" applyFill="1" applyBorder="1" applyAlignment="1">
      <alignment horizontal="center" vertical="center" wrapText="1"/>
    </xf>
    <xf numFmtId="0" fontId="8" fillId="23" borderId="10" xfId="0" applyFont="1" applyFill="1" applyBorder="1" applyAlignment="1">
      <alignment horizontal="center"/>
    </xf>
    <xf numFmtId="0" fontId="25" fillId="0" borderId="50" xfId="0" applyFont="1" applyBorder="1"/>
    <xf numFmtId="0" fontId="25" fillId="0" borderId="43" xfId="0" applyFont="1" applyBorder="1" applyAlignment="1">
      <alignment vertical="center"/>
    </xf>
    <xf numFmtId="0" fontId="24" fillId="22" borderId="0" xfId="0" applyFont="1" applyFill="1" applyAlignment="1">
      <alignment vertical="center"/>
    </xf>
    <xf numFmtId="0" fontId="9" fillId="34" borderId="47" xfId="0" applyFont="1" applyFill="1" applyBorder="1" applyAlignment="1">
      <alignment horizontal="center"/>
    </xf>
    <xf numFmtId="0" fontId="9" fillId="34" borderId="48" xfId="0" applyFont="1" applyFill="1" applyBorder="1" applyAlignment="1">
      <alignment horizontal="center"/>
    </xf>
    <xf numFmtId="0" fontId="5" fillId="0" borderId="43" xfId="0" applyFont="1" applyBorder="1" applyAlignment="1">
      <alignment vertical="center"/>
    </xf>
    <xf numFmtId="0" fontId="18" fillId="0" borderId="51" xfId="0" applyFont="1" applyBorder="1" applyAlignment="1">
      <alignment vertical="center"/>
    </xf>
    <xf numFmtId="0" fontId="9" fillId="34" borderId="43" xfId="0" applyFont="1" applyFill="1" applyBorder="1" applyAlignment="1">
      <alignment horizontal="center"/>
    </xf>
    <xf numFmtId="0" fontId="8" fillId="35" borderId="10" xfId="0" applyFont="1" applyFill="1" applyBorder="1" applyAlignment="1">
      <alignment horizontal="center"/>
    </xf>
    <xf numFmtId="0" fontId="25" fillId="35" borderId="43" xfId="0" applyFont="1" applyFill="1" applyBorder="1"/>
    <xf numFmtId="0" fontId="0" fillId="35" borderId="0" xfId="0" applyFill="1" applyAlignment="1">
      <alignment vertical="center"/>
    </xf>
    <xf numFmtId="0" fontId="0" fillId="35" borderId="43" xfId="0" applyFill="1" applyBorder="1" applyAlignment="1">
      <alignment vertical="center"/>
    </xf>
    <xf numFmtId="0" fontId="18" fillId="0" borderId="17" xfId="0" applyFont="1" applyBorder="1"/>
    <xf numFmtId="0" fontId="9" fillId="34" borderId="46" xfId="0" applyFont="1" applyFill="1" applyBorder="1" applyAlignment="1">
      <alignment horizontal="center"/>
    </xf>
    <xf numFmtId="0" fontId="18" fillId="0" borderId="46" xfId="0" applyFont="1" applyBorder="1" applyAlignment="1">
      <alignment vertical="center"/>
    </xf>
    <xf numFmtId="0" fontId="25" fillId="0" borderId="46" xfId="0" applyFont="1" applyBorder="1" applyAlignment="1">
      <alignment vertical="center"/>
    </xf>
    <xf numFmtId="0" fontId="18" fillId="0" borderId="52" xfId="0" applyFont="1" applyBorder="1"/>
    <xf numFmtId="0" fontId="8" fillId="0" borderId="49" xfId="0" applyFont="1" applyBorder="1" applyAlignment="1">
      <alignment horizontal="center"/>
    </xf>
    <xf numFmtId="2" fontId="8" fillId="0" borderId="44" xfId="0" applyNumberFormat="1" applyFont="1" applyBorder="1" applyAlignment="1">
      <alignment horizontal="center"/>
    </xf>
    <xf numFmtId="0" fontId="7" fillId="0" borderId="43" xfId="0" applyFont="1" applyBorder="1" applyAlignment="1">
      <alignment horizontal="center" wrapText="1"/>
    </xf>
    <xf numFmtId="0" fontId="7" fillId="0" borderId="43" xfId="0" applyFont="1" applyBorder="1" applyAlignment="1">
      <alignment horizontal="left" wrapText="1"/>
    </xf>
    <xf numFmtId="0" fontId="8" fillId="0" borderId="43" xfId="0" applyFont="1" applyBorder="1" applyAlignment="1">
      <alignment horizontal="center"/>
    </xf>
    <xf numFmtId="2" fontId="8" fillId="0" borderId="43" xfId="0" applyNumberFormat="1" applyFont="1" applyBorder="1" applyAlignment="1">
      <alignment horizontal="center"/>
    </xf>
    <xf numFmtId="0" fontId="18" fillId="0" borderId="43" xfId="0" applyFont="1" applyBorder="1" applyAlignment="1">
      <alignment horizontal="center"/>
    </xf>
    <xf numFmtId="0" fontId="8" fillId="0" borderId="43" xfId="0" applyFont="1" applyBorder="1" applyAlignment="1">
      <alignment horizontal="center" wrapText="1"/>
    </xf>
    <xf numFmtId="0" fontId="7" fillId="0" borderId="43" xfId="0" applyFont="1" applyBorder="1" applyAlignment="1">
      <alignment horizontal="center"/>
    </xf>
    <xf numFmtId="0" fontId="9" fillId="0" borderId="52" xfId="0" applyFont="1" applyBorder="1" applyAlignment="1">
      <alignment wrapText="1"/>
    </xf>
    <xf numFmtId="0" fontId="8" fillId="0" borderId="49" xfId="0" applyFont="1" applyBorder="1" applyAlignment="1">
      <alignment vertical="center"/>
    </xf>
    <xf numFmtId="0" fontId="8" fillId="0" borderId="44" xfId="0" applyFont="1" applyBorder="1" applyAlignment="1">
      <alignment vertical="center"/>
    </xf>
    <xf numFmtId="0" fontId="18" fillId="36" borderId="43" xfId="0" applyFont="1" applyFill="1" applyBorder="1" applyAlignment="1">
      <alignment vertical="center"/>
    </xf>
    <xf numFmtId="0" fontId="4" fillId="0" borderId="43" xfId="0" applyFont="1" applyBorder="1" applyAlignment="1">
      <alignment vertical="center"/>
    </xf>
    <xf numFmtId="0" fontId="4" fillId="36" borderId="43" xfId="0" applyFont="1" applyFill="1" applyBorder="1" applyAlignment="1">
      <alignment vertical="center"/>
    </xf>
    <xf numFmtId="0" fontId="3" fillId="0" borderId="43" xfId="0" applyFont="1" applyBorder="1" applyAlignment="1">
      <alignment vertical="center"/>
    </xf>
    <xf numFmtId="0" fontId="8" fillId="0" borderId="52" xfId="0" applyFont="1" applyBorder="1" applyAlignment="1">
      <alignment vertical="center"/>
    </xf>
    <xf numFmtId="0" fontId="8" fillId="0" borderId="17" xfId="0" applyFont="1" applyBorder="1" applyAlignment="1">
      <alignment vertical="center"/>
    </xf>
    <xf numFmtId="0" fontId="24" fillId="22" borderId="0" xfId="0" applyFont="1" applyFill="1" applyAlignment="1">
      <alignment horizontal="center" vertical="center"/>
    </xf>
    <xf numFmtId="0" fontId="25" fillId="36" borderId="43" xfId="0" applyFont="1" applyFill="1" applyBorder="1" applyAlignment="1">
      <alignment vertical="center"/>
    </xf>
    <xf numFmtId="0" fontId="2" fillId="0" borderId="43" xfId="0" applyFont="1" applyBorder="1" applyAlignment="1">
      <alignment vertical="center"/>
    </xf>
    <xf numFmtId="0" fontId="2" fillId="36" borderId="43" xfId="0" applyFont="1" applyFill="1" applyBorder="1" applyAlignment="1">
      <alignment vertical="center"/>
    </xf>
    <xf numFmtId="0" fontId="1" fillId="0" borderId="43" xfId="0" applyFont="1" applyBorder="1" applyAlignment="1">
      <alignment vertical="center"/>
    </xf>
    <xf numFmtId="0" fontId="18" fillId="36" borderId="46" xfId="0" applyFont="1" applyFill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1" fillId="36" borderId="46" xfId="0" applyFont="1" applyFill="1" applyBorder="1" applyAlignment="1">
      <alignment vertical="center"/>
    </xf>
    <xf numFmtId="0" fontId="2" fillId="36" borderId="46" xfId="0" applyFont="1" applyFill="1" applyBorder="1" applyAlignment="1">
      <alignment vertical="center"/>
    </xf>
    <xf numFmtId="0" fontId="25" fillId="36" borderId="46" xfId="0" applyFont="1" applyFill="1" applyBorder="1" applyAlignment="1">
      <alignment vertical="center"/>
    </xf>
    <xf numFmtId="0" fontId="9" fillId="34" borderId="55" xfId="0" applyFont="1" applyFill="1" applyBorder="1" applyAlignment="1">
      <alignment horizontal="center"/>
    </xf>
    <xf numFmtId="0" fontId="9" fillId="34" borderId="56" xfId="0" applyFont="1" applyFill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0" borderId="12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8" fillId="0" borderId="0" xfId="0" applyFont="1" applyAlignment="1">
      <alignment horizontal="center"/>
    </xf>
    <xf numFmtId="0" fontId="0" fillId="0" borderId="0" xfId="0" applyAlignment="1">
      <alignment vertical="center"/>
    </xf>
    <xf numFmtId="0" fontId="8" fillId="6" borderId="11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11" fillId="0" borderId="24" xfId="0" applyFont="1" applyBorder="1" applyAlignment="1">
      <alignment vertical="center"/>
    </xf>
    <xf numFmtId="0" fontId="7" fillId="0" borderId="0" xfId="0" applyFont="1" applyAlignment="1">
      <alignment horizontal="center"/>
    </xf>
    <xf numFmtId="0" fontId="8" fillId="9" borderId="11" xfId="0" applyFont="1" applyFill="1" applyBorder="1" applyAlignment="1">
      <alignment horizontal="center"/>
    </xf>
    <xf numFmtId="0" fontId="7" fillId="15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/>
    </xf>
    <xf numFmtId="0" fontId="8" fillId="5" borderId="33" xfId="0" applyFont="1" applyFill="1" applyBorder="1" applyAlignment="1">
      <alignment horizontal="center" vertical="center"/>
    </xf>
    <xf numFmtId="0" fontId="11" fillId="0" borderId="34" xfId="0" applyFont="1" applyBorder="1" applyAlignment="1">
      <alignment vertical="center"/>
    </xf>
    <xf numFmtId="0" fontId="7" fillId="34" borderId="47" xfId="0" applyFont="1" applyFill="1" applyBorder="1" applyAlignment="1">
      <alignment horizontal="center"/>
    </xf>
    <xf numFmtId="0" fontId="7" fillId="34" borderId="48" xfId="0" applyFont="1" applyFill="1" applyBorder="1" applyAlignment="1">
      <alignment horizontal="center"/>
    </xf>
    <xf numFmtId="0" fontId="21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34" borderId="43" xfId="0" applyFont="1" applyFill="1" applyBorder="1" applyAlignment="1">
      <alignment horizontal="center"/>
    </xf>
    <xf numFmtId="0" fontId="9" fillId="34" borderId="53" xfId="0" applyFont="1" applyFill="1" applyBorder="1" applyAlignment="1">
      <alignment horizontal="center"/>
    </xf>
    <xf numFmtId="0" fontId="9" fillId="34" borderId="54" xfId="0" applyFont="1" applyFill="1" applyBorder="1" applyAlignment="1">
      <alignment horizontal="center"/>
    </xf>
    <xf numFmtId="0" fontId="21" fillId="0" borderId="34" xfId="0" applyFont="1" applyBorder="1" applyAlignment="1">
      <alignment horizontal="center" vertical="center"/>
    </xf>
    <xf numFmtId="0" fontId="8" fillId="5" borderId="35" xfId="0" applyFont="1" applyFill="1" applyBorder="1" applyAlignment="1">
      <alignment horizontal="center"/>
    </xf>
    <xf numFmtId="0" fontId="11" fillId="0" borderId="36" xfId="0" applyFont="1" applyBorder="1" applyAlignment="1">
      <alignment vertical="center"/>
    </xf>
    <xf numFmtId="0" fontId="11" fillId="0" borderId="37" xfId="0" applyFont="1" applyBorder="1" applyAlignment="1">
      <alignment vertical="center"/>
    </xf>
    <xf numFmtId="0" fontId="8" fillId="0" borderId="42" xfId="0" applyFont="1" applyBorder="1" applyAlignment="1">
      <alignment horizontal="center"/>
    </xf>
    <xf numFmtId="0" fontId="11" fillId="0" borderId="42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7" fillId="0" borderId="11" xfId="0" applyFont="1" applyBorder="1" applyAlignment="1">
      <alignment horizontal="center"/>
    </xf>
  </cellXfs>
  <cellStyles count="1">
    <cellStyle name="Normal" xfId="0" builtinId="0"/>
  </cellStyles>
  <dxfs count="79"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rgb="FFC55A11"/>
          <bgColor theme="5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microsoft.com/office/2017/10/relationships/person" Target="persons/perso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styles" Target="styles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customschemas.google.com/relationships/workbookmetadata" Target="meta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2A7D04-6D83-4E2E-ACA1-EC267EE5CC31}" name="Table1" displayName="Table1" ref="A1:M24" totalsRowShown="0" headerRowDxfId="59" dataDxfId="57" headerRowBorderDxfId="58" tableBorderDxfId="56">
  <tableColumns count="13">
    <tableColumn id="1" xr3:uid="{9ED7321C-54DD-406D-AC20-EF0705A09715}" name="Flat Numbers" dataDxfId="55"/>
    <tableColumn id="2" xr3:uid="{F579C7A7-BF7E-44AB-A3F0-F87D048E261C}" name="Previous Meter Reading" dataDxfId="54"/>
    <tableColumn id="3" xr3:uid="{8919CBF3-9819-4AE2-8EF1-6F66B371E7DA}" name="Current Meter Reading"/>
    <tableColumn id="4" xr3:uid="{EDE2DB98-F774-4AA5-B24E-AF89C43D3918}" name="Total Units"/>
    <tableColumn id="5" xr3:uid="{6A9C5262-1432-4CAD-83A7-BCE3C579D283}" name="Water Bill" dataDxfId="53"/>
    <tableColumn id="6" xr3:uid="{0C335BCA-B13F-443D-9E0A-BE5C85CEF897}" name="Common Maintanence" dataDxfId="52"/>
    <tableColumn id="7" xr3:uid="{71E57871-F4C9-49AF-A4D5-F3AFEFC3C36D}" name="Total Maintenance" dataDxfId="51"/>
    <tableColumn id="8" xr3:uid="{A9C64735-2CCC-474F-BA36-F67E6446603E}" name="Garbage Amount" dataDxfId="50"/>
    <tableColumn id="9" xr3:uid="{ED442D11-FB31-45C4-A1C7-0FA304863883}" name="Topay " dataDxfId="49"/>
    <tableColumn id="10" xr3:uid="{07B9A760-894B-4373-B564-63D0CC1B1420}" name="Receive Amount" dataDxfId="48"/>
    <tableColumn id="11" xr3:uid="{A4E73C96-F3AF-4F65-B8D8-B61F6DAAA483}" name="Payment Status" dataDxfId="47"/>
    <tableColumn id="12" xr3:uid="{7630BD67-102B-481E-B50D-8EE7EE924505}" name="Balance amount (nov)-25 After Expendatures" dataDxfId="46"/>
    <tableColumn id="13" xr3:uid="{29E12001-C9C9-4C9E-BF93-81D0D44CD442}" name="15784" dataDxfId="4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2199EB-A7FF-4D68-842B-3D3516C84B87}" name="Table14" displayName="Table14" ref="A1:M24" totalsRowShown="0" headerRowDxfId="44" dataDxfId="42" headerRowBorderDxfId="43" tableBorderDxfId="41">
  <tableColumns count="13">
    <tableColumn id="1" xr3:uid="{BAB0F80D-80A1-4488-B846-1448C7876D84}" name="Flat Numbers" dataDxfId="40"/>
    <tableColumn id="2" xr3:uid="{8F2DF28A-898F-48DA-8689-E03BAFF1AB5F}" name="Previous Meter Reading" dataDxfId="39"/>
    <tableColumn id="3" xr3:uid="{B39C748D-11F0-4260-92BF-1B814E55E20C}" name="Current Meter Reading"/>
    <tableColumn id="4" xr3:uid="{9AE25BF9-3B9A-4A22-99BD-AC3AEC2633DE}" name="Total Units"/>
    <tableColumn id="5" xr3:uid="{3CF766E1-6F8A-4794-8D4C-EF38514E07C7}" name="Water Bill" dataDxfId="38"/>
    <tableColumn id="6" xr3:uid="{C895F261-05B1-4F36-A4FC-749B6A2E4FED}" name="Common Maintanence" dataDxfId="37"/>
    <tableColumn id="7" xr3:uid="{E353101F-A888-44BE-8CE0-7C6BA93689EA}" name="Total Maintenance" dataDxfId="36"/>
    <tableColumn id="8" xr3:uid="{6ACD74A4-D159-4854-8056-57F033C360AF}" name="Garbage Amount" dataDxfId="35"/>
    <tableColumn id="9" xr3:uid="{1D3BB60A-5430-4511-A84B-A55C9850B546}" name="Topay " dataDxfId="34"/>
    <tableColumn id="10" xr3:uid="{2A0C39F0-9513-412D-87E8-F093DCE719C2}" name="Receive Amount" dataDxfId="33"/>
    <tableColumn id="11" xr3:uid="{095AE3C1-7544-4B69-A9DF-85CAA09DC573}" name="Payment Status" dataDxfId="32"/>
    <tableColumn id="12" xr3:uid="{868DA60F-1B3F-44A5-BBB5-4DAD208465C7}" name="Balance amount (nov)-25 COD: 31-12-2025" dataDxfId="31"/>
    <tableColumn id="13" xr3:uid="{49948BB4-75AA-497A-9BBA-E52970EDDBE9}" name="19301" dataDxfId="3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E8AFE6-1336-48E4-927E-ECFA6B8A2CAC}" name="Table143" displayName="Table143" ref="A1:M24" totalsRowShown="0" headerRowDxfId="29" dataDxfId="27" headerRowBorderDxfId="28" tableBorderDxfId="26">
  <tableColumns count="13">
    <tableColumn id="1" xr3:uid="{E2C9A9CC-29AA-4CE3-ABE0-2D83AACA4710}" name="Flat Numbers" dataDxfId="25"/>
    <tableColumn id="2" xr3:uid="{6C318491-95FE-48DE-87C5-BA9DE3B533D9}" name="Previous Meter Reading" dataDxfId="24"/>
    <tableColumn id="3" xr3:uid="{9B0106BE-94BE-478F-9BF7-7BEF4CE93FDF}" name="Current Meter Reading"/>
    <tableColumn id="4" xr3:uid="{C34B8355-49FD-400F-AA13-9CE7CE0E59D2}" name="Total Units"/>
    <tableColumn id="5" xr3:uid="{313C3CDE-2D5C-4BC2-9361-98FA0BB0A020}" name="Water Bill" dataDxfId="23"/>
    <tableColumn id="6" xr3:uid="{00F2EFC7-495F-46A5-B286-94ABFD448A51}" name="Common Maintanence" dataDxfId="22"/>
    <tableColumn id="7" xr3:uid="{CB886E3B-E76B-4FE4-BDB7-1C726D9D58A0}" name="Total Maintenance" dataDxfId="21"/>
    <tableColumn id="8" xr3:uid="{77D79384-F4C9-474D-89E7-CD148AA918EB}" name="Garbage Amount" dataDxfId="20"/>
    <tableColumn id="9" xr3:uid="{AD2F0427-59ED-4F59-B9FF-B80AB8909C73}" name="Topay " dataDxfId="19"/>
    <tableColumn id="10" xr3:uid="{B49A1817-8297-48E1-A70B-0C4521A26A1E}" name="Receive Amount" dataDxfId="18"/>
    <tableColumn id="11" xr3:uid="{F1CC4449-CE67-4B76-9DF7-4A34A20B689C}" name="Payment Status" dataDxfId="17"/>
    <tableColumn id="12" xr3:uid="{05C0DF2B-9C56-456B-87CE-AAC4319CFA51}" name="Balance amount (jan)-26 COD: 31-01-2026" dataDxfId="16"/>
    <tableColumn id="13" xr3:uid="{9E117E4C-FB74-43F7-9DEF-0E07648B10D2}" name="17199" dataDxfId="1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D1C8EFD-7DEF-41B9-B269-6EFDDABC3659}" name="Table1435" displayName="Table1435" ref="A1:M24" totalsRowShown="0" headerRowDxfId="14" dataDxfId="12" headerRowBorderDxfId="13" tableBorderDxfId="11">
  <tableColumns count="13">
    <tableColumn id="1" xr3:uid="{EA9246DF-20E3-4F5D-94B0-FEC9D9C7DCC3}" name="Flat Numbers" dataDxfId="10"/>
    <tableColumn id="2" xr3:uid="{D2B20E39-9A8C-46B6-9A18-9DF33BC1FF62}" name="Previous Meter Reading" dataDxfId="9"/>
    <tableColumn id="3" xr3:uid="{F7C22C5E-81E5-4675-A4F2-C0C8D066A3A6}" name="Current Meter Reading"/>
    <tableColumn id="4" xr3:uid="{39579E29-789D-4AC7-BD8B-B080A91739CA}" name="Total Units"/>
    <tableColumn id="5" xr3:uid="{C53308C1-ABF0-43EF-BE97-8358E77EEEA0}" name="Water Bill" dataDxfId="8"/>
    <tableColumn id="6" xr3:uid="{B748EC3A-6A2A-4FB5-9858-935FE8281AC2}" name="Common Maintanence" dataDxfId="7"/>
    <tableColumn id="7" xr3:uid="{E16173C2-82D1-47AD-BE00-417AFE49F053}" name="Total Maintenance" dataDxfId="6"/>
    <tableColumn id="8" xr3:uid="{4869DD3F-AA34-4492-92BA-30739299A527}" name="Garbage Amount" dataDxfId="5"/>
    <tableColumn id="9" xr3:uid="{891BD8C0-5E75-4E2D-94BE-E3C156E220F4}" name="Topay " dataDxfId="4"/>
    <tableColumn id="10" xr3:uid="{9A44D55F-48B9-4CC3-B74D-AF04587C2A82}" name="Receive Amount" dataDxfId="3"/>
    <tableColumn id="11" xr3:uid="{F0902418-824A-4BDD-99F9-CA8160B46532}" name="Payment Status" dataDxfId="2"/>
    <tableColumn id="12" xr3:uid="{AD4A1D1E-97CA-459E-85C3-5B7BAA652E13}" name="Balance amount (Feb)-26 COD: 28-02-2026" dataDxfId="1"/>
    <tableColumn id="13" xr3:uid="{70AC7A94-BA75-492F-B214-3CE8EFAA03EF}" name="14470" dataDxfId="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585AC98-FAEB-4FE0-89E9-16A90F409A6C}" name="Table14356" displayName="Table14356" ref="A1:M24" totalsRowShown="0" headerRowDxfId="78" dataDxfId="76" headerRowBorderDxfId="77" tableBorderDxfId="75">
  <tableColumns count="13">
    <tableColumn id="1" xr3:uid="{7DB19B51-07A2-44B8-AFA3-1470BC13B800}" name="Flat Numbers" dataDxfId="74"/>
    <tableColumn id="2" xr3:uid="{94EF0E1A-3059-4E21-88E7-E0159CA55B9B}" name="Previous Meter Reading" dataDxfId="73"/>
    <tableColumn id="3" xr3:uid="{0B4EDD57-0683-49C1-8035-50DAF4EBCAEE}" name="Current Meter Reading"/>
    <tableColumn id="4" xr3:uid="{B50AD878-2794-4745-BEB8-4F9471F8DD1F}" name="Total Units"/>
    <tableColumn id="5" xr3:uid="{4285341A-2F68-4B3A-8ED8-C6E79BDD9266}" name="Water Bill" dataDxfId="72"/>
    <tableColumn id="6" xr3:uid="{F8979291-D582-48BD-A5B4-982A728F70F9}" name="Common Maintanence" dataDxfId="71"/>
    <tableColumn id="7" xr3:uid="{19CBF627-A47A-4528-B810-FDA7E449A82B}" name="Total Maintenance" dataDxfId="70"/>
    <tableColumn id="8" xr3:uid="{760CF6EC-79E3-4E69-BDA0-5C804DF6A658}" name="Garbage Amount" dataDxfId="69"/>
    <tableColumn id="9" xr3:uid="{670AA372-A0EF-402D-AC21-F5C1364CFE94}" name="Topay " dataDxfId="68"/>
    <tableColumn id="10" xr3:uid="{9C961AB8-2C49-44BC-95E7-20236CCE4237}" name="Receive Amount" dataDxfId="67"/>
    <tableColumn id="11" xr3:uid="{BB56F137-91D9-431F-9B13-C1E48EAAD361}" name="Payment Status" dataDxfId="66"/>
    <tableColumn id="12" xr3:uid="{A500725C-3BE2-427E-B4EA-68F3CA4B1C32}" name="Balance amount (Mar)-26 COD: 31-03-2026" dataDxfId="65"/>
    <tableColumn id="13" xr3:uid="{56E437FF-BC5C-4CEF-8042-F074D859C287}" name="19360" dataDxfId="6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5E361E-69B3-4EB0-AB7E-130048A7812A}" name="Table6" displayName="Table6" ref="P8:R16" totalsRowShown="0" headerRowDxfId="63" headerRowBorderDxfId="62" tableBorderDxfId="61">
  <tableColumns count="3">
    <tableColumn id="1" xr3:uid="{80BEAF7D-2AD5-48AF-AFC4-C92506088AB7}" name="April Month Expenditures"/>
    <tableColumn id="2" xr3:uid="{E3DA5035-3F4E-4FD4-B9A1-284D5E663BE4}" name="Amount" dataDxfId="60"/>
    <tableColumn id="3" xr3:uid="{D344B5B2-48A4-4C61-9FD7-53EDF1A58270}" name="Status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J45"/>
  <sheetViews>
    <sheetView topLeftCell="BRC1" workbookViewId="0"/>
  </sheetViews>
  <sheetFormatPr defaultColWidth="14.42578125" defaultRowHeight="15" customHeight="1" x14ac:dyDescent="0.25"/>
  <cols>
    <col min="1" max="1" width="9.5703125" customWidth="1"/>
    <col min="2" max="2" width="8.42578125" customWidth="1"/>
    <col min="3" max="3" width="22.140625" customWidth="1"/>
    <col min="4" max="4" width="9" customWidth="1"/>
    <col min="5" max="5" width="10.7109375" customWidth="1"/>
    <col min="6" max="6" width="10.140625" customWidth="1"/>
    <col min="7" max="7" width="14.140625" customWidth="1"/>
    <col min="8" max="8" width="9.5703125" customWidth="1"/>
    <col min="9" max="9" width="22.140625" customWidth="1"/>
    <col min="10" max="10" width="9" customWidth="1"/>
  </cols>
  <sheetData>
    <row r="2" spans="1:10" ht="15" customHeight="1" x14ac:dyDescent="0.25">
      <c r="A2" s="1" t="s">
        <v>0</v>
      </c>
      <c r="F2" s="1" t="s">
        <v>1</v>
      </c>
    </row>
    <row r="4" spans="1:10" ht="15" customHeight="1" x14ac:dyDescent="0.25">
      <c r="A4" s="2" t="s">
        <v>2</v>
      </c>
      <c r="B4" s="3" t="s">
        <v>3</v>
      </c>
      <c r="C4" s="3" t="s">
        <v>4</v>
      </c>
      <c r="D4" s="4" t="s">
        <v>5</v>
      </c>
      <c r="G4" s="5" t="s">
        <v>6</v>
      </c>
      <c r="H4" s="5" t="s">
        <v>7</v>
      </c>
      <c r="I4" s="5" t="s">
        <v>4</v>
      </c>
      <c r="J4" s="5" t="s">
        <v>5</v>
      </c>
    </row>
    <row r="5" spans="1:10" ht="15" customHeight="1" x14ac:dyDescent="0.25">
      <c r="A5" s="6" t="s">
        <v>8</v>
      </c>
      <c r="B5" s="7">
        <v>303</v>
      </c>
      <c r="C5" s="8">
        <v>44018</v>
      </c>
      <c r="D5" s="9">
        <v>500</v>
      </c>
      <c r="G5" s="10" t="s">
        <v>9</v>
      </c>
      <c r="H5" s="10">
        <v>2</v>
      </c>
      <c r="I5" s="8">
        <v>43987</v>
      </c>
      <c r="J5" s="10">
        <v>600</v>
      </c>
    </row>
    <row r="6" spans="1:10" ht="15" customHeight="1" x14ac:dyDescent="0.25">
      <c r="A6" s="6" t="s">
        <v>10</v>
      </c>
      <c r="B6" s="7">
        <v>202</v>
      </c>
      <c r="C6" s="8">
        <v>44018</v>
      </c>
      <c r="D6" s="9">
        <v>500</v>
      </c>
      <c r="G6" s="10" t="s">
        <v>11</v>
      </c>
      <c r="H6" s="10">
        <v>1</v>
      </c>
      <c r="I6" s="8">
        <v>43992</v>
      </c>
      <c r="J6" s="10">
        <v>100</v>
      </c>
    </row>
    <row r="7" spans="1:10" ht="15" customHeight="1" x14ac:dyDescent="0.25">
      <c r="A7" s="6" t="s">
        <v>12</v>
      </c>
      <c r="B7" s="7" t="s">
        <v>13</v>
      </c>
      <c r="C7" s="8">
        <v>44018</v>
      </c>
      <c r="D7" s="9">
        <v>500</v>
      </c>
      <c r="G7" s="10" t="s">
        <v>14</v>
      </c>
      <c r="H7" s="10"/>
      <c r="I7" s="8">
        <v>43995</v>
      </c>
      <c r="J7" s="10">
        <v>400</v>
      </c>
    </row>
    <row r="8" spans="1:10" ht="15" customHeight="1" x14ac:dyDescent="0.25">
      <c r="A8" s="6" t="s">
        <v>15</v>
      </c>
      <c r="B8" s="7" t="s">
        <v>16</v>
      </c>
      <c r="C8" s="8">
        <v>44018</v>
      </c>
      <c r="D8" s="9">
        <v>500</v>
      </c>
      <c r="G8" s="10" t="s">
        <v>17</v>
      </c>
      <c r="H8" s="10"/>
      <c r="I8" s="8">
        <v>44004</v>
      </c>
      <c r="J8" s="10">
        <v>250</v>
      </c>
    </row>
    <row r="9" spans="1:10" ht="15" customHeight="1" x14ac:dyDescent="0.25">
      <c r="A9" s="6" t="s">
        <v>18</v>
      </c>
      <c r="B9" s="7">
        <v>102</v>
      </c>
      <c r="C9" s="8">
        <v>43999</v>
      </c>
      <c r="D9" s="9">
        <v>500</v>
      </c>
      <c r="G9" s="10" t="s">
        <v>19</v>
      </c>
      <c r="H9" s="10">
        <v>1</v>
      </c>
      <c r="I9" s="8">
        <v>44010</v>
      </c>
      <c r="J9" s="10">
        <v>55</v>
      </c>
    </row>
    <row r="21" spans="1:10" ht="15" customHeight="1" x14ac:dyDescent="0.25">
      <c r="A21" s="11" t="s">
        <v>20</v>
      </c>
      <c r="B21" s="12"/>
      <c r="C21" s="12"/>
      <c r="D21" s="13">
        <f>SUM(D5:D20)</f>
        <v>2500</v>
      </c>
      <c r="G21" s="10" t="s">
        <v>20</v>
      </c>
      <c r="H21" s="10"/>
      <c r="I21" s="10"/>
      <c r="J21" s="10">
        <f>SUM(J5:J19)</f>
        <v>1405</v>
      </c>
    </row>
    <row r="22" spans="1:10" ht="15.75" customHeight="1" x14ac:dyDescent="0.25"/>
    <row r="23" spans="1:10" ht="15.75" customHeight="1" x14ac:dyDescent="0.25"/>
    <row r="24" spans="1:10" ht="15.75" customHeight="1" x14ac:dyDescent="0.25">
      <c r="D24" s="14" t="s">
        <v>21</v>
      </c>
      <c r="E24" s="14"/>
      <c r="F24" s="14"/>
      <c r="G24" s="14">
        <f>D21-J21</f>
        <v>1095</v>
      </c>
    </row>
    <row r="25" spans="1:10" ht="15.75" customHeight="1" x14ac:dyDescent="0.25"/>
    <row r="26" spans="1:10" ht="15.75" customHeight="1" x14ac:dyDescent="0.25">
      <c r="A26" s="1" t="s">
        <v>22</v>
      </c>
    </row>
    <row r="27" spans="1:10" ht="15.75" customHeight="1" x14ac:dyDescent="0.25"/>
    <row r="28" spans="1:10" ht="15.75" customHeight="1" x14ac:dyDescent="0.25">
      <c r="A28" s="2" t="s">
        <v>2</v>
      </c>
      <c r="B28" s="3" t="s">
        <v>3</v>
      </c>
      <c r="C28" s="3" t="s">
        <v>4</v>
      </c>
      <c r="D28" s="4" t="s">
        <v>5</v>
      </c>
    </row>
    <row r="29" spans="1:10" ht="15.75" customHeight="1" x14ac:dyDescent="0.25">
      <c r="A29" s="6" t="s">
        <v>8</v>
      </c>
      <c r="B29" s="7">
        <v>303</v>
      </c>
      <c r="C29" s="8">
        <v>44018</v>
      </c>
      <c r="D29" s="9">
        <v>0</v>
      </c>
    </row>
    <row r="30" spans="1:10" ht="15.75" customHeight="1" x14ac:dyDescent="0.25">
      <c r="A30" s="6" t="s">
        <v>10</v>
      </c>
      <c r="B30" s="7">
        <v>202</v>
      </c>
      <c r="C30" s="8">
        <v>44018</v>
      </c>
      <c r="D30" s="9">
        <v>1000</v>
      </c>
    </row>
    <row r="31" spans="1:10" ht="15.75" customHeight="1" x14ac:dyDescent="0.25">
      <c r="A31" s="6" t="s">
        <v>12</v>
      </c>
      <c r="B31" s="7" t="s">
        <v>13</v>
      </c>
      <c r="C31" s="8">
        <v>44018</v>
      </c>
      <c r="D31" s="9">
        <v>1000</v>
      </c>
    </row>
    <row r="32" spans="1:10" ht="15.75" customHeight="1" x14ac:dyDescent="0.25">
      <c r="A32" s="6" t="s">
        <v>15</v>
      </c>
      <c r="B32" s="7" t="s">
        <v>16</v>
      </c>
      <c r="C32" s="8">
        <v>44018</v>
      </c>
      <c r="D32" s="9">
        <v>1000</v>
      </c>
      <c r="F32" s="15" t="s">
        <v>23</v>
      </c>
      <c r="G32" s="15">
        <f>G24+D45</f>
        <v>4095</v>
      </c>
    </row>
    <row r="45" spans="1:4" ht="15.75" customHeight="1" x14ac:dyDescent="0.25">
      <c r="A45" s="11" t="s">
        <v>20</v>
      </c>
      <c r="B45" s="12"/>
      <c r="C45" s="12"/>
      <c r="D45" s="13">
        <f>SUM(D29:D44)</f>
        <v>3000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18"/>
  <sheetViews>
    <sheetView workbookViewId="0"/>
  </sheetViews>
  <sheetFormatPr defaultColWidth="14.42578125" defaultRowHeight="15" customHeight="1" x14ac:dyDescent="0.25"/>
  <cols>
    <col min="1" max="1" width="11" customWidth="1"/>
    <col min="2" max="6" width="7.5703125" customWidth="1"/>
  </cols>
  <sheetData>
    <row r="2" spans="1:3" ht="15" customHeight="1" x14ac:dyDescent="0.25">
      <c r="A2" s="1" t="s">
        <v>24</v>
      </c>
      <c r="B2" s="1">
        <v>4390</v>
      </c>
    </row>
    <row r="3" spans="1:3" ht="15" customHeight="1" x14ac:dyDescent="0.25">
      <c r="A3" s="1" t="s">
        <v>25</v>
      </c>
      <c r="B3" s="1">
        <v>220</v>
      </c>
    </row>
    <row r="4" spans="1:3" ht="15" customHeight="1" x14ac:dyDescent="0.25">
      <c r="A4" s="1" t="s">
        <v>26</v>
      </c>
      <c r="B4" s="1">
        <v>320</v>
      </c>
    </row>
    <row r="5" spans="1:3" ht="15" customHeight="1" x14ac:dyDescent="0.25">
      <c r="A5" s="1" t="s">
        <v>27</v>
      </c>
      <c r="B5" s="1">
        <v>300</v>
      </c>
    </row>
    <row r="7" spans="1:3" ht="15" customHeight="1" x14ac:dyDescent="0.25">
      <c r="A7" s="1" t="s">
        <v>28</v>
      </c>
      <c r="B7" s="1">
        <f>SUM(B2:B6)</f>
        <v>5230</v>
      </c>
    </row>
    <row r="10" spans="1:3" ht="15" customHeight="1" x14ac:dyDescent="0.25">
      <c r="A10" s="16" t="s">
        <v>2</v>
      </c>
      <c r="B10" s="16" t="s">
        <v>29</v>
      </c>
    </row>
    <row r="11" spans="1:3" ht="15" customHeight="1" x14ac:dyDescent="0.25">
      <c r="A11" s="17" t="s">
        <v>30</v>
      </c>
      <c r="B11" s="18">
        <f t="shared" ref="B11:B16" si="0">ROUND(5230/6,2)</f>
        <v>871.67</v>
      </c>
    </row>
    <row r="12" spans="1:3" ht="15" customHeight="1" x14ac:dyDescent="0.25">
      <c r="A12" s="10" t="s">
        <v>10</v>
      </c>
      <c r="B12" s="18">
        <f t="shared" si="0"/>
        <v>871.67</v>
      </c>
    </row>
    <row r="13" spans="1:3" ht="15" customHeight="1" x14ac:dyDescent="0.25">
      <c r="A13" s="17" t="s">
        <v>31</v>
      </c>
      <c r="B13" s="18">
        <f t="shared" si="0"/>
        <v>871.67</v>
      </c>
    </row>
    <row r="14" spans="1:3" ht="15" customHeight="1" x14ac:dyDescent="0.25">
      <c r="A14" s="10" t="s">
        <v>32</v>
      </c>
      <c r="B14" s="18">
        <f t="shared" si="0"/>
        <v>871.67</v>
      </c>
      <c r="C14" s="1">
        <f>871.67-540</f>
        <v>331.66999999999996</v>
      </c>
    </row>
    <row r="15" spans="1:3" ht="15" customHeight="1" x14ac:dyDescent="0.25">
      <c r="A15" s="17" t="s">
        <v>33</v>
      </c>
      <c r="B15" s="18">
        <f t="shared" si="0"/>
        <v>871.67</v>
      </c>
    </row>
    <row r="16" spans="1:3" ht="15" customHeight="1" x14ac:dyDescent="0.25">
      <c r="A16" s="10" t="s">
        <v>34</v>
      </c>
      <c r="B16" s="18">
        <f t="shared" si="0"/>
        <v>871.67</v>
      </c>
    </row>
    <row r="18" spans="2:2" ht="15" customHeight="1" x14ac:dyDescent="0.25">
      <c r="B18" s="1">
        <f>SUM(B11:B17)</f>
        <v>5230.0199999999995</v>
      </c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J57"/>
  <sheetViews>
    <sheetView workbookViewId="0"/>
  </sheetViews>
  <sheetFormatPr defaultColWidth="14.42578125" defaultRowHeight="15" customHeight="1" x14ac:dyDescent="0.25"/>
  <cols>
    <col min="1" max="1" width="21.5703125" customWidth="1"/>
    <col min="2" max="2" width="22.140625" customWidth="1"/>
    <col min="3" max="3" width="26.7109375" customWidth="1"/>
    <col min="4" max="4" width="15.7109375" customWidth="1"/>
    <col min="5" max="5" width="16.85546875" customWidth="1"/>
    <col min="6" max="6" width="22.140625" customWidth="1"/>
    <col min="7" max="7" width="8.7109375" customWidth="1"/>
    <col min="8" max="8" width="24.7109375" customWidth="1"/>
    <col min="9" max="9" width="21.85546875" customWidth="1"/>
    <col min="10" max="10" width="9" customWidth="1"/>
  </cols>
  <sheetData>
    <row r="2" spans="1:10" ht="15" customHeight="1" x14ac:dyDescent="0.25">
      <c r="C2" s="19" t="s">
        <v>35</v>
      </c>
      <c r="D2" s="19">
        <v>4095</v>
      </c>
      <c r="H2" s="19" t="s">
        <v>36</v>
      </c>
      <c r="I2" s="19">
        <f>I22+E53+D2+J22-D22</f>
        <v>11106</v>
      </c>
    </row>
    <row r="3" spans="1:10" ht="15" customHeight="1" x14ac:dyDescent="0.25">
      <c r="A3" s="1" t="s">
        <v>1</v>
      </c>
    </row>
    <row r="4" spans="1:10" ht="15" customHeight="1" x14ac:dyDescent="0.25">
      <c r="F4" s="1" t="s">
        <v>22</v>
      </c>
    </row>
    <row r="5" spans="1:10" ht="15" customHeight="1" x14ac:dyDescent="0.25">
      <c r="A5" s="5" t="s">
        <v>6</v>
      </c>
      <c r="B5" s="5" t="s">
        <v>7</v>
      </c>
      <c r="C5" s="5" t="s">
        <v>4</v>
      </c>
      <c r="D5" s="5" t="s">
        <v>5</v>
      </c>
    </row>
    <row r="6" spans="1:10" ht="15" customHeight="1" x14ac:dyDescent="0.25">
      <c r="A6" s="10" t="s">
        <v>37</v>
      </c>
      <c r="B6" s="10"/>
      <c r="C6" s="8">
        <v>44014</v>
      </c>
      <c r="D6" s="10">
        <v>300</v>
      </c>
      <c r="F6" s="2" t="s">
        <v>2</v>
      </c>
      <c r="G6" s="3" t="s">
        <v>3</v>
      </c>
      <c r="H6" s="3" t="s">
        <v>4</v>
      </c>
      <c r="I6" s="4" t="s">
        <v>38</v>
      </c>
      <c r="J6" s="3" t="s">
        <v>39</v>
      </c>
    </row>
    <row r="7" spans="1:10" ht="15" customHeight="1" x14ac:dyDescent="0.25">
      <c r="A7" s="10" t="s">
        <v>40</v>
      </c>
      <c r="B7" s="10"/>
      <c r="C7" s="8">
        <v>44018</v>
      </c>
      <c r="D7" s="10">
        <v>250</v>
      </c>
      <c r="E7" s="1" t="s">
        <v>41</v>
      </c>
      <c r="F7" s="6" t="s">
        <v>30</v>
      </c>
      <c r="G7" s="7">
        <v>303</v>
      </c>
      <c r="H7" s="8">
        <v>44020</v>
      </c>
      <c r="I7" s="9">
        <v>600</v>
      </c>
      <c r="J7" s="1">
        <v>2000</v>
      </c>
    </row>
    <row r="8" spans="1:10" ht="15" customHeight="1" x14ac:dyDescent="0.25">
      <c r="A8" s="10" t="s">
        <v>42</v>
      </c>
      <c r="B8" s="10"/>
      <c r="C8" s="8">
        <v>44014</v>
      </c>
      <c r="D8" s="1">
        <v>550</v>
      </c>
      <c r="F8" s="6" t="s">
        <v>10</v>
      </c>
      <c r="G8" s="7">
        <v>202</v>
      </c>
      <c r="H8" s="8">
        <v>44020</v>
      </c>
      <c r="I8" s="9">
        <v>600</v>
      </c>
      <c r="J8" s="1">
        <v>1000</v>
      </c>
    </row>
    <row r="9" spans="1:10" ht="15" customHeight="1" x14ac:dyDescent="0.25">
      <c r="A9" s="10" t="s">
        <v>43</v>
      </c>
      <c r="B9" s="10"/>
      <c r="C9" s="8">
        <v>44019</v>
      </c>
      <c r="D9" s="10">
        <v>100</v>
      </c>
      <c r="E9" s="1" t="s">
        <v>44</v>
      </c>
      <c r="F9" s="6" t="s">
        <v>31</v>
      </c>
      <c r="G9" s="7" t="s">
        <v>13</v>
      </c>
      <c r="H9" s="8">
        <v>44029</v>
      </c>
      <c r="I9" s="9">
        <v>600</v>
      </c>
      <c r="J9" s="1">
        <v>1000</v>
      </c>
    </row>
    <row r="10" spans="1:10" ht="15" customHeight="1" x14ac:dyDescent="0.25">
      <c r="A10" s="10" t="s">
        <v>45</v>
      </c>
      <c r="B10" s="10"/>
      <c r="C10" s="8">
        <v>44020</v>
      </c>
      <c r="D10" s="10">
        <v>6887</v>
      </c>
      <c r="F10" s="6" t="s">
        <v>32</v>
      </c>
      <c r="G10" s="7" t="s">
        <v>16</v>
      </c>
      <c r="H10" s="8">
        <v>44018</v>
      </c>
      <c r="I10" s="9">
        <v>250</v>
      </c>
      <c r="J10" s="1">
        <v>1000</v>
      </c>
    </row>
    <row r="11" spans="1:10" ht="15" customHeight="1" x14ac:dyDescent="0.25">
      <c r="A11" s="10" t="s">
        <v>46</v>
      </c>
      <c r="B11" s="10"/>
      <c r="C11" s="8">
        <v>44027</v>
      </c>
      <c r="D11" s="10">
        <v>2044</v>
      </c>
      <c r="F11" s="6" t="s">
        <v>47</v>
      </c>
      <c r="G11" s="7">
        <v>102</v>
      </c>
      <c r="H11" s="8">
        <v>44034</v>
      </c>
      <c r="I11" s="9">
        <v>600</v>
      </c>
      <c r="J11" s="1">
        <v>500</v>
      </c>
    </row>
    <row r="12" spans="1:10" ht="15" customHeight="1" x14ac:dyDescent="0.25">
      <c r="A12" s="10" t="s">
        <v>48</v>
      </c>
      <c r="B12" s="10"/>
      <c r="C12" s="8">
        <v>44034</v>
      </c>
      <c r="D12" s="10">
        <v>50</v>
      </c>
      <c r="F12" s="6" t="s">
        <v>49</v>
      </c>
      <c r="G12" s="7" t="s">
        <v>50</v>
      </c>
      <c r="H12" s="8">
        <v>44018</v>
      </c>
      <c r="I12" s="9">
        <v>4800</v>
      </c>
    </row>
    <row r="13" spans="1:10" ht="15" customHeight="1" x14ac:dyDescent="0.25">
      <c r="A13" s="10" t="s">
        <v>51</v>
      </c>
      <c r="B13" s="10"/>
      <c r="C13" s="20">
        <v>44042</v>
      </c>
      <c r="D13" s="10">
        <v>2000</v>
      </c>
      <c r="F13" s="6" t="s">
        <v>34</v>
      </c>
      <c r="G13" s="7">
        <v>104</v>
      </c>
      <c r="H13" s="8">
        <v>44022</v>
      </c>
      <c r="I13" s="9">
        <v>600</v>
      </c>
    </row>
    <row r="22" spans="1:10" ht="15.75" customHeight="1" x14ac:dyDescent="0.25">
      <c r="A22" s="10" t="s">
        <v>20</v>
      </c>
      <c r="B22" s="10"/>
      <c r="C22" s="10"/>
      <c r="D22" s="10">
        <f>SUM(D6:D20)</f>
        <v>12181</v>
      </c>
      <c r="F22" s="11" t="s">
        <v>20</v>
      </c>
      <c r="G22" s="12"/>
      <c r="H22" s="12"/>
      <c r="I22" s="13">
        <f>SUM(I7:I21)</f>
        <v>8050</v>
      </c>
      <c r="J22" s="1">
        <f>SUBTOTAL(109,J7:J21)</f>
        <v>5500</v>
      </c>
    </row>
    <row r="23" spans="1:10" ht="15.75" customHeight="1" x14ac:dyDescent="0.25">
      <c r="F23" s="14"/>
      <c r="G23" s="14"/>
    </row>
    <row r="24" spans="1:10" ht="15.75" customHeight="1" x14ac:dyDescent="0.25"/>
    <row r="25" spans="1:10" ht="15.75" customHeight="1" x14ac:dyDescent="0.25">
      <c r="A25" s="15" t="s">
        <v>52</v>
      </c>
    </row>
    <row r="26" spans="1:10" ht="15.75" customHeight="1" x14ac:dyDescent="0.25"/>
    <row r="27" spans="1:10" ht="15.75" customHeight="1" x14ac:dyDescent="0.25">
      <c r="C27" s="1" t="s">
        <v>53</v>
      </c>
      <c r="D27" s="15">
        <v>3</v>
      </c>
      <c r="G27" s="335" t="s">
        <v>54</v>
      </c>
      <c r="H27" s="336"/>
      <c r="I27" s="336"/>
      <c r="J27" s="337"/>
    </row>
    <row r="28" spans="1:10" ht="15.75" customHeight="1" x14ac:dyDescent="0.25">
      <c r="C28" s="1" t="s">
        <v>55</v>
      </c>
      <c r="D28" s="15">
        <v>1200</v>
      </c>
      <c r="G28" s="22" t="s">
        <v>56</v>
      </c>
      <c r="H28" s="22" t="s">
        <v>57</v>
      </c>
      <c r="I28" s="22" t="s">
        <v>58</v>
      </c>
      <c r="J28" s="22" t="s">
        <v>59</v>
      </c>
    </row>
    <row r="29" spans="1:10" ht="15.75" customHeight="1" x14ac:dyDescent="0.25">
      <c r="C29" s="1" t="s">
        <v>60</v>
      </c>
      <c r="D29" s="1">
        <v>10000</v>
      </c>
      <c r="G29" s="22">
        <v>1</v>
      </c>
      <c r="H29" s="23">
        <v>44014</v>
      </c>
      <c r="I29" s="22">
        <v>10000</v>
      </c>
      <c r="J29" s="22">
        <v>1200</v>
      </c>
    </row>
    <row r="30" spans="1:10" ht="15.75" customHeight="1" x14ac:dyDescent="0.25">
      <c r="C30" s="15" t="s">
        <v>61</v>
      </c>
      <c r="D30" s="15">
        <f>D28*D27</f>
        <v>3600</v>
      </c>
      <c r="G30" s="22">
        <v>2</v>
      </c>
      <c r="H30" s="24">
        <v>44015</v>
      </c>
      <c r="I30" s="22">
        <v>5000</v>
      </c>
      <c r="J30" s="22">
        <v>550</v>
      </c>
    </row>
    <row r="31" spans="1:10" ht="15.75" customHeight="1" x14ac:dyDescent="0.25">
      <c r="F31" s="15"/>
      <c r="G31" s="15"/>
    </row>
    <row r="32" spans="1:10" ht="15.75" customHeight="1" x14ac:dyDescent="0.25">
      <c r="C32" s="15" t="s">
        <v>62</v>
      </c>
      <c r="D32" s="15">
        <v>2044</v>
      </c>
    </row>
    <row r="34" spans="1:7" ht="15.75" customHeight="1" x14ac:dyDescent="0.25">
      <c r="A34" s="338" t="s">
        <v>63</v>
      </c>
      <c r="B34" s="339"/>
      <c r="C34" s="339"/>
      <c r="D34" s="339"/>
      <c r="E34" s="26"/>
      <c r="F34" s="26"/>
    </row>
    <row r="35" spans="1:7" ht="15.75" customHeight="1" x14ac:dyDescent="0.25"/>
    <row r="36" spans="1:7" ht="15.75" customHeight="1" x14ac:dyDescent="0.25">
      <c r="A36" s="27" t="s">
        <v>64</v>
      </c>
      <c r="B36" s="27" t="s">
        <v>65</v>
      </c>
      <c r="C36" s="27" t="s">
        <v>66</v>
      </c>
      <c r="D36" s="28" t="s">
        <v>67</v>
      </c>
    </row>
    <row r="37" spans="1:7" ht="15.75" customHeight="1" x14ac:dyDescent="0.25">
      <c r="A37" s="29" t="s">
        <v>68</v>
      </c>
      <c r="B37" s="30">
        <v>0.7</v>
      </c>
      <c r="C37" s="22">
        <f t="shared" ref="C37:C52" si="0">B37*1000</f>
        <v>700</v>
      </c>
      <c r="D37" s="31">
        <f>ROUND(C37*C55,0)</f>
        <v>53</v>
      </c>
      <c r="E37" s="1" t="s">
        <v>69</v>
      </c>
      <c r="G37" s="1">
        <v>53</v>
      </c>
    </row>
    <row r="38" spans="1:7" ht="15.75" customHeight="1" x14ac:dyDescent="0.25">
      <c r="A38" s="29" t="s">
        <v>70</v>
      </c>
      <c r="B38" s="30">
        <v>0.37</v>
      </c>
      <c r="C38" s="22">
        <f t="shared" si="0"/>
        <v>370</v>
      </c>
      <c r="D38" s="31">
        <f>ROUND(C38*C55,0)</f>
        <v>28</v>
      </c>
      <c r="E38" s="1" t="s">
        <v>69</v>
      </c>
      <c r="G38" s="1">
        <v>28</v>
      </c>
    </row>
    <row r="39" spans="1:7" ht="15.75" customHeight="1" x14ac:dyDescent="0.25">
      <c r="A39" s="32" t="s">
        <v>16</v>
      </c>
      <c r="B39" s="33">
        <v>14.68</v>
      </c>
      <c r="C39" s="34">
        <f t="shared" si="0"/>
        <v>14680</v>
      </c>
      <c r="D39" s="34">
        <f>ROUND(C39*C55,0)</f>
        <v>1121</v>
      </c>
      <c r="E39" s="1" t="s">
        <v>69</v>
      </c>
      <c r="G39" s="1">
        <v>29</v>
      </c>
    </row>
    <row r="40" spans="1:7" ht="15.75" customHeight="1" x14ac:dyDescent="0.25">
      <c r="A40" s="32" t="s">
        <v>13</v>
      </c>
      <c r="B40" s="33">
        <v>8.6999999999999993</v>
      </c>
      <c r="C40" s="34">
        <f t="shared" si="0"/>
        <v>8700</v>
      </c>
      <c r="D40" s="34">
        <f>ROUND(C40*C55,0)</f>
        <v>664</v>
      </c>
      <c r="E40" s="1" t="s">
        <v>69</v>
      </c>
      <c r="G40" s="1">
        <v>31</v>
      </c>
    </row>
    <row r="41" spans="1:7" ht="15.75" customHeight="1" x14ac:dyDescent="0.25">
      <c r="A41" s="29">
        <v>101</v>
      </c>
      <c r="B41" s="30">
        <v>0.38</v>
      </c>
      <c r="C41" s="22">
        <f t="shared" si="0"/>
        <v>380</v>
      </c>
      <c r="D41" s="31">
        <f>ROUND(C41*C55,0)</f>
        <v>29</v>
      </c>
      <c r="E41" s="1" t="s">
        <v>69</v>
      </c>
      <c r="G41" s="1">
        <v>110</v>
      </c>
    </row>
    <row r="42" spans="1:7" ht="15.75" customHeight="1" x14ac:dyDescent="0.25">
      <c r="A42" s="32">
        <v>102</v>
      </c>
      <c r="B42" s="33">
        <v>7.85</v>
      </c>
      <c r="C42" s="34">
        <f t="shared" si="0"/>
        <v>7850</v>
      </c>
      <c r="D42" s="34">
        <f>ROUND(C42*C55,0)</f>
        <v>600</v>
      </c>
      <c r="E42" s="1" t="s">
        <v>69</v>
      </c>
      <c r="G42" s="1">
        <v>32</v>
      </c>
    </row>
    <row r="43" spans="1:7" ht="15.75" customHeight="1" x14ac:dyDescent="0.25">
      <c r="A43" s="29">
        <v>103</v>
      </c>
      <c r="B43" s="30">
        <v>0.4</v>
      </c>
      <c r="C43" s="22">
        <f t="shared" si="0"/>
        <v>400</v>
      </c>
      <c r="D43" s="31">
        <f>ROUND(C43*C55,0)</f>
        <v>31</v>
      </c>
      <c r="E43" s="1" t="s">
        <v>69</v>
      </c>
      <c r="G43" s="1">
        <v>32</v>
      </c>
    </row>
    <row r="44" spans="1:7" ht="15.75" customHeight="1" x14ac:dyDescent="0.25">
      <c r="A44" s="32">
        <v>104</v>
      </c>
      <c r="B44" s="33">
        <v>4.3899999999999997</v>
      </c>
      <c r="C44" s="34">
        <f t="shared" si="0"/>
        <v>4390</v>
      </c>
      <c r="D44" s="34">
        <f>ROUND(C44*C55,0)</f>
        <v>335</v>
      </c>
      <c r="E44" s="1" t="s">
        <v>69</v>
      </c>
      <c r="G44" s="1">
        <v>28</v>
      </c>
    </row>
    <row r="45" spans="1:7" ht="15.75" customHeight="1" x14ac:dyDescent="0.25">
      <c r="A45" s="29">
        <v>201</v>
      </c>
      <c r="B45" s="30">
        <v>1.44</v>
      </c>
      <c r="C45" s="22">
        <f t="shared" si="0"/>
        <v>1440</v>
      </c>
      <c r="D45" s="31">
        <f>ROUND(C45*C55,0)</f>
        <v>110</v>
      </c>
      <c r="E45" s="1" t="s">
        <v>69</v>
      </c>
      <c r="G45" s="1">
        <v>29</v>
      </c>
    </row>
    <row r="46" spans="1:7" ht="15.75" customHeight="1" x14ac:dyDescent="0.25">
      <c r="A46" s="32">
        <v>202</v>
      </c>
      <c r="B46" s="33">
        <v>10.19</v>
      </c>
      <c r="C46" s="34">
        <f t="shared" si="0"/>
        <v>10190</v>
      </c>
      <c r="D46" s="34">
        <f>ROUND(C46*C55,0)</f>
        <v>778</v>
      </c>
      <c r="E46" s="1" t="s">
        <v>69</v>
      </c>
      <c r="G46" s="1">
        <v>41</v>
      </c>
    </row>
    <row r="47" spans="1:7" ht="15.75" customHeight="1" x14ac:dyDescent="0.25">
      <c r="A47" s="29">
        <v>203</v>
      </c>
      <c r="B47" s="30">
        <v>0.42</v>
      </c>
      <c r="C47" s="22">
        <f t="shared" si="0"/>
        <v>420</v>
      </c>
      <c r="D47" s="31">
        <f>ROUND(C47*C55,0)</f>
        <v>32</v>
      </c>
      <c r="E47" s="1" t="s">
        <v>69</v>
      </c>
      <c r="F47" s="1" t="s">
        <v>71</v>
      </c>
      <c r="G47" s="1">
        <f>SUM(G37:G46)</f>
        <v>413</v>
      </c>
    </row>
    <row r="48" spans="1:7" ht="15.75" customHeight="1" x14ac:dyDescent="0.25">
      <c r="A48" s="29">
        <v>204</v>
      </c>
      <c r="B48" s="30">
        <v>0.42</v>
      </c>
      <c r="C48" s="22">
        <f t="shared" si="0"/>
        <v>420</v>
      </c>
      <c r="D48" s="31">
        <f>ROUND(C48*C55,0)</f>
        <v>32</v>
      </c>
      <c r="E48" s="1" t="s">
        <v>69</v>
      </c>
      <c r="F48" s="1" t="s">
        <v>72</v>
      </c>
      <c r="G48" s="1">
        <v>1200</v>
      </c>
    </row>
    <row r="49" spans="1:7" ht="15.75" customHeight="1" x14ac:dyDescent="0.25">
      <c r="A49" s="29">
        <v>301</v>
      </c>
      <c r="B49" s="30">
        <v>0.37</v>
      </c>
      <c r="C49" s="22">
        <f t="shared" si="0"/>
        <v>370</v>
      </c>
      <c r="D49" s="31">
        <f>ROUND(C49*C55,0)</f>
        <v>28</v>
      </c>
      <c r="E49" s="1" t="s">
        <v>69</v>
      </c>
      <c r="G49" s="1">
        <f>SUM(G47,G48)</f>
        <v>1613</v>
      </c>
    </row>
    <row r="50" spans="1:7" ht="15.75" customHeight="1" x14ac:dyDescent="0.25">
      <c r="A50" s="29">
        <v>302</v>
      </c>
      <c r="B50" s="30">
        <v>0.38</v>
      </c>
      <c r="C50" s="22">
        <f t="shared" si="0"/>
        <v>380</v>
      </c>
      <c r="D50" s="31">
        <f>ROUND(C50*C55,0)</f>
        <v>29</v>
      </c>
      <c r="E50" s="1" t="s">
        <v>69</v>
      </c>
      <c r="F50" s="1" t="s">
        <v>73</v>
      </c>
      <c r="G50" s="1">
        <f>8500-1613</f>
        <v>6887</v>
      </c>
    </row>
    <row r="51" spans="1:7" ht="15.75" customHeight="1" x14ac:dyDescent="0.25">
      <c r="A51" s="32">
        <v>303</v>
      </c>
      <c r="B51" s="33">
        <v>22.67</v>
      </c>
      <c r="C51" s="34">
        <f t="shared" si="0"/>
        <v>22670</v>
      </c>
      <c r="D51" s="34">
        <f>ROUND(C51*C55,0)</f>
        <v>1731</v>
      </c>
      <c r="E51" s="1" t="s">
        <v>69</v>
      </c>
    </row>
    <row r="52" spans="1:7" ht="15.75" customHeight="1" x14ac:dyDescent="0.25">
      <c r="A52" s="29">
        <v>304</v>
      </c>
      <c r="B52" s="30">
        <v>0.54</v>
      </c>
      <c r="C52" s="22">
        <f t="shared" si="0"/>
        <v>540</v>
      </c>
      <c r="D52" s="31">
        <f>ROUND(C52*C55,0)</f>
        <v>41</v>
      </c>
      <c r="E52" s="1" t="s">
        <v>69</v>
      </c>
    </row>
    <row r="53" spans="1:7" ht="15.75" customHeight="1" x14ac:dyDescent="0.25">
      <c r="A53" s="22" t="s">
        <v>74</v>
      </c>
      <c r="B53" s="22"/>
      <c r="C53" s="22"/>
      <c r="D53" s="27">
        <f>SUM(D37:D52)</f>
        <v>5642</v>
      </c>
      <c r="E53" s="15">
        <f>SUMIF(E37:E52,"PAID",D37:D52)</f>
        <v>5642</v>
      </c>
    </row>
    <row r="54" spans="1:7" ht="15.75" customHeight="1" x14ac:dyDescent="0.25">
      <c r="A54" s="22"/>
      <c r="B54" s="22" t="s">
        <v>75</v>
      </c>
      <c r="C54" s="22">
        <f>SUM(C37:C53)</f>
        <v>73900</v>
      </c>
      <c r="D54" s="22"/>
    </row>
    <row r="55" spans="1:7" ht="15.75" customHeight="1" x14ac:dyDescent="0.25">
      <c r="A55" s="22"/>
      <c r="B55" s="22" t="s">
        <v>76</v>
      </c>
      <c r="C55" s="22">
        <f>5644/73900</f>
        <v>7.6373477672530443E-2</v>
      </c>
      <c r="D55" s="22"/>
    </row>
    <row r="56" spans="1:7" ht="15.75" customHeight="1" x14ac:dyDescent="0.25">
      <c r="A56" s="22"/>
      <c r="B56" s="22"/>
      <c r="C56" s="22"/>
      <c r="D56" s="22"/>
    </row>
    <row r="57" spans="1:7" ht="15.75" customHeight="1" x14ac:dyDescent="0.25">
      <c r="A57" s="22" t="s">
        <v>77</v>
      </c>
      <c r="B57" s="30" t="s">
        <v>78</v>
      </c>
      <c r="C57" s="22"/>
      <c r="D57" s="22"/>
    </row>
  </sheetData>
  <mergeCells count="2">
    <mergeCell ref="G27:J27"/>
    <mergeCell ref="A34:D34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70"/>
  <sheetViews>
    <sheetView workbookViewId="0">
      <selection activeCell="H1" sqref="H1"/>
    </sheetView>
  </sheetViews>
  <sheetFormatPr defaultColWidth="14.42578125" defaultRowHeight="15" customHeight="1" x14ac:dyDescent="0.25"/>
  <cols>
    <col min="1" max="1" width="13" customWidth="1"/>
    <col min="2" max="2" width="19.28515625" customWidth="1"/>
    <col min="3" max="3" width="23.28515625" customWidth="1"/>
    <col min="4" max="4" width="10.7109375" customWidth="1"/>
    <col min="5" max="5" width="15.7109375" customWidth="1"/>
    <col min="6" max="6" width="18.28515625" customWidth="1"/>
    <col min="7" max="7" width="16.140625" customWidth="1"/>
    <col min="8" max="8" width="7.5703125" customWidth="1"/>
  </cols>
  <sheetData>
    <row r="1" spans="1:8" ht="15" customHeight="1" x14ac:dyDescent="0.25">
      <c r="A1" s="1" t="s">
        <v>22</v>
      </c>
      <c r="G1" s="35" t="s">
        <v>79</v>
      </c>
      <c r="H1" s="266">
        <f>July_2020!I2</f>
        <v>11106</v>
      </c>
    </row>
    <row r="3" spans="1:8" ht="15" customHeight="1" x14ac:dyDescent="0.25">
      <c r="A3" s="27" t="s">
        <v>64</v>
      </c>
      <c r="B3" s="27" t="s">
        <v>80</v>
      </c>
      <c r="C3" s="27" t="s">
        <v>65</v>
      </c>
      <c r="D3" s="27" t="s">
        <v>66</v>
      </c>
      <c r="E3" s="37" t="s">
        <v>52</v>
      </c>
      <c r="F3" s="22" t="s">
        <v>81</v>
      </c>
      <c r="G3" s="22" t="s">
        <v>82</v>
      </c>
    </row>
    <row r="4" spans="1:8" ht="15" customHeight="1" x14ac:dyDescent="0.25">
      <c r="A4" s="29" t="s">
        <v>68</v>
      </c>
      <c r="B4" s="30">
        <v>0.7</v>
      </c>
      <c r="C4" s="30">
        <v>0.89</v>
      </c>
      <c r="D4" s="22">
        <f t="shared" ref="D4:D19" si="0">(C4-B4)*1000</f>
        <v>190.00000000000006</v>
      </c>
      <c r="E4" s="38">
        <f>ROUND(D4*D22,0)</f>
        <v>12</v>
      </c>
      <c r="F4" s="22">
        <v>600</v>
      </c>
      <c r="G4" s="22">
        <f t="shared" ref="G4:G20" si="1">SUM(E4:F4)</f>
        <v>612</v>
      </c>
    </row>
    <row r="5" spans="1:8" ht="15" customHeight="1" x14ac:dyDescent="0.25">
      <c r="A5" s="29" t="s">
        <v>70</v>
      </c>
      <c r="B5" s="30">
        <v>0.37</v>
      </c>
      <c r="C5" s="30">
        <v>0.37</v>
      </c>
      <c r="D5" s="22">
        <f t="shared" si="0"/>
        <v>0</v>
      </c>
      <c r="E5" s="38">
        <f>ROUND(D5*D22,0)</f>
        <v>0</v>
      </c>
      <c r="F5" s="22">
        <v>600</v>
      </c>
      <c r="G5" s="22">
        <f t="shared" si="1"/>
        <v>600</v>
      </c>
    </row>
    <row r="6" spans="1:8" ht="15" customHeight="1" x14ac:dyDescent="0.25">
      <c r="A6" s="32" t="s">
        <v>16</v>
      </c>
      <c r="B6" s="33">
        <v>14.68</v>
      </c>
      <c r="C6" s="33">
        <v>25.25</v>
      </c>
      <c r="D6" s="22">
        <f t="shared" si="0"/>
        <v>10570</v>
      </c>
      <c r="E6" s="39">
        <f>ROUND(D6*D22,0)</f>
        <v>650</v>
      </c>
      <c r="F6" s="34">
        <v>600</v>
      </c>
      <c r="G6" s="34">
        <f t="shared" si="1"/>
        <v>1250</v>
      </c>
      <c r="H6" s="1" t="s">
        <v>83</v>
      </c>
    </row>
    <row r="7" spans="1:8" ht="15" customHeight="1" x14ac:dyDescent="0.25">
      <c r="A7" s="32" t="s">
        <v>13</v>
      </c>
      <c r="B7" s="33">
        <v>8.6999999999999993</v>
      </c>
      <c r="C7" s="33">
        <v>16.82</v>
      </c>
      <c r="D7" s="22">
        <f t="shared" si="0"/>
        <v>8120.0000000000009</v>
      </c>
      <c r="E7" s="39">
        <f>ROUND(D7*D22,0)</f>
        <v>499</v>
      </c>
      <c r="F7" s="39">
        <v>600</v>
      </c>
      <c r="G7" s="39">
        <f t="shared" si="1"/>
        <v>1099</v>
      </c>
      <c r="H7" s="1" t="s">
        <v>83</v>
      </c>
    </row>
    <row r="8" spans="1:8" ht="15" customHeight="1" x14ac:dyDescent="0.25">
      <c r="A8" s="29">
        <v>101</v>
      </c>
      <c r="B8" s="30">
        <v>0.38</v>
      </c>
      <c r="C8" s="30">
        <v>0.38</v>
      </c>
      <c r="D8" s="22">
        <f t="shared" si="0"/>
        <v>0</v>
      </c>
      <c r="E8" s="38">
        <f>ROUND(D8*D22,0)</f>
        <v>0</v>
      </c>
      <c r="F8" s="22">
        <v>600</v>
      </c>
      <c r="G8" s="22">
        <f t="shared" si="1"/>
        <v>600</v>
      </c>
    </row>
    <row r="9" spans="1:8" ht="15" customHeight="1" x14ac:dyDescent="0.25">
      <c r="A9" s="32">
        <v>102</v>
      </c>
      <c r="B9" s="33">
        <v>7.85</v>
      </c>
      <c r="C9" s="33">
        <v>16.670000000000002</v>
      </c>
      <c r="D9" s="22">
        <f t="shared" si="0"/>
        <v>8820.0000000000018</v>
      </c>
      <c r="E9" s="39">
        <f>ROUND(D9*D22,0)</f>
        <v>542</v>
      </c>
      <c r="F9" s="34">
        <v>600</v>
      </c>
      <c r="G9" s="34">
        <f t="shared" si="1"/>
        <v>1142</v>
      </c>
      <c r="H9" s="1" t="s">
        <v>83</v>
      </c>
    </row>
    <row r="10" spans="1:8" ht="15" customHeight="1" x14ac:dyDescent="0.25">
      <c r="A10" s="29">
        <v>103</v>
      </c>
      <c r="B10" s="30">
        <v>0.4</v>
      </c>
      <c r="C10" s="30">
        <v>0.4</v>
      </c>
      <c r="D10" s="22">
        <f t="shared" si="0"/>
        <v>0</v>
      </c>
      <c r="E10" s="38">
        <f>ROUND(D10*D22,0)</f>
        <v>0</v>
      </c>
      <c r="F10" s="22">
        <v>600</v>
      </c>
      <c r="G10" s="22">
        <f t="shared" si="1"/>
        <v>600</v>
      </c>
    </row>
    <row r="11" spans="1:8" ht="15" customHeight="1" x14ac:dyDescent="0.25">
      <c r="A11" s="32">
        <v>104</v>
      </c>
      <c r="B11" s="33">
        <v>4.3899999999999997</v>
      </c>
      <c r="C11" s="33">
        <v>4.7699999999999996</v>
      </c>
      <c r="D11" s="22">
        <f t="shared" si="0"/>
        <v>379.99999999999989</v>
      </c>
      <c r="E11" s="39">
        <f>ROUND(D11*D22,0)</f>
        <v>23</v>
      </c>
      <c r="F11" s="34">
        <v>600</v>
      </c>
      <c r="G11" s="34">
        <f t="shared" si="1"/>
        <v>623</v>
      </c>
      <c r="H11" s="1" t="s">
        <v>83</v>
      </c>
    </row>
    <row r="12" spans="1:8" ht="15" customHeight="1" x14ac:dyDescent="0.25">
      <c r="A12" s="29">
        <v>201</v>
      </c>
      <c r="B12" s="30">
        <v>1.44</v>
      </c>
      <c r="C12" s="30">
        <v>1.46</v>
      </c>
      <c r="D12" s="22">
        <f t="shared" si="0"/>
        <v>20.000000000000018</v>
      </c>
      <c r="E12" s="38">
        <f>ROUND(D12*D22,0)</f>
        <v>1</v>
      </c>
      <c r="F12" s="22">
        <v>600</v>
      </c>
      <c r="G12" s="22">
        <f t="shared" si="1"/>
        <v>601</v>
      </c>
    </row>
    <row r="13" spans="1:8" ht="15" customHeight="1" x14ac:dyDescent="0.25">
      <c r="A13" s="32">
        <v>202</v>
      </c>
      <c r="B13" s="33">
        <v>10.19</v>
      </c>
      <c r="C13" s="33">
        <v>17.7</v>
      </c>
      <c r="D13" s="22">
        <f t="shared" si="0"/>
        <v>7510</v>
      </c>
      <c r="E13" s="39">
        <f>ROUND(D13*D22,0)</f>
        <v>462</v>
      </c>
      <c r="F13" s="34">
        <v>600</v>
      </c>
      <c r="G13" s="34">
        <f t="shared" si="1"/>
        <v>1062</v>
      </c>
      <c r="H13" s="1" t="s">
        <v>83</v>
      </c>
    </row>
    <row r="14" spans="1:8" ht="15" customHeight="1" x14ac:dyDescent="0.25">
      <c r="A14" s="29">
        <v>203</v>
      </c>
      <c r="B14" s="30">
        <v>0.42</v>
      </c>
      <c r="C14" s="30">
        <v>0.42</v>
      </c>
      <c r="D14" s="22">
        <f t="shared" si="0"/>
        <v>0</v>
      </c>
      <c r="E14" s="38">
        <f>ROUND(D14*D22,0)</f>
        <v>0</v>
      </c>
      <c r="F14" s="22">
        <v>600</v>
      </c>
      <c r="G14" s="22">
        <f t="shared" si="1"/>
        <v>600</v>
      </c>
    </row>
    <row r="15" spans="1:8" ht="15" customHeight="1" x14ac:dyDescent="0.25">
      <c r="A15" s="29">
        <v>204</v>
      </c>
      <c r="B15" s="30">
        <v>0.42</v>
      </c>
      <c r="C15" s="30">
        <v>0.42</v>
      </c>
      <c r="D15" s="22">
        <f t="shared" si="0"/>
        <v>0</v>
      </c>
      <c r="E15" s="38">
        <f>ROUND(D15*D22,0)</f>
        <v>0</v>
      </c>
      <c r="F15" s="22">
        <v>600</v>
      </c>
      <c r="G15" s="22">
        <f t="shared" si="1"/>
        <v>600</v>
      </c>
    </row>
    <row r="16" spans="1:8" ht="15" customHeight="1" x14ac:dyDescent="0.25">
      <c r="A16" s="29">
        <v>301</v>
      </c>
      <c r="B16" s="30">
        <v>0.37</v>
      </c>
      <c r="C16" s="30">
        <v>0.37</v>
      </c>
      <c r="D16" s="22">
        <f t="shared" si="0"/>
        <v>0</v>
      </c>
      <c r="E16" s="38">
        <f>ROUND(D16*D22,0)</f>
        <v>0</v>
      </c>
      <c r="F16" s="22">
        <v>600</v>
      </c>
      <c r="G16" s="22">
        <f t="shared" si="1"/>
        <v>600</v>
      </c>
    </row>
    <row r="17" spans="1:8" ht="15" customHeight="1" x14ac:dyDescent="0.25">
      <c r="A17" s="29">
        <v>302</v>
      </c>
      <c r="B17" s="30">
        <v>0.38</v>
      </c>
      <c r="C17" s="30">
        <v>0.38</v>
      </c>
      <c r="D17" s="22">
        <f t="shared" si="0"/>
        <v>0</v>
      </c>
      <c r="E17" s="38">
        <f>ROUND(D17*D22,0)</f>
        <v>0</v>
      </c>
      <c r="F17" s="22">
        <v>600</v>
      </c>
      <c r="G17" s="22">
        <f t="shared" si="1"/>
        <v>600</v>
      </c>
    </row>
    <row r="18" spans="1:8" ht="15" customHeight="1" x14ac:dyDescent="0.25">
      <c r="A18" s="32">
        <v>303</v>
      </c>
      <c r="B18" s="33">
        <v>22.67</v>
      </c>
      <c r="C18" s="33">
        <v>39.83</v>
      </c>
      <c r="D18" s="22">
        <f t="shared" si="0"/>
        <v>17159.999999999996</v>
      </c>
      <c r="E18" s="39">
        <f>ROUND(D18*D22,0)</f>
        <v>1055</v>
      </c>
      <c r="F18" s="34">
        <v>600</v>
      </c>
      <c r="G18" s="34">
        <f t="shared" si="1"/>
        <v>1655</v>
      </c>
      <c r="H18" s="1" t="s">
        <v>83</v>
      </c>
    </row>
    <row r="19" spans="1:8" ht="15" customHeight="1" x14ac:dyDescent="0.25">
      <c r="A19" s="29">
        <v>304</v>
      </c>
      <c r="B19" s="30">
        <v>0.54</v>
      </c>
      <c r="C19" s="30">
        <v>0.55000000000000004</v>
      </c>
      <c r="D19" s="22">
        <f t="shared" si="0"/>
        <v>10.000000000000009</v>
      </c>
      <c r="E19" s="38">
        <f>ROUND(D19*D22,0)</f>
        <v>1</v>
      </c>
      <c r="F19" s="22">
        <v>600</v>
      </c>
      <c r="G19" s="22">
        <f t="shared" si="1"/>
        <v>601</v>
      </c>
    </row>
    <row r="20" spans="1:8" ht="15" customHeight="1" x14ac:dyDescent="0.25">
      <c r="A20" s="22"/>
      <c r="B20" s="22"/>
      <c r="C20" s="22"/>
      <c r="D20" s="22"/>
      <c r="E20" s="40">
        <f t="shared" ref="E20:F20" si="2">SUM(E4:E19)</f>
        <v>3245</v>
      </c>
      <c r="F20" s="27">
        <f t="shared" si="2"/>
        <v>9600</v>
      </c>
      <c r="G20" s="27">
        <f t="shared" si="1"/>
        <v>12845</v>
      </c>
    </row>
    <row r="21" spans="1:8" ht="15" customHeight="1" x14ac:dyDescent="0.25">
      <c r="A21" s="22"/>
      <c r="B21" s="22" t="s">
        <v>75</v>
      </c>
      <c r="C21" s="22"/>
      <c r="D21" s="22">
        <f>SUM(D4:D20)</f>
        <v>52780</v>
      </c>
      <c r="E21" s="41"/>
      <c r="F21" s="22"/>
      <c r="G21" s="22"/>
    </row>
    <row r="22" spans="1:8" ht="15.75" customHeight="1" x14ac:dyDescent="0.25">
      <c r="A22" s="22"/>
      <c r="B22" s="22" t="s">
        <v>84</v>
      </c>
      <c r="C22" s="22"/>
      <c r="D22" s="22">
        <f>B25/D21</f>
        <v>6.1462675255778705E-2</v>
      </c>
      <c r="E22" s="41"/>
      <c r="F22" s="22"/>
      <c r="G22" s="22"/>
    </row>
    <row r="23" spans="1:8" ht="15.75" customHeight="1" x14ac:dyDescent="0.25">
      <c r="A23" s="22"/>
      <c r="B23" s="22"/>
      <c r="C23" s="22"/>
      <c r="D23" s="22"/>
      <c r="E23" s="41"/>
      <c r="F23" s="22"/>
      <c r="G23" s="22"/>
    </row>
    <row r="24" spans="1:8" ht="15.75" customHeight="1" x14ac:dyDescent="0.25">
      <c r="A24" s="22"/>
      <c r="B24" s="22"/>
      <c r="C24" s="22"/>
      <c r="D24" s="22"/>
      <c r="E24" s="41"/>
      <c r="F24" s="22"/>
      <c r="G24" s="22"/>
    </row>
    <row r="25" spans="1:8" ht="15.75" customHeight="1" x14ac:dyDescent="0.25">
      <c r="A25" s="22" t="s">
        <v>85</v>
      </c>
      <c r="B25" s="30">
        <v>3244</v>
      </c>
      <c r="C25" s="30"/>
      <c r="D25" s="22"/>
      <c r="E25" s="41"/>
      <c r="F25" s="22"/>
      <c r="G25" s="22"/>
    </row>
    <row r="26" spans="1:8" ht="15.75" customHeight="1" x14ac:dyDescent="0.25">
      <c r="A26" s="22"/>
      <c r="B26" s="30"/>
      <c r="C26" s="30"/>
      <c r="D26" s="22"/>
      <c r="E26" s="41"/>
      <c r="F26" s="22"/>
      <c r="G26" s="22"/>
    </row>
    <row r="27" spans="1:8" ht="15.75" customHeight="1" x14ac:dyDescent="0.25"/>
    <row r="28" spans="1:8" ht="15.75" customHeight="1" x14ac:dyDescent="0.25"/>
    <row r="29" spans="1:8" ht="15.75" customHeight="1" x14ac:dyDescent="0.25">
      <c r="A29" s="1" t="s">
        <v>86</v>
      </c>
    </row>
    <row r="30" spans="1:8" ht="15.75" customHeight="1" x14ac:dyDescent="0.25"/>
    <row r="31" spans="1:8" ht="15.75" customHeight="1" x14ac:dyDescent="0.25"/>
    <row r="32" spans="1:8" ht="15.75" customHeight="1" x14ac:dyDescent="0.25">
      <c r="A32" s="5" t="s">
        <v>6</v>
      </c>
      <c r="B32" s="5" t="s">
        <v>7</v>
      </c>
      <c r="C32" s="5" t="s">
        <v>4</v>
      </c>
      <c r="D32" s="5" t="s">
        <v>5</v>
      </c>
    </row>
    <row r="33" spans="1:7" ht="15.75" customHeight="1" x14ac:dyDescent="0.25">
      <c r="A33" s="10" t="s">
        <v>87</v>
      </c>
      <c r="B33" s="10"/>
      <c r="C33" s="8">
        <v>44046</v>
      </c>
      <c r="D33" s="10">
        <v>4000</v>
      </c>
    </row>
    <row r="34" spans="1:7" ht="15.75" customHeight="1" x14ac:dyDescent="0.25">
      <c r="A34" s="10" t="s">
        <v>88</v>
      </c>
      <c r="B34" s="10"/>
      <c r="C34" s="8">
        <v>44051</v>
      </c>
      <c r="D34" s="10">
        <v>1550</v>
      </c>
    </row>
    <row r="35" spans="1:7" ht="15.75" customHeight="1" x14ac:dyDescent="0.25">
      <c r="A35" s="10" t="s">
        <v>89</v>
      </c>
      <c r="B35" s="10"/>
      <c r="C35" s="8">
        <v>44051</v>
      </c>
      <c r="D35" s="1">
        <v>900</v>
      </c>
    </row>
    <row r="36" spans="1:7" ht="15.75" customHeight="1" x14ac:dyDescent="0.25">
      <c r="A36" s="10" t="s">
        <v>90</v>
      </c>
      <c r="B36" s="10"/>
      <c r="C36" s="8">
        <v>44054</v>
      </c>
      <c r="D36" s="10">
        <v>250</v>
      </c>
    </row>
    <row r="37" spans="1:7" ht="15.75" customHeight="1" x14ac:dyDescent="0.25">
      <c r="A37" s="10" t="s">
        <v>91</v>
      </c>
      <c r="B37" s="10"/>
      <c r="C37" s="8">
        <v>44059</v>
      </c>
      <c r="D37" s="10">
        <v>2353</v>
      </c>
      <c r="F37" s="1" t="s">
        <v>92</v>
      </c>
      <c r="G37" s="1">
        <f>H1+D70-D49</f>
        <v>12349</v>
      </c>
    </row>
    <row r="38" spans="1:7" ht="15.75" customHeight="1" x14ac:dyDescent="0.25">
      <c r="A38" s="10" t="s">
        <v>93</v>
      </c>
      <c r="B38" s="10"/>
      <c r="C38" s="8">
        <v>44066</v>
      </c>
      <c r="D38" s="10">
        <v>400</v>
      </c>
    </row>
    <row r="39" spans="1:7" ht="15.75" customHeight="1" x14ac:dyDescent="0.25">
      <c r="A39" s="10" t="s">
        <v>94</v>
      </c>
      <c r="B39" s="10"/>
      <c r="C39" s="8">
        <v>44069</v>
      </c>
      <c r="D39" s="10">
        <v>100</v>
      </c>
    </row>
    <row r="40" spans="1:7" ht="15.75" customHeight="1" x14ac:dyDescent="0.25">
      <c r="A40" s="10" t="s">
        <v>95</v>
      </c>
      <c r="B40" s="10"/>
      <c r="C40" s="8">
        <v>44074</v>
      </c>
      <c r="D40" s="10">
        <v>2044</v>
      </c>
    </row>
    <row r="49" spans="1:4" ht="15.75" customHeight="1" x14ac:dyDescent="0.25">
      <c r="A49" s="10" t="s">
        <v>20</v>
      </c>
      <c r="B49" s="10"/>
      <c r="C49" s="10"/>
      <c r="D49" s="10">
        <f>SUM(D33:D47)</f>
        <v>11597</v>
      </c>
    </row>
    <row r="50" spans="1:4" ht="15.75" customHeight="1" x14ac:dyDescent="0.25"/>
    <row r="51" spans="1:4" ht="15.75" customHeight="1" x14ac:dyDescent="0.25"/>
    <row r="52" spans="1:4" ht="15.75" customHeight="1" x14ac:dyDescent="0.25">
      <c r="A52" s="1" t="s">
        <v>22</v>
      </c>
    </row>
    <row r="53" spans="1:4" ht="15.75" customHeight="1" x14ac:dyDescent="0.25"/>
    <row r="54" spans="1:4" ht="15.75" customHeight="1" x14ac:dyDescent="0.25">
      <c r="A54" s="2" t="s">
        <v>2</v>
      </c>
      <c r="B54" s="3" t="s">
        <v>3</v>
      </c>
      <c r="C54" s="3" t="s">
        <v>4</v>
      </c>
      <c r="D54" s="3" t="s">
        <v>96</v>
      </c>
    </row>
    <row r="55" spans="1:4" ht="15.75" customHeight="1" x14ac:dyDescent="0.25">
      <c r="A55" s="6" t="s">
        <v>30</v>
      </c>
      <c r="B55" s="7">
        <v>303</v>
      </c>
      <c r="C55" s="8">
        <v>44020</v>
      </c>
      <c r="D55" s="1">
        <v>1655</v>
      </c>
    </row>
    <row r="56" spans="1:4" ht="15.75" customHeight="1" x14ac:dyDescent="0.25">
      <c r="A56" s="6" t="s">
        <v>10</v>
      </c>
      <c r="B56" s="7">
        <v>202</v>
      </c>
      <c r="C56" s="8">
        <v>44020</v>
      </c>
      <c r="D56" s="1">
        <v>1062</v>
      </c>
    </row>
    <row r="57" spans="1:4" ht="15.75" customHeight="1" x14ac:dyDescent="0.25">
      <c r="A57" s="6" t="s">
        <v>31</v>
      </c>
      <c r="B57" s="7" t="s">
        <v>13</v>
      </c>
      <c r="C57" s="8">
        <v>44029</v>
      </c>
      <c r="D57" s="1">
        <v>1100</v>
      </c>
    </row>
    <row r="58" spans="1:4" ht="15.75" customHeight="1" x14ac:dyDescent="0.25">
      <c r="A58" s="6" t="s">
        <v>32</v>
      </c>
      <c r="B58" s="7" t="s">
        <v>16</v>
      </c>
      <c r="C58" s="8">
        <v>44018</v>
      </c>
      <c r="D58" s="1">
        <v>1250</v>
      </c>
    </row>
    <row r="59" spans="1:4" ht="15.75" customHeight="1" x14ac:dyDescent="0.25">
      <c r="A59" s="6" t="s">
        <v>47</v>
      </c>
      <c r="B59" s="7">
        <v>102</v>
      </c>
      <c r="C59" s="8">
        <v>44034</v>
      </c>
      <c r="D59" s="1">
        <v>1150</v>
      </c>
    </row>
    <row r="60" spans="1:4" ht="15.75" customHeight="1" x14ac:dyDescent="0.25">
      <c r="A60" s="6" t="s">
        <v>49</v>
      </c>
      <c r="B60" s="7" t="s">
        <v>50</v>
      </c>
      <c r="C60" s="8">
        <v>44018</v>
      </c>
      <c r="D60" s="1">
        <v>4800</v>
      </c>
    </row>
    <row r="61" spans="1:4" ht="15.75" customHeight="1" x14ac:dyDescent="0.25">
      <c r="A61" s="6" t="s">
        <v>34</v>
      </c>
      <c r="B61" s="7">
        <v>104</v>
      </c>
      <c r="C61" s="8">
        <v>44022</v>
      </c>
      <c r="D61" s="1">
        <v>623</v>
      </c>
    </row>
    <row r="62" spans="1:4" ht="15.75" customHeight="1" x14ac:dyDescent="0.25">
      <c r="A62" s="6" t="s">
        <v>97</v>
      </c>
      <c r="B62" s="7"/>
      <c r="C62" s="10"/>
      <c r="D62" s="1">
        <v>1200</v>
      </c>
    </row>
    <row r="70" spans="1:4" ht="15.75" customHeight="1" x14ac:dyDescent="0.25">
      <c r="A70" s="11" t="s">
        <v>20</v>
      </c>
      <c r="B70" s="12"/>
      <c r="C70" s="12"/>
      <c r="D70" s="1">
        <f>SUBTOTAL(109,D55:D69)</f>
        <v>12840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810"/>
  <sheetViews>
    <sheetView workbookViewId="0">
      <selection activeCell="A12" sqref="A12:C12"/>
    </sheetView>
  </sheetViews>
  <sheetFormatPr defaultColWidth="14.42578125" defaultRowHeight="15" customHeight="1" x14ac:dyDescent="0.25"/>
  <cols>
    <col min="1" max="1" width="12.85546875" customWidth="1"/>
    <col min="2" max="2" width="19.85546875" customWidth="1"/>
    <col min="3" max="3" width="25.7109375" customWidth="1"/>
    <col min="4" max="4" width="10.42578125" customWidth="1"/>
    <col min="5" max="5" width="8.7109375" customWidth="1"/>
    <col min="6" max="6" width="18.28515625" customWidth="1"/>
    <col min="7" max="7" width="16" customWidth="1"/>
    <col min="8" max="8" width="23.28515625" customWidth="1"/>
    <col min="9" max="9" width="7.5703125" customWidth="1"/>
  </cols>
  <sheetData>
    <row r="1" spans="1:8" ht="15" customHeight="1" x14ac:dyDescent="0.25">
      <c r="A1" s="1" t="s">
        <v>22</v>
      </c>
      <c r="G1" s="35" t="s">
        <v>79</v>
      </c>
      <c r="H1" s="1">
        <f>August_2020!G37</f>
        <v>12349</v>
      </c>
    </row>
    <row r="3" spans="1:8" ht="15" customHeight="1" x14ac:dyDescent="0.25">
      <c r="A3" s="27" t="s">
        <v>64</v>
      </c>
      <c r="B3" s="27" t="s">
        <v>80</v>
      </c>
      <c r="C3" s="27" t="s">
        <v>65</v>
      </c>
      <c r="D3" s="27" t="s">
        <v>66</v>
      </c>
      <c r="E3" s="37" t="s">
        <v>52</v>
      </c>
      <c r="F3" s="22" t="s">
        <v>81</v>
      </c>
      <c r="G3" s="22" t="s">
        <v>82</v>
      </c>
    </row>
    <row r="4" spans="1:8" ht="15" customHeight="1" x14ac:dyDescent="0.25">
      <c r="A4" s="29" t="s">
        <v>68</v>
      </c>
      <c r="B4" s="30">
        <v>0.89</v>
      </c>
      <c r="C4" s="30">
        <v>0.89</v>
      </c>
      <c r="D4" s="22">
        <f t="shared" ref="D4:D19" si="0">(C4-B4)*1000</f>
        <v>0</v>
      </c>
      <c r="E4" s="38">
        <f>ROUND(D4*D22,0)</f>
        <v>0</v>
      </c>
      <c r="F4" s="22">
        <v>600</v>
      </c>
      <c r="G4" s="22">
        <f t="shared" ref="G4:G20" si="1">SUM(E4:F4)</f>
        <v>600</v>
      </c>
    </row>
    <row r="5" spans="1:8" ht="15" customHeight="1" x14ac:dyDescent="0.25">
      <c r="A5" s="29" t="s">
        <v>70</v>
      </c>
      <c r="B5" s="30">
        <v>0.37</v>
      </c>
      <c r="C5" s="30">
        <v>0.37</v>
      </c>
      <c r="D5" s="22">
        <f t="shared" si="0"/>
        <v>0</v>
      </c>
      <c r="E5" s="38">
        <f>ROUND(D5*D22,0)</f>
        <v>0</v>
      </c>
      <c r="F5" s="22">
        <v>600</v>
      </c>
      <c r="G5" s="22">
        <f t="shared" si="1"/>
        <v>600</v>
      </c>
    </row>
    <row r="6" spans="1:8" ht="15" customHeight="1" x14ac:dyDescent="0.25">
      <c r="A6" s="32" t="s">
        <v>16</v>
      </c>
      <c r="B6" s="33">
        <v>25.25</v>
      </c>
      <c r="C6" s="33">
        <v>35.79</v>
      </c>
      <c r="D6" s="22">
        <f t="shared" si="0"/>
        <v>10540</v>
      </c>
      <c r="E6" s="39">
        <f>ROUND(D6*D22,0)</f>
        <v>451</v>
      </c>
      <c r="F6" s="34">
        <v>600</v>
      </c>
      <c r="G6" s="34">
        <f t="shared" si="1"/>
        <v>1051</v>
      </c>
      <c r="H6" s="1" t="s">
        <v>98</v>
      </c>
    </row>
    <row r="7" spans="1:8" ht="15" customHeight="1" x14ac:dyDescent="0.25">
      <c r="A7" s="32" t="s">
        <v>13</v>
      </c>
      <c r="B7" s="33">
        <v>16.82</v>
      </c>
      <c r="C7" s="33">
        <v>25</v>
      </c>
      <c r="D7" s="22">
        <f t="shared" si="0"/>
        <v>8180</v>
      </c>
      <c r="E7" s="39">
        <f>ROUND(D7*D22,0)</f>
        <v>350</v>
      </c>
      <c r="F7" s="39">
        <v>600</v>
      </c>
      <c r="G7" s="39">
        <f t="shared" si="1"/>
        <v>950</v>
      </c>
      <c r="H7" s="1" t="s">
        <v>98</v>
      </c>
    </row>
    <row r="8" spans="1:8" ht="15" customHeight="1" x14ac:dyDescent="0.25">
      <c r="A8" s="29">
        <v>101</v>
      </c>
      <c r="B8" s="30">
        <v>0.38</v>
      </c>
      <c r="C8" s="30">
        <v>0.38</v>
      </c>
      <c r="D8" s="22">
        <f t="shared" si="0"/>
        <v>0</v>
      </c>
      <c r="E8" s="38">
        <f>ROUND(D8*D22,0)</f>
        <v>0</v>
      </c>
      <c r="F8" s="22">
        <v>600</v>
      </c>
      <c r="G8" s="22">
        <f t="shared" si="1"/>
        <v>600</v>
      </c>
    </row>
    <row r="9" spans="1:8" ht="15" customHeight="1" x14ac:dyDescent="0.25">
      <c r="A9" s="32">
        <v>102</v>
      </c>
      <c r="B9" s="33">
        <v>16.670000000000002</v>
      </c>
      <c r="C9" s="33">
        <v>23.99</v>
      </c>
      <c r="D9" s="22">
        <f t="shared" si="0"/>
        <v>7319.9999999999964</v>
      </c>
      <c r="E9" s="39">
        <f>ROUND(D9*D22,0)</f>
        <v>313</v>
      </c>
      <c r="F9" s="34">
        <v>600</v>
      </c>
      <c r="G9" s="34">
        <f t="shared" si="1"/>
        <v>913</v>
      </c>
      <c r="H9" s="1" t="s">
        <v>98</v>
      </c>
    </row>
    <row r="10" spans="1:8" ht="15" customHeight="1" x14ac:dyDescent="0.25">
      <c r="A10" s="29">
        <v>103</v>
      </c>
      <c r="B10" s="30">
        <v>0.4</v>
      </c>
      <c r="C10" s="30">
        <v>0.4</v>
      </c>
      <c r="D10" s="22">
        <f t="shared" si="0"/>
        <v>0</v>
      </c>
      <c r="E10" s="38">
        <f>ROUND(D10*D22,0)</f>
        <v>0</v>
      </c>
      <c r="F10" s="22">
        <v>600</v>
      </c>
      <c r="G10" s="22">
        <f t="shared" si="1"/>
        <v>600</v>
      </c>
    </row>
    <row r="11" spans="1:8" ht="15" customHeight="1" x14ac:dyDescent="0.25">
      <c r="A11" s="32">
        <v>104</v>
      </c>
      <c r="B11" s="33">
        <v>4.7699999999999996</v>
      </c>
      <c r="C11" s="33">
        <v>4.7699999999999996</v>
      </c>
      <c r="D11" s="22">
        <f t="shared" si="0"/>
        <v>0</v>
      </c>
      <c r="E11" s="39">
        <f>ROUND(D11*D22,0)</f>
        <v>0</v>
      </c>
      <c r="F11" s="34">
        <v>600</v>
      </c>
      <c r="G11" s="34">
        <f t="shared" si="1"/>
        <v>600</v>
      </c>
      <c r="H11" s="1" t="s">
        <v>98</v>
      </c>
    </row>
    <row r="12" spans="1:8" ht="15" customHeight="1" x14ac:dyDescent="0.25">
      <c r="A12" s="267">
        <v>201</v>
      </c>
      <c r="B12" s="268">
        <v>1.46</v>
      </c>
      <c r="C12" s="268">
        <v>1.53</v>
      </c>
      <c r="D12" s="22">
        <f t="shared" si="0"/>
        <v>70.000000000000057</v>
      </c>
      <c r="E12" s="38">
        <f>ROUND(D12*D22,0)</f>
        <v>3</v>
      </c>
      <c r="F12" s="22">
        <v>600</v>
      </c>
      <c r="G12" s="22">
        <f t="shared" si="1"/>
        <v>603</v>
      </c>
    </row>
    <row r="13" spans="1:8" ht="15" customHeight="1" x14ac:dyDescent="0.25">
      <c r="A13" s="32">
        <v>202</v>
      </c>
      <c r="B13" s="33">
        <v>17.7</v>
      </c>
      <c r="C13" s="33">
        <v>22.01</v>
      </c>
      <c r="D13" s="22">
        <f t="shared" si="0"/>
        <v>4310.0000000000018</v>
      </c>
      <c r="E13" s="39">
        <f>ROUND(D13*D22,0)</f>
        <v>184</v>
      </c>
      <c r="F13" s="34">
        <v>600</v>
      </c>
      <c r="G13" s="34">
        <f t="shared" si="1"/>
        <v>784</v>
      </c>
      <c r="H13" s="1" t="s">
        <v>98</v>
      </c>
    </row>
    <row r="14" spans="1:8" ht="15" customHeight="1" x14ac:dyDescent="0.25">
      <c r="A14" s="29">
        <v>203</v>
      </c>
      <c r="B14" s="30">
        <v>0.42</v>
      </c>
      <c r="C14" s="30">
        <v>0.43</v>
      </c>
      <c r="D14" s="22">
        <f t="shared" si="0"/>
        <v>10.000000000000009</v>
      </c>
      <c r="E14" s="38">
        <f>ROUND(D14*D22,0)</f>
        <v>0</v>
      </c>
      <c r="F14" s="22">
        <v>600</v>
      </c>
      <c r="G14" s="22">
        <f t="shared" si="1"/>
        <v>600</v>
      </c>
    </row>
    <row r="15" spans="1:8" ht="15" customHeight="1" x14ac:dyDescent="0.25">
      <c r="A15" s="29">
        <v>204</v>
      </c>
      <c r="B15" s="30">
        <v>0.42</v>
      </c>
      <c r="C15" s="30">
        <v>0.42</v>
      </c>
      <c r="D15" s="22">
        <f t="shared" si="0"/>
        <v>0</v>
      </c>
      <c r="E15" s="38">
        <f>ROUND(D15*D22,0)</f>
        <v>0</v>
      </c>
      <c r="F15" s="22">
        <v>600</v>
      </c>
      <c r="G15" s="22">
        <f t="shared" si="1"/>
        <v>600</v>
      </c>
    </row>
    <row r="16" spans="1:8" ht="15" customHeight="1" x14ac:dyDescent="0.25">
      <c r="A16" s="29">
        <v>301</v>
      </c>
      <c r="B16" s="30">
        <v>0.37</v>
      </c>
      <c r="C16" s="30">
        <v>0.38</v>
      </c>
      <c r="D16" s="22">
        <f t="shared" si="0"/>
        <v>10.000000000000009</v>
      </c>
      <c r="E16" s="38">
        <f>ROUND(D16*D22,0)</f>
        <v>0</v>
      </c>
      <c r="F16" s="22">
        <v>600</v>
      </c>
      <c r="G16" s="22">
        <f t="shared" si="1"/>
        <v>600</v>
      </c>
    </row>
    <row r="17" spans="1:9" ht="15" customHeight="1" x14ac:dyDescent="0.25">
      <c r="A17" s="29">
        <v>302</v>
      </c>
      <c r="B17" s="30">
        <v>0.38</v>
      </c>
      <c r="C17" s="30">
        <v>0.38</v>
      </c>
      <c r="D17" s="22">
        <f t="shared" si="0"/>
        <v>0</v>
      </c>
      <c r="E17" s="38">
        <f>ROUND(D17*D22,0)</f>
        <v>0</v>
      </c>
      <c r="F17" s="22">
        <v>600</v>
      </c>
      <c r="G17" s="22">
        <f t="shared" si="1"/>
        <v>600</v>
      </c>
    </row>
    <row r="18" spans="1:9" ht="15" customHeight="1" x14ac:dyDescent="0.25">
      <c r="A18" s="32">
        <v>303</v>
      </c>
      <c r="B18" s="33">
        <v>39.83</v>
      </c>
      <c r="C18" s="33">
        <v>57.15</v>
      </c>
      <c r="D18" s="22">
        <f t="shared" si="0"/>
        <v>17320</v>
      </c>
      <c r="E18" s="39">
        <f>ROUND(D18*D22,0)</f>
        <v>741</v>
      </c>
      <c r="F18" s="34">
        <v>600</v>
      </c>
      <c r="G18" s="34">
        <f t="shared" si="1"/>
        <v>1341</v>
      </c>
      <c r="H18" s="1" t="s">
        <v>98</v>
      </c>
    </row>
    <row r="19" spans="1:9" ht="15" customHeight="1" x14ac:dyDescent="0.25">
      <c r="A19" s="29">
        <v>304</v>
      </c>
      <c r="B19" s="30">
        <v>0.55000000000000004</v>
      </c>
      <c r="C19" s="30">
        <v>0.59</v>
      </c>
      <c r="D19" s="22">
        <f t="shared" si="0"/>
        <v>39.999999999999922</v>
      </c>
      <c r="E19" s="38">
        <f>ROUND(D19*D22,0)</f>
        <v>2</v>
      </c>
      <c r="F19" s="22">
        <v>600</v>
      </c>
      <c r="G19" s="22">
        <f t="shared" si="1"/>
        <v>602</v>
      </c>
    </row>
    <row r="20" spans="1:9" ht="15" customHeight="1" x14ac:dyDescent="0.25">
      <c r="A20" s="22"/>
      <c r="B20" s="22"/>
      <c r="C20" s="22"/>
      <c r="D20" s="22"/>
      <c r="E20" s="40">
        <f t="shared" ref="E20:F20" si="2">SUM(E4:E19)</f>
        <v>2044</v>
      </c>
      <c r="F20" s="27">
        <f t="shared" si="2"/>
        <v>9600</v>
      </c>
      <c r="G20" s="27">
        <f t="shared" si="1"/>
        <v>11644</v>
      </c>
    </row>
    <row r="21" spans="1:9" ht="15" customHeight="1" x14ac:dyDescent="0.25">
      <c r="A21" s="22"/>
      <c r="B21" s="22" t="s">
        <v>75</v>
      </c>
      <c r="C21" s="22"/>
      <c r="D21" s="22">
        <f>SUM(D4:D20)</f>
        <v>47800</v>
      </c>
      <c r="E21" s="41"/>
      <c r="F21" s="22"/>
      <c r="G21" s="22"/>
    </row>
    <row r="22" spans="1:9" ht="15.75" customHeight="1" x14ac:dyDescent="0.25">
      <c r="A22" s="22"/>
      <c r="B22" s="22" t="s">
        <v>84</v>
      </c>
      <c r="C22" s="22"/>
      <c r="D22" s="22">
        <f>B25/D21</f>
        <v>4.2761506276150628E-2</v>
      </c>
      <c r="E22" s="41"/>
      <c r="F22" s="22"/>
      <c r="G22" s="22"/>
    </row>
    <row r="23" spans="1:9" ht="15.75" customHeight="1" x14ac:dyDescent="0.25">
      <c r="A23" s="22"/>
      <c r="B23" s="22"/>
      <c r="C23" s="22"/>
      <c r="D23" s="22"/>
      <c r="E23" s="41"/>
      <c r="F23" s="22"/>
      <c r="G23" s="22"/>
    </row>
    <row r="24" spans="1:9" ht="15.75" customHeight="1" x14ac:dyDescent="0.25">
      <c r="A24" s="22"/>
      <c r="B24" s="22"/>
      <c r="C24" s="22"/>
      <c r="D24" s="22"/>
      <c r="E24" s="41"/>
      <c r="F24" s="22"/>
      <c r="G24" s="22"/>
    </row>
    <row r="25" spans="1:9" ht="15.75" customHeight="1" x14ac:dyDescent="0.25">
      <c r="A25" s="22" t="s">
        <v>85</v>
      </c>
      <c r="B25" s="30">
        <v>2044</v>
      </c>
      <c r="C25" s="30"/>
      <c r="D25" s="22"/>
      <c r="E25" s="41"/>
      <c r="F25" s="22"/>
      <c r="G25" s="22"/>
    </row>
    <row r="26" spans="1:9" ht="15.75" customHeight="1" x14ac:dyDescent="0.25">
      <c r="A26" s="22"/>
      <c r="B26" s="30"/>
      <c r="C26" s="30"/>
      <c r="D26" s="22"/>
      <c r="E26" s="41"/>
      <c r="F26" s="22"/>
      <c r="G26" s="22"/>
    </row>
    <row r="27" spans="1:9" ht="15.75" customHeight="1" x14ac:dyDescent="0.25"/>
    <row r="28" spans="1:9" ht="15.75" customHeight="1" x14ac:dyDescent="0.25"/>
    <row r="29" spans="1:9" ht="15.75" customHeight="1" x14ac:dyDescent="0.25"/>
    <row r="30" spans="1:9" ht="15.75" customHeight="1" x14ac:dyDescent="0.25">
      <c r="A30" s="2" t="s">
        <v>2</v>
      </c>
      <c r="B30" s="3" t="s">
        <v>3</v>
      </c>
      <c r="C30" s="3" t="s">
        <v>4</v>
      </c>
      <c r="D30" s="3" t="s">
        <v>96</v>
      </c>
      <c r="F30" s="5" t="s">
        <v>6</v>
      </c>
      <c r="G30" s="5" t="s">
        <v>7</v>
      </c>
      <c r="H30" s="5" t="s">
        <v>4</v>
      </c>
      <c r="I30" s="5" t="s">
        <v>5</v>
      </c>
    </row>
    <row r="31" spans="1:9" ht="15.75" customHeight="1" x14ac:dyDescent="0.25">
      <c r="A31" s="6" t="s">
        <v>30</v>
      </c>
      <c r="B31" s="7">
        <v>303</v>
      </c>
      <c r="C31" s="8">
        <v>44080</v>
      </c>
      <c r="D31" s="1">
        <v>1341</v>
      </c>
      <c r="F31" s="10" t="s">
        <v>87</v>
      </c>
      <c r="G31" s="10"/>
      <c r="H31" s="8">
        <v>44079</v>
      </c>
      <c r="I31" s="10">
        <v>6000</v>
      </c>
    </row>
    <row r="32" spans="1:9" ht="15.75" customHeight="1" x14ac:dyDescent="0.25">
      <c r="A32" s="6" t="s">
        <v>10</v>
      </c>
      <c r="B32" s="7">
        <v>202</v>
      </c>
      <c r="C32" s="8">
        <v>44080</v>
      </c>
      <c r="D32" s="1">
        <v>784</v>
      </c>
      <c r="F32" s="10" t="s">
        <v>99</v>
      </c>
      <c r="G32" s="10">
        <v>2</v>
      </c>
      <c r="H32" s="8">
        <v>44080</v>
      </c>
      <c r="I32" s="10">
        <v>50</v>
      </c>
    </row>
    <row r="33" spans="1:9" ht="15.75" customHeight="1" x14ac:dyDescent="0.25">
      <c r="A33" s="6" t="s">
        <v>31</v>
      </c>
      <c r="B33" s="7" t="s">
        <v>13</v>
      </c>
      <c r="C33" s="8">
        <v>44076</v>
      </c>
      <c r="D33" s="1">
        <v>950</v>
      </c>
      <c r="F33" s="10" t="s">
        <v>40</v>
      </c>
      <c r="G33" s="10"/>
      <c r="H33" s="8">
        <v>44081</v>
      </c>
      <c r="I33" s="1">
        <v>300</v>
      </c>
    </row>
    <row r="34" spans="1:9" ht="15.75" customHeight="1" x14ac:dyDescent="0.25">
      <c r="A34" s="6" t="s">
        <v>32</v>
      </c>
      <c r="B34" s="7" t="s">
        <v>16</v>
      </c>
      <c r="C34" s="8">
        <v>44087</v>
      </c>
      <c r="D34" s="1">
        <v>1051</v>
      </c>
      <c r="F34" s="10" t="s">
        <v>100</v>
      </c>
      <c r="G34" s="10">
        <v>1</v>
      </c>
      <c r="H34" s="8">
        <v>44087</v>
      </c>
      <c r="I34" s="10">
        <v>1200</v>
      </c>
    </row>
    <row r="35" spans="1:9" ht="15.75" customHeight="1" x14ac:dyDescent="0.25">
      <c r="A35" s="6" t="s">
        <v>47</v>
      </c>
      <c r="B35" s="7">
        <v>102</v>
      </c>
      <c r="C35" s="8">
        <v>44080</v>
      </c>
      <c r="D35" s="1">
        <v>920</v>
      </c>
      <c r="F35" s="10" t="s">
        <v>101</v>
      </c>
      <c r="G35" s="10">
        <v>6</v>
      </c>
      <c r="H35" s="8">
        <v>44090</v>
      </c>
      <c r="I35" s="10">
        <v>600</v>
      </c>
    </row>
    <row r="36" spans="1:9" ht="15.75" customHeight="1" x14ac:dyDescent="0.25">
      <c r="A36" s="6" t="s">
        <v>49</v>
      </c>
      <c r="B36" s="7" t="s">
        <v>50</v>
      </c>
      <c r="C36" s="8"/>
      <c r="F36" s="10" t="s">
        <v>102</v>
      </c>
      <c r="G36" s="10">
        <v>2</v>
      </c>
      <c r="H36" s="8"/>
      <c r="I36" s="10">
        <v>280</v>
      </c>
    </row>
    <row r="37" spans="1:9" ht="15.75" customHeight="1" x14ac:dyDescent="0.25">
      <c r="A37" s="6" t="s">
        <v>34</v>
      </c>
      <c r="B37" s="7">
        <v>104</v>
      </c>
      <c r="C37" s="8">
        <v>44087</v>
      </c>
      <c r="D37" s="1">
        <v>600</v>
      </c>
      <c r="F37" s="10" t="s">
        <v>103</v>
      </c>
      <c r="G37" s="10"/>
      <c r="H37" s="8">
        <v>44104</v>
      </c>
      <c r="I37" s="10">
        <v>2044</v>
      </c>
    </row>
    <row r="38" spans="1:9" ht="15.75" customHeight="1" x14ac:dyDescent="0.25">
      <c r="A38" s="6" t="s">
        <v>97</v>
      </c>
      <c r="B38" s="7"/>
      <c r="C38" s="8">
        <v>44086</v>
      </c>
      <c r="D38" s="1">
        <v>1200</v>
      </c>
      <c r="F38" s="10" t="s">
        <v>104</v>
      </c>
      <c r="G38" s="10"/>
      <c r="H38" s="8"/>
      <c r="I38" s="10">
        <v>1000</v>
      </c>
    </row>
    <row r="39" spans="1:9" ht="15.75" customHeight="1" x14ac:dyDescent="0.25">
      <c r="A39" s="6"/>
      <c r="B39" s="7"/>
      <c r="C39" s="10"/>
      <c r="F39" s="10"/>
      <c r="G39" s="10"/>
      <c r="H39" s="10"/>
      <c r="I39" s="10" t="s">
        <v>105</v>
      </c>
    </row>
    <row r="40" spans="1:9" ht="15.75" customHeight="1" x14ac:dyDescent="0.25">
      <c r="A40" s="6"/>
      <c r="B40" s="7"/>
      <c r="C40" s="10"/>
      <c r="F40" s="10"/>
      <c r="G40" s="10"/>
      <c r="H40" s="10"/>
      <c r="I40" s="10"/>
    </row>
    <row r="41" spans="1:9" ht="15.75" customHeight="1" x14ac:dyDescent="0.25">
      <c r="A41" s="6"/>
      <c r="B41" s="10"/>
      <c r="C41" s="10"/>
      <c r="F41" s="10"/>
      <c r="G41" s="10"/>
      <c r="H41" s="10"/>
      <c r="I41" s="10"/>
    </row>
    <row r="42" spans="1:9" ht="15.75" customHeight="1" x14ac:dyDescent="0.25">
      <c r="A42" s="6"/>
      <c r="B42" s="10"/>
      <c r="C42" s="10"/>
      <c r="F42" s="10"/>
      <c r="G42" s="10"/>
      <c r="H42" s="10"/>
      <c r="I42" s="10"/>
    </row>
    <row r="43" spans="1:9" ht="15.75" customHeight="1" x14ac:dyDescent="0.25">
      <c r="A43" s="6"/>
      <c r="B43" s="10"/>
      <c r="C43" s="10"/>
      <c r="F43" s="10"/>
      <c r="G43" s="10"/>
      <c r="H43" s="10"/>
      <c r="I43" s="10"/>
    </row>
    <row r="44" spans="1:9" ht="15.75" customHeight="1" x14ac:dyDescent="0.25">
      <c r="A44" s="6"/>
      <c r="B44" s="10"/>
      <c r="C44" s="10"/>
      <c r="F44" s="10"/>
      <c r="G44" s="10"/>
      <c r="H44" s="10"/>
      <c r="I44" s="10"/>
    </row>
    <row r="45" spans="1:9" ht="15.75" customHeight="1" x14ac:dyDescent="0.25">
      <c r="A45" s="6"/>
      <c r="B45" s="10"/>
      <c r="C45" s="10"/>
      <c r="F45" s="10"/>
      <c r="G45" s="10"/>
      <c r="H45" s="10"/>
      <c r="I45" s="10"/>
    </row>
    <row r="46" spans="1:9" ht="15.75" customHeight="1" x14ac:dyDescent="0.25">
      <c r="A46" s="11" t="s">
        <v>20</v>
      </c>
      <c r="B46" s="12"/>
      <c r="C46" s="12"/>
      <c r="D46" s="1">
        <f>SUBTOTAL(109,D31:D45)</f>
        <v>6846</v>
      </c>
      <c r="F46" s="10"/>
      <c r="G46" s="10"/>
      <c r="H46" s="10"/>
      <c r="I46" s="10"/>
    </row>
    <row r="47" spans="1:9" ht="15.75" customHeight="1" x14ac:dyDescent="0.25">
      <c r="F47" s="10" t="s">
        <v>20</v>
      </c>
      <c r="G47" s="10"/>
      <c r="H47" s="10"/>
      <c r="I47" s="10">
        <f>SUM(I31:I45)</f>
        <v>11474</v>
      </c>
    </row>
    <row r="756" spans="1:1" ht="15.75" customHeight="1" x14ac:dyDescent="0.25">
      <c r="A756" s="1" t="s">
        <v>106</v>
      </c>
    </row>
    <row r="810" spans="1:1" ht="15.75" customHeight="1" x14ac:dyDescent="0.25">
      <c r="A810" s="42" t="s">
        <v>107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5"/>
  <sheetViews>
    <sheetView workbookViewId="0">
      <selection activeCell="A12" sqref="A12:C12"/>
    </sheetView>
  </sheetViews>
  <sheetFormatPr defaultColWidth="14.42578125" defaultRowHeight="15" customHeight="1" x14ac:dyDescent="0.25"/>
  <cols>
    <col min="1" max="1" width="13.28515625" customWidth="1"/>
    <col min="2" max="2" width="19.28515625" customWidth="1"/>
    <col min="3" max="3" width="18" customWidth="1"/>
    <col min="4" max="4" width="12.85546875" customWidth="1"/>
    <col min="5" max="5" width="13.28515625" customWidth="1"/>
    <col min="6" max="6" width="18.7109375" customWidth="1"/>
    <col min="7" max="7" width="15.42578125" customWidth="1"/>
    <col min="8" max="8" width="7.5703125" customWidth="1"/>
  </cols>
  <sheetData>
    <row r="1" spans="1:8" ht="15" customHeight="1" x14ac:dyDescent="0.25">
      <c r="A1" s="1" t="s">
        <v>22</v>
      </c>
      <c r="G1" s="43" t="s">
        <v>79</v>
      </c>
      <c r="H1" s="1">
        <v>7721</v>
      </c>
    </row>
    <row r="3" spans="1:8" ht="15" customHeight="1" x14ac:dyDescent="0.25">
      <c r="A3" s="27" t="s">
        <v>64</v>
      </c>
      <c r="B3" s="27" t="s">
        <v>80</v>
      </c>
      <c r="C3" s="27" t="s">
        <v>65</v>
      </c>
      <c r="D3" s="27" t="s">
        <v>66</v>
      </c>
      <c r="E3" s="37" t="s">
        <v>52</v>
      </c>
      <c r="F3" s="22" t="s">
        <v>81</v>
      </c>
      <c r="G3" s="22" t="s">
        <v>82</v>
      </c>
    </row>
    <row r="4" spans="1:8" ht="15" customHeight="1" x14ac:dyDescent="0.25">
      <c r="A4" s="29" t="s">
        <v>68</v>
      </c>
      <c r="B4" s="30">
        <v>0.89</v>
      </c>
      <c r="C4" s="30">
        <v>0.9</v>
      </c>
      <c r="D4" s="44">
        <f t="shared" ref="D4:D19" si="0">(C4-B4)*1000</f>
        <v>10.000000000000009</v>
      </c>
      <c r="E4" s="38">
        <f>ROUND(D4*D22,0)</f>
        <v>1</v>
      </c>
      <c r="F4" s="22">
        <v>600</v>
      </c>
      <c r="G4" s="22">
        <f t="shared" ref="G4:G20" si="1">SUM(E4:F4)</f>
        <v>601</v>
      </c>
    </row>
    <row r="5" spans="1:8" ht="15" customHeight="1" x14ac:dyDescent="0.25">
      <c r="A5" s="29" t="s">
        <v>70</v>
      </c>
      <c r="B5" s="30">
        <v>0.37</v>
      </c>
      <c r="C5" s="30">
        <v>0.37</v>
      </c>
      <c r="D5" s="22">
        <f t="shared" si="0"/>
        <v>0</v>
      </c>
      <c r="E5" s="38">
        <f>ROUND(D5*D22,0)</f>
        <v>0</v>
      </c>
      <c r="F5" s="22">
        <v>600</v>
      </c>
      <c r="G5" s="22">
        <f t="shared" si="1"/>
        <v>600</v>
      </c>
    </row>
    <row r="6" spans="1:8" ht="15" customHeight="1" x14ac:dyDescent="0.25">
      <c r="A6" s="32" t="s">
        <v>16</v>
      </c>
      <c r="B6" s="33">
        <v>35.79</v>
      </c>
      <c r="C6" s="33">
        <v>45.95</v>
      </c>
      <c r="D6" s="22">
        <f t="shared" si="0"/>
        <v>10160.000000000004</v>
      </c>
      <c r="E6" s="39">
        <f>ROUND(D6*D22,0)</f>
        <v>770</v>
      </c>
      <c r="F6" s="34">
        <v>600</v>
      </c>
      <c r="G6" s="34">
        <f t="shared" si="1"/>
        <v>1370</v>
      </c>
    </row>
    <row r="7" spans="1:8" ht="15" customHeight="1" x14ac:dyDescent="0.25">
      <c r="A7" s="32" t="s">
        <v>13</v>
      </c>
      <c r="B7" s="33">
        <v>25</v>
      </c>
      <c r="C7" s="33">
        <v>33.130000000000003</v>
      </c>
      <c r="D7" s="22">
        <f t="shared" si="0"/>
        <v>8130.0000000000027</v>
      </c>
      <c r="E7" s="39">
        <f>ROUND(D7*D22,0)</f>
        <v>616</v>
      </c>
      <c r="F7" s="39">
        <v>600</v>
      </c>
      <c r="G7" s="39">
        <f t="shared" si="1"/>
        <v>1216</v>
      </c>
    </row>
    <row r="8" spans="1:8" ht="15" customHeight="1" x14ac:dyDescent="0.25">
      <c r="A8" s="29">
        <v>101</v>
      </c>
      <c r="B8" s="30">
        <v>0.38</v>
      </c>
      <c r="C8" s="30">
        <v>0.38</v>
      </c>
      <c r="D8" s="22">
        <f t="shared" si="0"/>
        <v>0</v>
      </c>
      <c r="E8" s="38">
        <f>ROUND(D8*D22,0)</f>
        <v>0</v>
      </c>
      <c r="F8" s="22">
        <v>600</v>
      </c>
      <c r="G8" s="22">
        <f t="shared" si="1"/>
        <v>600</v>
      </c>
    </row>
    <row r="9" spans="1:8" ht="15" customHeight="1" x14ac:dyDescent="0.25">
      <c r="A9" s="32">
        <v>102</v>
      </c>
      <c r="B9" s="33">
        <v>23.99</v>
      </c>
      <c r="C9" s="33">
        <v>35.75</v>
      </c>
      <c r="D9" s="22">
        <f t="shared" si="0"/>
        <v>11760.000000000002</v>
      </c>
      <c r="E9" s="39">
        <f>ROUND(D9*D22,0)</f>
        <v>891</v>
      </c>
      <c r="F9" s="34">
        <v>600</v>
      </c>
      <c r="G9" s="34">
        <f t="shared" si="1"/>
        <v>1491</v>
      </c>
    </row>
    <row r="10" spans="1:8" ht="15" customHeight="1" x14ac:dyDescent="0.25">
      <c r="A10" s="29">
        <v>103</v>
      </c>
      <c r="B10" s="30">
        <v>0.4</v>
      </c>
      <c r="C10" s="30">
        <v>0.4</v>
      </c>
      <c r="D10" s="22">
        <f t="shared" si="0"/>
        <v>0</v>
      </c>
      <c r="E10" s="38">
        <f>ROUND(D10*D22,0)</f>
        <v>0</v>
      </c>
      <c r="F10" s="22">
        <v>600</v>
      </c>
      <c r="G10" s="22">
        <f t="shared" si="1"/>
        <v>600</v>
      </c>
    </row>
    <row r="11" spans="1:8" ht="15" customHeight="1" x14ac:dyDescent="0.25">
      <c r="A11" s="32">
        <v>104</v>
      </c>
      <c r="B11" s="33">
        <v>4.7699999999999996</v>
      </c>
      <c r="C11" s="33">
        <v>4.8499999999999996</v>
      </c>
      <c r="D11" s="22">
        <f t="shared" si="0"/>
        <v>80.000000000000071</v>
      </c>
      <c r="E11" s="39">
        <f>ROUND(D11*D22,0)</f>
        <v>6</v>
      </c>
      <c r="F11" s="34">
        <v>600</v>
      </c>
      <c r="G11" s="34">
        <f t="shared" si="1"/>
        <v>606</v>
      </c>
    </row>
    <row r="12" spans="1:8" ht="15" customHeight="1" x14ac:dyDescent="0.25">
      <c r="A12" s="267">
        <v>201</v>
      </c>
      <c r="B12" s="268">
        <v>1.53</v>
      </c>
      <c r="C12" s="268">
        <v>1.53</v>
      </c>
      <c r="D12" s="22">
        <f t="shared" si="0"/>
        <v>0</v>
      </c>
      <c r="E12" s="38">
        <f>ROUND(D12*D22,0)</f>
        <v>0</v>
      </c>
      <c r="F12" s="22">
        <v>600</v>
      </c>
      <c r="G12" s="22">
        <f t="shared" si="1"/>
        <v>600</v>
      </c>
    </row>
    <row r="13" spans="1:8" ht="15" customHeight="1" x14ac:dyDescent="0.25">
      <c r="A13" s="32">
        <v>202</v>
      </c>
      <c r="B13" s="33">
        <v>22.01</v>
      </c>
      <c r="C13" s="33">
        <v>30.43</v>
      </c>
      <c r="D13" s="22">
        <f t="shared" si="0"/>
        <v>8419.9999999999982</v>
      </c>
      <c r="E13" s="39">
        <f>ROUND(D13*D22,0)</f>
        <v>638</v>
      </c>
      <c r="F13" s="34">
        <v>600</v>
      </c>
      <c r="G13" s="34">
        <f t="shared" si="1"/>
        <v>1238</v>
      </c>
    </row>
    <row r="14" spans="1:8" ht="15" customHeight="1" x14ac:dyDescent="0.25">
      <c r="A14" s="29">
        <v>203</v>
      </c>
      <c r="B14" s="30">
        <v>0.43</v>
      </c>
      <c r="C14" s="30">
        <v>0.43</v>
      </c>
      <c r="D14" s="22">
        <f t="shared" si="0"/>
        <v>0</v>
      </c>
      <c r="E14" s="38">
        <f>ROUND(D14*D22,0)</f>
        <v>0</v>
      </c>
      <c r="F14" s="22">
        <v>600</v>
      </c>
      <c r="G14" s="22">
        <f t="shared" si="1"/>
        <v>600</v>
      </c>
    </row>
    <row r="15" spans="1:8" ht="15" customHeight="1" x14ac:dyDescent="0.25">
      <c r="A15" s="29">
        <v>204</v>
      </c>
      <c r="B15" s="30">
        <v>0.42</v>
      </c>
      <c r="C15" s="30">
        <v>0.42</v>
      </c>
      <c r="D15" s="22">
        <f t="shared" si="0"/>
        <v>0</v>
      </c>
      <c r="E15" s="38">
        <f>ROUND(D15*D22,0)</f>
        <v>0</v>
      </c>
      <c r="F15" s="22">
        <v>600</v>
      </c>
      <c r="G15" s="22">
        <f t="shared" si="1"/>
        <v>600</v>
      </c>
    </row>
    <row r="16" spans="1:8" ht="15" customHeight="1" x14ac:dyDescent="0.25">
      <c r="A16" s="29">
        <v>301</v>
      </c>
      <c r="B16" s="30">
        <v>0.38</v>
      </c>
      <c r="C16" s="30">
        <v>0.38</v>
      </c>
      <c r="D16" s="22">
        <f t="shared" si="0"/>
        <v>0</v>
      </c>
      <c r="E16" s="38">
        <f>ROUND(D16*D22,0)</f>
        <v>0</v>
      </c>
      <c r="F16" s="22">
        <v>600</v>
      </c>
      <c r="G16" s="22">
        <f t="shared" si="1"/>
        <v>600</v>
      </c>
    </row>
    <row r="17" spans="1:7" ht="15" customHeight="1" x14ac:dyDescent="0.25">
      <c r="A17" s="29">
        <v>302</v>
      </c>
      <c r="B17" s="30">
        <v>0.38</v>
      </c>
      <c r="C17" s="30">
        <v>0.38</v>
      </c>
      <c r="D17" s="22">
        <f t="shared" si="0"/>
        <v>0</v>
      </c>
      <c r="E17" s="38">
        <f>ROUND(D17*D22,0)</f>
        <v>0</v>
      </c>
      <c r="F17" s="22">
        <v>600</v>
      </c>
      <c r="G17" s="22">
        <f t="shared" si="1"/>
        <v>600</v>
      </c>
    </row>
    <row r="18" spans="1:7" ht="15" customHeight="1" x14ac:dyDescent="0.25">
      <c r="A18" s="32">
        <v>303</v>
      </c>
      <c r="B18" s="33">
        <v>57.15</v>
      </c>
      <c r="C18" s="33">
        <v>74.599999999999994</v>
      </c>
      <c r="D18" s="22">
        <f t="shared" si="0"/>
        <v>17449.999999999996</v>
      </c>
      <c r="E18" s="39">
        <f>ROUND(D18*D22,0)</f>
        <v>1322</v>
      </c>
      <c r="F18" s="34">
        <v>600</v>
      </c>
      <c r="G18" s="34">
        <f t="shared" si="1"/>
        <v>1922</v>
      </c>
    </row>
    <row r="19" spans="1:7" ht="15" customHeight="1" x14ac:dyDescent="0.25">
      <c r="A19" s="29">
        <v>304</v>
      </c>
      <c r="B19" s="30">
        <v>0.59</v>
      </c>
      <c r="C19" s="30">
        <v>0.59</v>
      </c>
      <c r="D19" s="22">
        <f t="shared" si="0"/>
        <v>0</v>
      </c>
      <c r="E19" s="38">
        <f>ROUND(D19*D22,0)</f>
        <v>0</v>
      </c>
      <c r="F19" s="22">
        <v>600</v>
      </c>
      <c r="G19" s="22">
        <f t="shared" si="1"/>
        <v>600</v>
      </c>
    </row>
    <row r="20" spans="1:7" ht="15" customHeight="1" x14ac:dyDescent="0.25">
      <c r="A20" s="22"/>
      <c r="B20" s="22"/>
      <c r="C20" s="22"/>
      <c r="D20" s="22"/>
      <c r="E20" s="40">
        <f t="shared" ref="E20:F20" si="2">SUM(E4:E19)</f>
        <v>4244</v>
      </c>
      <c r="F20" s="27">
        <f t="shared" si="2"/>
        <v>9600</v>
      </c>
      <c r="G20" s="27">
        <f t="shared" si="1"/>
        <v>13844</v>
      </c>
    </row>
    <row r="21" spans="1:7" ht="15" customHeight="1" x14ac:dyDescent="0.25">
      <c r="A21" s="22"/>
      <c r="B21" s="22" t="s">
        <v>75</v>
      </c>
      <c r="C21" s="22"/>
      <c r="D21" s="44">
        <f>SUM(D4:D20)</f>
        <v>56010</v>
      </c>
      <c r="E21" s="41"/>
      <c r="F21" s="22"/>
      <c r="G21" s="22"/>
    </row>
    <row r="22" spans="1:7" ht="15.75" customHeight="1" x14ac:dyDescent="0.25">
      <c r="A22" s="22"/>
      <c r="B22" s="22" t="s">
        <v>84</v>
      </c>
      <c r="C22" s="22"/>
      <c r="D22" s="22">
        <f>B25/D21</f>
        <v>7.5772183538653809E-2</v>
      </c>
      <c r="E22" s="41"/>
      <c r="F22" s="22"/>
      <c r="G22" s="22"/>
    </row>
    <row r="23" spans="1:7" ht="15.75" customHeight="1" x14ac:dyDescent="0.25">
      <c r="A23" s="22"/>
      <c r="B23" s="22"/>
      <c r="C23" s="22"/>
      <c r="D23" s="22"/>
      <c r="E23" s="41"/>
      <c r="F23" s="22"/>
      <c r="G23" s="22"/>
    </row>
    <row r="24" spans="1:7" ht="15.75" customHeight="1" x14ac:dyDescent="0.25">
      <c r="A24" s="22"/>
      <c r="B24" s="22"/>
      <c r="C24" s="22"/>
      <c r="D24" s="22"/>
      <c r="E24" s="41"/>
      <c r="F24" s="22"/>
      <c r="G24" s="22"/>
    </row>
    <row r="25" spans="1:7" ht="15.75" customHeight="1" x14ac:dyDescent="0.25">
      <c r="A25" s="22" t="s">
        <v>85</v>
      </c>
      <c r="B25" s="30">
        <v>4244</v>
      </c>
      <c r="C25" s="30"/>
      <c r="D25" s="22"/>
      <c r="E25" s="41"/>
      <c r="F25" s="22"/>
      <c r="G25" s="22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5"/>
  <sheetViews>
    <sheetView workbookViewId="0">
      <selection activeCell="A12" sqref="A12:C12"/>
    </sheetView>
  </sheetViews>
  <sheetFormatPr defaultColWidth="14.42578125" defaultRowHeight="15" customHeight="1" x14ac:dyDescent="0.25"/>
  <cols>
    <col min="1" max="1" width="13.42578125" customWidth="1"/>
    <col min="2" max="2" width="20.42578125" customWidth="1"/>
    <col min="3" max="3" width="17.85546875" customWidth="1"/>
    <col min="4" max="4" width="9.85546875" customWidth="1"/>
    <col min="5" max="5" width="9.28515625" customWidth="1"/>
    <col min="6" max="6" width="16" customWidth="1"/>
    <col min="7" max="7" width="22.42578125" customWidth="1"/>
  </cols>
  <sheetData>
    <row r="1" spans="1:7" ht="15" customHeight="1" x14ac:dyDescent="0.25">
      <c r="A1" s="1" t="s">
        <v>22</v>
      </c>
      <c r="F1" s="43" t="s">
        <v>79</v>
      </c>
      <c r="G1" s="1" t="s">
        <v>108</v>
      </c>
    </row>
    <row r="3" spans="1:7" ht="15" customHeight="1" x14ac:dyDescent="0.25">
      <c r="A3" s="27" t="s">
        <v>64</v>
      </c>
      <c r="B3" s="27" t="s">
        <v>80</v>
      </c>
      <c r="C3" s="27" t="s">
        <v>65</v>
      </c>
      <c r="D3" s="27" t="s">
        <v>66</v>
      </c>
      <c r="E3" s="37" t="s">
        <v>52</v>
      </c>
      <c r="F3" s="22" t="s">
        <v>81</v>
      </c>
      <c r="G3" s="22" t="s">
        <v>82</v>
      </c>
    </row>
    <row r="4" spans="1:7" ht="15" customHeight="1" x14ac:dyDescent="0.25">
      <c r="A4" s="29" t="s">
        <v>68</v>
      </c>
      <c r="B4" s="30">
        <v>0.9</v>
      </c>
      <c r="C4" s="30">
        <v>0.9</v>
      </c>
      <c r="D4" s="44">
        <f t="shared" ref="D4:D19" si="0">(C4-B4)*1000</f>
        <v>0</v>
      </c>
      <c r="E4" s="38">
        <f>ROUND(D4*D22,0)</f>
        <v>0</v>
      </c>
      <c r="F4" s="22">
        <v>600</v>
      </c>
      <c r="G4" s="22">
        <f t="shared" ref="G4:G20" si="1">SUM(E4:F4)</f>
        <v>600</v>
      </c>
    </row>
    <row r="5" spans="1:7" ht="15" customHeight="1" x14ac:dyDescent="0.25">
      <c r="A5" s="29" t="s">
        <v>70</v>
      </c>
      <c r="B5" s="30">
        <v>0.37</v>
      </c>
      <c r="C5" s="30">
        <v>0.37</v>
      </c>
      <c r="D5" s="22">
        <f t="shared" si="0"/>
        <v>0</v>
      </c>
      <c r="E5" s="38">
        <f>ROUND(D5*D22,0)</f>
        <v>0</v>
      </c>
      <c r="F5" s="22">
        <v>600</v>
      </c>
      <c r="G5" s="22">
        <f t="shared" si="1"/>
        <v>600</v>
      </c>
    </row>
    <row r="6" spans="1:7" ht="15" customHeight="1" x14ac:dyDescent="0.25">
      <c r="A6" s="32" t="s">
        <v>16</v>
      </c>
      <c r="B6" s="33">
        <v>45.95</v>
      </c>
      <c r="C6" s="33">
        <v>55.43</v>
      </c>
      <c r="D6" s="22">
        <f t="shared" si="0"/>
        <v>9479.9999999999964</v>
      </c>
      <c r="E6" s="39">
        <f>ROUND(D6*D22,0)</f>
        <v>747</v>
      </c>
      <c r="F6" s="34">
        <v>600</v>
      </c>
      <c r="G6" s="34">
        <f t="shared" si="1"/>
        <v>1347</v>
      </c>
    </row>
    <row r="7" spans="1:7" ht="15" customHeight="1" x14ac:dyDescent="0.25">
      <c r="A7" s="32" t="s">
        <v>13</v>
      </c>
      <c r="B7" s="33">
        <v>33.130000000000003</v>
      </c>
      <c r="C7" s="33">
        <v>41.08</v>
      </c>
      <c r="D7" s="22">
        <f t="shared" si="0"/>
        <v>7949.9999999999955</v>
      </c>
      <c r="E7" s="39">
        <f>ROUND(D7*D22,0)</f>
        <v>627</v>
      </c>
      <c r="F7" s="39">
        <v>600</v>
      </c>
      <c r="G7" s="39">
        <f t="shared" si="1"/>
        <v>1227</v>
      </c>
    </row>
    <row r="8" spans="1:7" ht="15" customHeight="1" x14ac:dyDescent="0.25">
      <c r="A8" s="29">
        <v>101</v>
      </c>
      <c r="B8" s="30">
        <v>0.38</v>
      </c>
      <c r="C8" s="30">
        <v>0.38</v>
      </c>
      <c r="D8" s="22">
        <f t="shared" si="0"/>
        <v>0</v>
      </c>
      <c r="E8" s="38">
        <f>ROUND(D8*D22,0)</f>
        <v>0</v>
      </c>
      <c r="F8" s="22">
        <v>600</v>
      </c>
      <c r="G8" s="22">
        <f t="shared" si="1"/>
        <v>600</v>
      </c>
    </row>
    <row r="9" spans="1:7" ht="15" customHeight="1" x14ac:dyDescent="0.25">
      <c r="A9" s="32">
        <v>102</v>
      </c>
      <c r="B9" s="33">
        <v>35.75</v>
      </c>
      <c r="C9" s="33">
        <v>46.38</v>
      </c>
      <c r="D9" s="22">
        <f t="shared" si="0"/>
        <v>10630.000000000002</v>
      </c>
      <c r="E9" s="39">
        <f>ROUND(D9*D22,0)</f>
        <v>838</v>
      </c>
      <c r="F9" s="34">
        <v>600</v>
      </c>
      <c r="G9" s="34">
        <f t="shared" si="1"/>
        <v>1438</v>
      </c>
    </row>
    <row r="10" spans="1:7" ht="15" customHeight="1" x14ac:dyDescent="0.25">
      <c r="A10" s="29">
        <v>103</v>
      </c>
      <c r="B10" s="30">
        <v>0.4</v>
      </c>
      <c r="C10" s="30">
        <v>0.54</v>
      </c>
      <c r="D10" s="22">
        <f t="shared" si="0"/>
        <v>140</v>
      </c>
      <c r="E10" s="38">
        <f>ROUND(D10*D22,0)</f>
        <v>11</v>
      </c>
      <c r="F10" s="22">
        <v>600</v>
      </c>
      <c r="G10" s="22">
        <f t="shared" si="1"/>
        <v>611</v>
      </c>
    </row>
    <row r="11" spans="1:7" ht="15" customHeight="1" x14ac:dyDescent="0.25">
      <c r="A11" s="32">
        <v>104</v>
      </c>
      <c r="B11" s="33">
        <v>4.8499999999999996</v>
      </c>
      <c r="C11" s="33">
        <v>5.36</v>
      </c>
      <c r="D11" s="22">
        <f t="shared" si="0"/>
        <v>510.00000000000068</v>
      </c>
      <c r="E11" s="39">
        <f>ROUND(D11*D22,0)</f>
        <v>40</v>
      </c>
      <c r="F11" s="34">
        <v>600</v>
      </c>
      <c r="G11" s="34">
        <f t="shared" si="1"/>
        <v>640</v>
      </c>
    </row>
    <row r="12" spans="1:7" ht="15" customHeight="1" x14ac:dyDescent="0.25">
      <c r="A12" s="267">
        <v>201</v>
      </c>
      <c r="B12" s="268">
        <v>1.53</v>
      </c>
      <c r="C12" s="268">
        <v>1.53</v>
      </c>
      <c r="D12" s="22">
        <f t="shared" si="0"/>
        <v>0</v>
      </c>
      <c r="E12" s="38">
        <f>ROUND(D12*D22,0)</f>
        <v>0</v>
      </c>
      <c r="F12" s="22">
        <v>600</v>
      </c>
      <c r="G12" s="22">
        <f t="shared" si="1"/>
        <v>600</v>
      </c>
    </row>
    <row r="13" spans="1:7" ht="15" customHeight="1" x14ac:dyDescent="0.25">
      <c r="A13" s="32">
        <v>202</v>
      </c>
      <c r="B13" s="33">
        <v>30.43</v>
      </c>
      <c r="C13" s="33">
        <v>37.75</v>
      </c>
      <c r="D13" s="22">
        <f t="shared" si="0"/>
        <v>7320</v>
      </c>
      <c r="E13" s="39">
        <f>ROUND(D13*D22,0)</f>
        <v>577</v>
      </c>
      <c r="F13" s="34">
        <v>600</v>
      </c>
      <c r="G13" s="34">
        <f t="shared" si="1"/>
        <v>1177</v>
      </c>
    </row>
    <row r="14" spans="1:7" ht="15" customHeight="1" x14ac:dyDescent="0.25">
      <c r="A14" s="29">
        <v>203</v>
      </c>
      <c r="B14" s="30">
        <v>0.43</v>
      </c>
      <c r="C14" s="30">
        <v>0.43</v>
      </c>
      <c r="D14" s="22">
        <f t="shared" si="0"/>
        <v>0</v>
      </c>
      <c r="E14" s="38">
        <f>ROUND(D14*D22,0)</f>
        <v>0</v>
      </c>
      <c r="F14" s="22">
        <v>600</v>
      </c>
      <c r="G14" s="22">
        <f t="shared" si="1"/>
        <v>600</v>
      </c>
    </row>
    <row r="15" spans="1:7" ht="15" customHeight="1" x14ac:dyDescent="0.25">
      <c r="A15" s="29">
        <v>204</v>
      </c>
      <c r="B15" s="30">
        <v>0.42</v>
      </c>
      <c r="C15" s="30">
        <v>0.42</v>
      </c>
      <c r="D15" s="22">
        <f t="shared" si="0"/>
        <v>0</v>
      </c>
      <c r="E15" s="38">
        <f>ROUND(D15*D22,0)</f>
        <v>0</v>
      </c>
      <c r="F15" s="22">
        <v>600</v>
      </c>
      <c r="G15" s="22">
        <f t="shared" si="1"/>
        <v>600</v>
      </c>
    </row>
    <row r="16" spans="1:7" ht="15" customHeight="1" x14ac:dyDescent="0.25">
      <c r="A16" s="29">
        <v>301</v>
      </c>
      <c r="B16" s="30">
        <v>0.38</v>
      </c>
      <c r="C16" s="30">
        <v>0.38</v>
      </c>
      <c r="D16" s="22">
        <f t="shared" si="0"/>
        <v>0</v>
      </c>
      <c r="E16" s="38">
        <f>ROUND(D16*D22,0)</f>
        <v>0</v>
      </c>
      <c r="F16" s="22">
        <v>600</v>
      </c>
      <c r="G16" s="22">
        <f t="shared" si="1"/>
        <v>600</v>
      </c>
    </row>
    <row r="17" spans="1:7" ht="15" customHeight="1" x14ac:dyDescent="0.25">
      <c r="A17" s="29">
        <v>302</v>
      </c>
      <c r="B17" s="30">
        <v>0.38</v>
      </c>
      <c r="C17" s="30">
        <v>0.38</v>
      </c>
      <c r="D17" s="22">
        <f t="shared" si="0"/>
        <v>0</v>
      </c>
      <c r="E17" s="38">
        <f>ROUND(D17*D22,0)</f>
        <v>0</v>
      </c>
      <c r="F17" s="22">
        <v>600</v>
      </c>
      <c r="G17" s="22">
        <f t="shared" si="1"/>
        <v>600</v>
      </c>
    </row>
    <row r="18" spans="1:7" ht="15" customHeight="1" x14ac:dyDescent="0.25">
      <c r="A18" s="32">
        <v>303</v>
      </c>
      <c r="B18" s="33">
        <v>74.599999999999994</v>
      </c>
      <c r="C18" s="33">
        <v>92.41</v>
      </c>
      <c r="D18" s="22">
        <f t="shared" si="0"/>
        <v>17810.000000000004</v>
      </c>
      <c r="E18" s="39">
        <f>ROUND(D18*D22,0)</f>
        <v>1404</v>
      </c>
      <c r="F18" s="34">
        <v>600</v>
      </c>
      <c r="G18" s="34">
        <f t="shared" si="1"/>
        <v>2004</v>
      </c>
    </row>
    <row r="19" spans="1:7" ht="15" customHeight="1" x14ac:dyDescent="0.25">
      <c r="A19" s="29">
        <v>304</v>
      </c>
      <c r="B19" s="30">
        <v>0.59</v>
      </c>
      <c r="C19" s="30">
        <v>0.59</v>
      </c>
      <c r="D19" s="22">
        <f t="shared" si="0"/>
        <v>0</v>
      </c>
      <c r="E19" s="38">
        <f>ROUND(D19*D22,0)</f>
        <v>0</v>
      </c>
      <c r="F19" s="22">
        <v>600</v>
      </c>
      <c r="G19" s="22">
        <f t="shared" si="1"/>
        <v>600</v>
      </c>
    </row>
    <row r="20" spans="1:7" ht="15" customHeight="1" x14ac:dyDescent="0.25">
      <c r="A20" s="22"/>
      <c r="B20" s="22"/>
      <c r="C20" s="22"/>
      <c r="D20" s="22"/>
      <c r="E20" s="40">
        <f t="shared" ref="E20:F20" si="2">SUM(E4:E19)</f>
        <v>4244</v>
      </c>
      <c r="F20" s="27">
        <f t="shared" si="2"/>
        <v>9600</v>
      </c>
      <c r="G20" s="27">
        <f t="shared" si="1"/>
        <v>13844</v>
      </c>
    </row>
    <row r="21" spans="1:7" ht="15" customHeight="1" x14ac:dyDescent="0.25">
      <c r="A21" s="22"/>
      <c r="B21" s="22" t="s">
        <v>75</v>
      </c>
      <c r="C21" s="22"/>
      <c r="D21" s="44">
        <f>SUM(D4:D20)</f>
        <v>53840</v>
      </c>
      <c r="E21" s="41"/>
      <c r="F21" s="22"/>
      <c r="G21" s="22"/>
    </row>
    <row r="22" spans="1:7" ht="15.75" customHeight="1" x14ac:dyDescent="0.25">
      <c r="A22" s="22"/>
      <c r="B22" s="22" t="s">
        <v>84</v>
      </c>
      <c r="C22" s="22"/>
      <c r="D22" s="22">
        <f>B25/D21</f>
        <v>7.8826151560178304E-2</v>
      </c>
      <c r="E22" s="41"/>
      <c r="F22" s="22"/>
      <c r="G22" s="22"/>
    </row>
    <row r="23" spans="1:7" ht="15.75" customHeight="1" x14ac:dyDescent="0.25">
      <c r="A23" s="22"/>
      <c r="B23" s="22"/>
      <c r="C23" s="22"/>
      <c r="D23" s="22"/>
      <c r="E23" s="41"/>
      <c r="F23" s="22"/>
      <c r="G23" s="22"/>
    </row>
    <row r="24" spans="1:7" ht="15.75" customHeight="1" x14ac:dyDescent="0.25">
      <c r="A24" s="22"/>
      <c r="B24" s="22"/>
      <c r="C24" s="22"/>
      <c r="D24" s="22"/>
      <c r="E24" s="41"/>
      <c r="F24" s="22"/>
      <c r="G24" s="22"/>
    </row>
    <row r="25" spans="1:7" ht="15.75" customHeight="1" x14ac:dyDescent="0.25">
      <c r="A25" s="22" t="s">
        <v>85</v>
      </c>
      <c r="B25" s="30">
        <v>4244</v>
      </c>
      <c r="C25" s="30"/>
      <c r="D25" s="22"/>
      <c r="E25" s="41"/>
      <c r="F25" s="22"/>
      <c r="G25" s="22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5"/>
  <sheetViews>
    <sheetView workbookViewId="0">
      <selection activeCell="A12" sqref="A12:C12"/>
    </sheetView>
  </sheetViews>
  <sheetFormatPr defaultColWidth="14.42578125" defaultRowHeight="15" customHeight="1" x14ac:dyDescent="0.25"/>
  <cols>
    <col min="1" max="1" width="11" customWidth="1"/>
    <col min="2" max="2" width="21" customWidth="1"/>
    <col min="3" max="3" width="18.7109375" customWidth="1"/>
    <col min="4" max="4" width="12.5703125" customWidth="1"/>
    <col min="5" max="5" width="10.42578125" customWidth="1"/>
    <col min="6" max="6" width="17.7109375" customWidth="1"/>
    <col min="7" max="7" width="9.28515625" customWidth="1"/>
    <col min="8" max="8" width="15.42578125" customWidth="1"/>
  </cols>
  <sheetData>
    <row r="1" spans="1:8" ht="15" customHeight="1" x14ac:dyDescent="0.25">
      <c r="A1" s="1" t="s">
        <v>22</v>
      </c>
      <c r="F1" s="43" t="s">
        <v>79</v>
      </c>
      <c r="G1" s="1" t="s">
        <v>109</v>
      </c>
    </row>
    <row r="3" spans="1:8" ht="15" customHeight="1" x14ac:dyDescent="0.25">
      <c r="A3" s="27" t="s">
        <v>64</v>
      </c>
      <c r="B3" s="27" t="s">
        <v>80</v>
      </c>
      <c r="C3" s="27" t="s">
        <v>65</v>
      </c>
      <c r="D3" s="27" t="s">
        <v>66</v>
      </c>
      <c r="E3" s="37" t="s">
        <v>52</v>
      </c>
      <c r="F3" s="22" t="s">
        <v>81</v>
      </c>
      <c r="G3" s="22" t="s">
        <v>82</v>
      </c>
      <c r="H3" s="1" t="s">
        <v>110</v>
      </c>
    </row>
    <row r="4" spans="1:8" ht="15" customHeight="1" x14ac:dyDescent="0.25">
      <c r="A4" s="29" t="s">
        <v>68</v>
      </c>
      <c r="B4" s="30">
        <v>0.9</v>
      </c>
      <c r="C4" s="30">
        <v>0.9</v>
      </c>
      <c r="D4" s="44">
        <f t="shared" ref="D4:D19" si="0">(C4-B4)*1000</f>
        <v>0</v>
      </c>
      <c r="E4" s="38">
        <f>ROUND(D4*D22,0)</f>
        <v>0</v>
      </c>
      <c r="F4" s="22">
        <v>600</v>
      </c>
      <c r="G4" s="22">
        <f t="shared" ref="G4:G20" si="1">SUM(E4:F4)</f>
        <v>600</v>
      </c>
    </row>
    <row r="5" spans="1:8" ht="15" customHeight="1" x14ac:dyDescent="0.25">
      <c r="A5" s="29" t="s">
        <v>70</v>
      </c>
      <c r="B5" s="30">
        <v>0.37</v>
      </c>
      <c r="C5" s="30">
        <v>0.37</v>
      </c>
      <c r="D5" s="22">
        <f t="shared" si="0"/>
        <v>0</v>
      </c>
      <c r="E5" s="38">
        <f>ROUND(D5*D22,0)</f>
        <v>0</v>
      </c>
      <c r="F5" s="22">
        <v>600</v>
      </c>
      <c r="G5" s="22">
        <f t="shared" si="1"/>
        <v>600</v>
      </c>
    </row>
    <row r="6" spans="1:8" ht="15" customHeight="1" x14ac:dyDescent="0.25">
      <c r="A6" s="32" t="s">
        <v>16</v>
      </c>
      <c r="B6" s="33">
        <v>55.43</v>
      </c>
      <c r="C6" s="33">
        <v>64.31</v>
      </c>
      <c r="D6" s="22">
        <f t="shared" si="0"/>
        <v>8880.0000000000018</v>
      </c>
      <c r="E6" s="39">
        <f>ROUND(D6*D22,0)</f>
        <v>401</v>
      </c>
      <c r="F6" s="34">
        <v>600</v>
      </c>
      <c r="G6" s="34">
        <f t="shared" si="1"/>
        <v>1001</v>
      </c>
      <c r="H6" s="1" t="s">
        <v>111</v>
      </c>
    </row>
    <row r="7" spans="1:8" ht="15" customHeight="1" x14ac:dyDescent="0.25">
      <c r="A7" s="32" t="s">
        <v>13</v>
      </c>
      <c r="B7" s="33">
        <v>41.08</v>
      </c>
      <c r="C7" s="33">
        <v>49.85</v>
      </c>
      <c r="D7" s="22">
        <f t="shared" si="0"/>
        <v>8770.0000000000036</v>
      </c>
      <c r="E7" s="39">
        <f>ROUND(D7*D22,0)</f>
        <v>396</v>
      </c>
      <c r="F7" s="39">
        <v>600</v>
      </c>
      <c r="G7" s="39">
        <f t="shared" si="1"/>
        <v>996</v>
      </c>
      <c r="H7" s="1" t="s">
        <v>112</v>
      </c>
    </row>
    <row r="8" spans="1:8" ht="15" customHeight="1" x14ac:dyDescent="0.25">
      <c r="A8" s="29">
        <v>101</v>
      </c>
      <c r="B8" s="30">
        <v>0.38</v>
      </c>
      <c r="C8" s="30">
        <v>0.38</v>
      </c>
      <c r="D8" s="22">
        <f t="shared" si="0"/>
        <v>0</v>
      </c>
      <c r="E8" s="38">
        <f>ROUND(D8*D22,0)</f>
        <v>0</v>
      </c>
      <c r="F8" s="22">
        <v>600</v>
      </c>
      <c r="G8" s="22">
        <f t="shared" si="1"/>
        <v>600</v>
      </c>
    </row>
    <row r="9" spans="1:8" ht="15" customHeight="1" x14ac:dyDescent="0.25">
      <c r="A9" s="32">
        <v>102</v>
      </c>
      <c r="B9" s="33">
        <v>46.38</v>
      </c>
      <c r="C9" s="33">
        <v>58.16</v>
      </c>
      <c r="D9" s="22">
        <f t="shared" si="0"/>
        <v>11779.999999999995</v>
      </c>
      <c r="E9" s="39">
        <f>ROUND(D9*D22,0)</f>
        <v>531</v>
      </c>
      <c r="F9" s="34">
        <v>600</v>
      </c>
      <c r="G9" s="34">
        <f t="shared" si="1"/>
        <v>1131</v>
      </c>
      <c r="H9" s="1" t="s">
        <v>113</v>
      </c>
    </row>
    <row r="10" spans="1:8" ht="15" customHeight="1" x14ac:dyDescent="0.25">
      <c r="A10" s="29">
        <v>103</v>
      </c>
      <c r="B10" s="30">
        <v>0.54</v>
      </c>
      <c r="C10" s="30">
        <v>0.54</v>
      </c>
      <c r="D10" s="22">
        <f t="shared" si="0"/>
        <v>0</v>
      </c>
      <c r="E10" s="38">
        <f>ROUND(D10*D22,0)</f>
        <v>0</v>
      </c>
      <c r="F10" s="22">
        <v>600</v>
      </c>
      <c r="G10" s="22">
        <f t="shared" si="1"/>
        <v>600</v>
      </c>
    </row>
    <row r="11" spans="1:8" ht="15" customHeight="1" x14ac:dyDescent="0.25">
      <c r="A11" s="32">
        <v>104</v>
      </c>
      <c r="B11" s="33">
        <v>5.36</v>
      </c>
      <c r="C11" s="33">
        <v>8.23</v>
      </c>
      <c r="D11" s="22">
        <f t="shared" si="0"/>
        <v>2870</v>
      </c>
      <c r="E11" s="39">
        <f>ROUND(D11*D22,0)</f>
        <v>129</v>
      </c>
      <c r="F11" s="34">
        <v>600</v>
      </c>
      <c r="G11" s="34">
        <f t="shared" si="1"/>
        <v>729</v>
      </c>
      <c r="H11" s="1" t="s">
        <v>114</v>
      </c>
    </row>
    <row r="12" spans="1:8" ht="15" customHeight="1" x14ac:dyDescent="0.25">
      <c r="A12" s="267">
        <v>201</v>
      </c>
      <c r="B12" s="268">
        <v>1.53</v>
      </c>
      <c r="C12" s="268">
        <v>1.53</v>
      </c>
      <c r="D12" s="22">
        <f t="shared" si="0"/>
        <v>0</v>
      </c>
      <c r="E12" s="38">
        <f>ROUND(D12*D22,0)</f>
        <v>0</v>
      </c>
      <c r="F12" s="22">
        <v>600</v>
      </c>
      <c r="G12" s="22">
        <f t="shared" si="1"/>
        <v>600</v>
      </c>
    </row>
    <row r="13" spans="1:8" ht="15" customHeight="1" x14ac:dyDescent="0.25">
      <c r="A13" s="32">
        <v>202</v>
      </c>
      <c r="B13" s="33">
        <v>37.75</v>
      </c>
      <c r="C13" s="33">
        <v>43.9</v>
      </c>
      <c r="D13" s="22">
        <f t="shared" si="0"/>
        <v>6149.9999999999982</v>
      </c>
      <c r="E13" s="39">
        <f>ROUND(D13*D22,0)</f>
        <v>277</v>
      </c>
      <c r="F13" s="34">
        <v>600</v>
      </c>
      <c r="G13" s="34">
        <f t="shared" si="1"/>
        <v>877</v>
      </c>
      <c r="H13" s="1" t="s">
        <v>115</v>
      </c>
    </row>
    <row r="14" spans="1:8" ht="15" customHeight="1" x14ac:dyDescent="0.25">
      <c r="A14" s="29">
        <v>203</v>
      </c>
      <c r="B14" s="30">
        <v>0.43</v>
      </c>
      <c r="C14" s="30">
        <v>0.43</v>
      </c>
      <c r="D14" s="22">
        <f t="shared" si="0"/>
        <v>0</v>
      </c>
      <c r="E14" s="38">
        <f>ROUND(D14*D22,0)</f>
        <v>0</v>
      </c>
      <c r="F14" s="22">
        <v>600</v>
      </c>
      <c r="G14" s="22">
        <f t="shared" si="1"/>
        <v>600</v>
      </c>
    </row>
    <row r="15" spans="1:8" ht="15" customHeight="1" x14ac:dyDescent="0.25">
      <c r="A15" s="29">
        <v>204</v>
      </c>
      <c r="B15" s="30">
        <v>0.42</v>
      </c>
      <c r="C15" s="30">
        <v>0.42</v>
      </c>
      <c r="D15" s="22">
        <f t="shared" si="0"/>
        <v>0</v>
      </c>
      <c r="E15" s="38">
        <f>ROUND(D15*D22,0)</f>
        <v>0</v>
      </c>
      <c r="F15" s="22">
        <v>600</v>
      </c>
      <c r="G15" s="22">
        <f t="shared" si="1"/>
        <v>600</v>
      </c>
    </row>
    <row r="16" spans="1:8" ht="15" customHeight="1" x14ac:dyDescent="0.25">
      <c r="A16" s="29">
        <v>301</v>
      </c>
      <c r="B16" s="30">
        <v>0.38</v>
      </c>
      <c r="C16" s="30">
        <v>0.38</v>
      </c>
      <c r="D16" s="22">
        <f t="shared" si="0"/>
        <v>0</v>
      </c>
      <c r="E16" s="38">
        <f>ROUND(D16*D22,0)</f>
        <v>0</v>
      </c>
      <c r="F16" s="22">
        <v>600</v>
      </c>
      <c r="G16" s="22">
        <f t="shared" si="1"/>
        <v>600</v>
      </c>
    </row>
    <row r="17" spans="1:8" ht="15" customHeight="1" x14ac:dyDescent="0.25">
      <c r="A17" s="29">
        <v>302</v>
      </c>
      <c r="B17" s="30">
        <v>0.38</v>
      </c>
      <c r="C17" s="30">
        <v>0.38</v>
      </c>
      <c r="D17" s="22">
        <f t="shared" si="0"/>
        <v>0</v>
      </c>
      <c r="E17" s="38">
        <f>ROUND(D17*D22,0)</f>
        <v>0</v>
      </c>
      <c r="F17" s="22">
        <v>600</v>
      </c>
      <c r="G17" s="22">
        <f t="shared" si="1"/>
        <v>600</v>
      </c>
    </row>
    <row r="18" spans="1:8" ht="15" customHeight="1" x14ac:dyDescent="0.25">
      <c r="A18" s="32">
        <v>303</v>
      </c>
      <c r="B18" s="33">
        <v>92.41</v>
      </c>
      <c r="C18" s="33">
        <v>99.27</v>
      </c>
      <c r="D18" s="22">
        <f t="shared" si="0"/>
        <v>6859.9999999999991</v>
      </c>
      <c r="E18" s="39">
        <f>ROUND(D18*D22,0)</f>
        <v>309</v>
      </c>
      <c r="F18" s="34">
        <v>600</v>
      </c>
      <c r="G18" s="34">
        <f t="shared" si="1"/>
        <v>909</v>
      </c>
      <c r="H18" s="1" t="s">
        <v>116</v>
      </c>
    </row>
    <row r="19" spans="1:8" ht="15" customHeight="1" x14ac:dyDescent="0.25">
      <c r="A19" s="29">
        <v>304</v>
      </c>
      <c r="B19" s="30">
        <v>0.59</v>
      </c>
      <c r="C19" s="30">
        <v>0.59</v>
      </c>
      <c r="D19" s="22">
        <f t="shared" si="0"/>
        <v>0</v>
      </c>
      <c r="E19" s="38">
        <f>ROUND(D19*D22,0)</f>
        <v>0</v>
      </c>
      <c r="F19" s="22">
        <v>600</v>
      </c>
      <c r="G19" s="22">
        <f t="shared" si="1"/>
        <v>600</v>
      </c>
    </row>
    <row r="20" spans="1:8" ht="15" customHeight="1" x14ac:dyDescent="0.25">
      <c r="A20" s="22"/>
      <c r="B20" s="22"/>
      <c r="C20" s="22"/>
      <c r="D20" s="22"/>
      <c r="E20" s="40">
        <v>2044</v>
      </c>
      <c r="F20" s="27">
        <f>SUM(F4:F19)</f>
        <v>9600</v>
      </c>
      <c r="G20" s="27">
        <f t="shared" si="1"/>
        <v>11644</v>
      </c>
    </row>
    <row r="21" spans="1:8" ht="15" customHeight="1" x14ac:dyDescent="0.25">
      <c r="A21" s="22"/>
      <c r="B21" s="22" t="s">
        <v>75</v>
      </c>
      <c r="C21" s="22"/>
      <c r="D21" s="44">
        <f>SUM(D4:D20)</f>
        <v>45310</v>
      </c>
      <c r="E21" s="41"/>
      <c r="F21" s="22"/>
      <c r="G21" s="22"/>
    </row>
    <row r="22" spans="1:8" ht="15.75" customHeight="1" x14ac:dyDescent="0.25">
      <c r="A22" s="22"/>
      <c r="B22" s="22" t="s">
        <v>84</v>
      </c>
      <c r="C22" s="22"/>
      <c r="D22" s="22">
        <f>B25/D21</f>
        <v>4.511145442507173E-2</v>
      </c>
      <c r="E22" s="41"/>
      <c r="F22" s="22"/>
      <c r="G22" s="22"/>
    </row>
    <row r="23" spans="1:8" ht="15.75" customHeight="1" x14ac:dyDescent="0.25">
      <c r="A23" s="22"/>
      <c r="B23" s="22"/>
      <c r="C23" s="22"/>
      <c r="D23" s="22"/>
      <c r="E23" s="41"/>
      <c r="F23" s="22"/>
      <c r="G23" s="22"/>
    </row>
    <row r="24" spans="1:8" ht="15.75" customHeight="1" x14ac:dyDescent="0.25">
      <c r="A24" s="22"/>
      <c r="B24" s="22"/>
      <c r="C24" s="22"/>
      <c r="D24" s="22"/>
      <c r="E24" s="41"/>
      <c r="F24" s="22"/>
      <c r="G24" s="22"/>
    </row>
    <row r="25" spans="1:8" ht="15.75" customHeight="1" x14ac:dyDescent="0.25">
      <c r="A25" s="22" t="s">
        <v>85</v>
      </c>
      <c r="B25" s="30">
        <v>2044</v>
      </c>
      <c r="C25" s="30"/>
      <c r="D25" s="22"/>
      <c r="E25" s="41"/>
      <c r="F25" s="22"/>
      <c r="G25" s="22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K24"/>
  <sheetViews>
    <sheetView workbookViewId="0">
      <selection activeCell="A11" sqref="A11:C11"/>
    </sheetView>
  </sheetViews>
  <sheetFormatPr defaultColWidth="14.42578125" defaultRowHeight="15" customHeight="1" x14ac:dyDescent="0.25"/>
  <cols>
    <col min="1" max="1" width="16.28515625" customWidth="1"/>
    <col min="2" max="2" width="20.7109375" customWidth="1"/>
    <col min="3" max="3" width="19" customWidth="1"/>
    <col min="4" max="4" width="10.7109375" customWidth="1"/>
    <col min="5" max="5" width="10.140625" customWidth="1"/>
    <col min="6" max="6" width="16.42578125" customWidth="1"/>
    <col min="7" max="7" width="12.42578125" customWidth="1"/>
    <col min="8" max="8" width="18.140625" customWidth="1"/>
    <col min="9" max="9" width="15.140625" customWidth="1"/>
    <col min="10" max="11" width="7.5703125" customWidth="1"/>
  </cols>
  <sheetData>
    <row r="2" spans="1:9" ht="15" customHeight="1" x14ac:dyDescent="0.25">
      <c r="A2" s="27" t="s">
        <v>64</v>
      </c>
      <c r="B2" s="27" t="s">
        <v>80</v>
      </c>
      <c r="C2" s="27" t="s">
        <v>65</v>
      </c>
      <c r="D2" s="27" t="s">
        <v>66</v>
      </c>
      <c r="E2" s="37" t="s">
        <v>52</v>
      </c>
      <c r="F2" s="22" t="s">
        <v>81</v>
      </c>
      <c r="G2" s="22" t="s">
        <v>82</v>
      </c>
      <c r="H2" s="22" t="s">
        <v>117</v>
      </c>
      <c r="I2" s="22" t="s">
        <v>118</v>
      </c>
    </row>
    <row r="3" spans="1:9" ht="15" customHeight="1" x14ac:dyDescent="0.25">
      <c r="A3" s="29" t="s">
        <v>68</v>
      </c>
      <c r="B3" s="30">
        <v>0.9</v>
      </c>
      <c r="C3" s="30">
        <v>0.9</v>
      </c>
      <c r="D3" s="44">
        <f t="shared" ref="D3:D18" si="0">(C3-B3)*1000</f>
        <v>0</v>
      </c>
      <c r="E3" s="38">
        <f>ROUND(D3*D21,0)</f>
        <v>0</v>
      </c>
      <c r="F3" s="22">
        <v>600</v>
      </c>
      <c r="G3" s="22">
        <f t="shared" ref="G3:G19" si="1">SUM(E3:F3)</f>
        <v>600</v>
      </c>
      <c r="H3" s="22">
        <v>0</v>
      </c>
      <c r="I3" s="22">
        <f>G3-H3</f>
        <v>600</v>
      </c>
    </row>
    <row r="4" spans="1:9" ht="15" customHeight="1" x14ac:dyDescent="0.25">
      <c r="A4" s="29" t="s">
        <v>70</v>
      </c>
      <c r="B4" s="30">
        <v>0.37</v>
      </c>
      <c r="C4" s="30">
        <v>0.37</v>
      </c>
      <c r="D4" s="22">
        <f t="shared" si="0"/>
        <v>0</v>
      </c>
      <c r="E4" s="38">
        <f>ROUND(D4*D21,0)</f>
        <v>0</v>
      </c>
      <c r="F4" s="22">
        <v>600</v>
      </c>
      <c r="G4" s="22">
        <f t="shared" si="1"/>
        <v>600</v>
      </c>
      <c r="H4" s="22">
        <v>0</v>
      </c>
      <c r="I4" s="22">
        <f>I3</f>
        <v>600</v>
      </c>
    </row>
    <row r="5" spans="1:9" ht="15" customHeight="1" x14ac:dyDescent="0.25">
      <c r="A5" s="32" t="s">
        <v>16</v>
      </c>
      <c r="B5" s="33">
        <v>64.31</v>
      </c>
      <c r="C5" s="33">
        <v>69.680000000000007</v>
      </c>
      <c r="D5" s="22">
        <f t="shared" si="0"/>
        <v>5370.0000000000045</v>
      </c>
      <c r="E5" s="39">
        <f>ROUND(D5*D21,0)</f>
        <v>205</v>
      </c>
      <c r="F5" s="34">
        <v>600</v>
      </c>
      <c r="G5" s="34">
        <f t="shared" si="1"/>
        <v>805</v>
      </c>
      <c r="H5" s="34">
        <v>431</v>
      </c>
      <c r="I5" s="34">
        <f t="shared" ref="I5:I18" si="2">G5-H5</f>
        <v>374</v>
      </c>
    </row>
    <row r="6" spans="1:9" ht="15" customHeight="1" x14ac:dyDescent="0.25">
      <c r="A6" s="32" t="s">
        <v>13</v>
      </c>
      <c r="B6" s="33">
        <v>49.85</v>
      </c>
      <c r="C6" s="33">
        <v>50.27</v>
      </c>
      <c r="D6" s="22">
        <f t="shared" si="0"/>
        <v>420.00000000000171</v>
      </c>
      <c r="E6" s="39">
        <f>ROUND(D6*D21,0)</f>
        <v>16</v>
      </c>
      <c r="F6" s="39">
        <v>600</v>
      </c>
      <c r="G6" s="39">
        <f t="shared" si="1"/>
        <v>616</v>
      </c>
      <c r="H6" s="39">
        <v>425</v>
      </c>
      <c r="I6" s="39">
        <f t="shared" si="2"/>
        <v>191</v>
      </c>
    </row>
    <row r="7" spans="1:9" ht="15" customHeight="1" x14ac:dyDescent="0.25">
      <c r="A7" s="29">
        <v>101</v>
      </c>
      <c r="B7" s="30">
        <v>0.38</v>
      </c>
      <c r="C7" s="30">
        <v>0.38</v>
      </c>
      <c r="D7" s="22">
        <f t="shared" si="0"/>
        <v>0</v>
      </c>
      <c r="E7" s="38">
        <f>ROUND(D7*D21,0)</f>
        <v>0</v>
      </c>
      <c r="F7" s="22">
        <v>600</v>
      </c>
      <c r="G7" s="22">
        <f t="shared" si="1"/>
        <v>600</v>
      </c>
      <c r="H7" s="22">
        <v>0</v>
      </c>
      <c r="I7" s="22">
        <f t="shared" si="2"/>
        <v>600</v>
      </c>
    </row>
    <row r="8" spans="1:9" ht="15" customHeight="1" x14ac:dyDescent="0.25">
      <c r="A8" s="32">
        <v>102</v>
      </c>
      <c r="B8" s="33">
        <v>58.16</v>
      </c>
      <c r="C8" s="33">
        <v>71.569999999999993</v>
      </c>
      <c r="D8" s="22">
        <f t="shared" si="0"/>
        <v>13409.999999999996</v>
      </c>
      <c r="E8" s="39">
        <f>ROUND(D8*D21,0)</f>
        <v>513</v>
      </c>
      <c r="F8" s="34">
        <v>600</v>
      </c>
      <c r="G8" s="34">
        <f t="shared" si="1"/>
        <v>1113</v>
      </c>
      <c r="H8" s="34">
        <v>0</v>
      </c>
      <c r="I8" s="34">
        <f t="shared" si="2"/>
        <v>1113</v>
      </c>
    </row>
    <row r="9" spans="1:9" ht="15" customHeight="1" x14ac:dyDescent="0.25">
      <c r="A9" s="29">
        <v>103</v>
      </c>
      <c r="B9" s="30">
        <v>0.54</v>
      </c>
      <c r="C9" s="30">
        <v>0.54</v>
      </c>
      <c r="D9" s="22">
        <f t="shared" si="0"/>
        <v>0</v>
      </c>
      <c r="E9" s="38">
        <f>ROUND(D9*D21,0)</f>
        <v>0</v>
      </c>
      <c r="F9" s="22">
        <v>600</v>
      </c>
      <c r="G9" s="22">
        <f t="shared" si="1"/>
        <v>600</v>
      </c>
      <c r="H9" s="22">
        <v>0</v>
      </c>
      <c r="I9" s="22">
        <f t="shared" si="2"/>
        <v>600</v>
      </c>
    </row>
    <row r="10" spans="1:9" ht="15" customHeight="1" x14ac:dyDescent="0.25">
      <c r="A10" s="32">
        <v>104</v>
      </c>
      <c r="B10" s="33">
        <v>8.23</v>
      </c>
      <c r="C10" s="33">
        <v>11.88</v>
      </c>
      <c r="D10" s="22">
        <f t="shared" si="0"/>
        <v>3650.0000000000005</v>
      </c>
      <c r="E10" s="39">
        <f>ROUND(D10*D21,0)</f>
        <v>140</v>
      </c>
      <c r="F10" s="34">
        <v>600</v>
      </c>
      <c r="G10" s="34">
        <f t="shared" si="1"/>
        <v>740</v>
      </c>
      <c r="H10" s="34">
        <v>0</v>
      </c>
      <c r="I10" s="34">
        <f t="shared" si="2"/>
        <v>740</v>
      </c>
    </row>
    <row r="11" spans="1:9" ht="15" customHeight="1" x14ac:dyDescent="0.25">
      <c r="A11" s="267">
        <v>201</v>
      </c>
      <c r="B11" s="268">
        <v>1.53</v>
      </c>
      <c r="C11" s="268">
        <v>1.53</v>
      </c>
      <c r="D11" s="22">
        <f t="shared" si="0"/>
        <v>0</v>
      </c>
      <c r="E11" s="38">
        <f>ROUND(D11*D21,0)</f>
        <v>0</v>
      </c>
      <c r="F11" s="22">
        <v>600</v>
      </c>
      <c r="G11" s="22">
        <f t="shared" si="1"/>
        <v>600</v>
      </c>
      <c r="H11" s="22">
        <v>0</v>
      </c>
      <c r="I11" s="22">
        <f t="shared" si="2"/>
        <v>600</v>
      </c>
    </row>
    <row r="12" spans="1:9" ht="15" customHeight="1" x14ac:dyDescent="0.25">
      <c r="A12" s="32">
        <v>202</v>
      </c>
      <c r="B12" s="33">
        <v>43.9</v>
      </c>
      <c r="C12" s="33">
        <v>51.81</v>
      </c>
      <c r="D12" s="22">
        <f t="shared" si="0"/>
        <v>7910.0000000000036</v>
      </c>
      <c r="E12" s="39">
        <f>ROUND(D12*D21,0)</f>
        <v>302</v>
      </c>
      <c r="F12" s="34">
        <v>600</v>
      </c>
      <c r="G12" s="34">
        <f t="shared" si="1"/>
        <v>902</v>
      </c>
      <c r="H12" s="34">
        <v>299</v>
      </c>
      <c r="I12" s="34">
        <f t="shared" si="2"/>
        <v>603</v>
      </c>
    </row>
    <row r="13" spans="1:9" ht="15" customHeight="1" x14ac:dyDescent="0.25">
      <c r="A13" s="29">
        <v>203</v>
      </c>
      <c r="B13" s="30">
        <v>0.43</v>
      </c>
      <c r="C13" s="30">
        <v>0.43</v>
      </c>
      <c r="D13" s="22">
        <f t="shared" si="0"/>
        <v>0</v>
      </c>
      <c r="E13" s="38">
        <f>ROUND(D13*D21,0)</f>
        <v>0</v>
      </c>
      <c r="F13" s="22">
        <v>600</v>
      </c>
      <c r="G13" s="22">
        <f t="shared" si="1"/>
        <v>600</v>
      </c>
      <c r="H13" s="22">
        <v>0</v>
      </c>
      <c r="I13" s="22">
        <f t="shared" si="2"/>
        <v>600</v>
      </c>
    </row>
    <row r="14" spans="1:9" ht="15" customHeight="1" x14ac:dyDescent="0.25">
      <c r="A14" s="29">
        <v>204</v>
      </c>
      <c r="B14" s="30">
        <v>0.42</v>
      </c>
      <c r="C14" s="30">
        <v>0.42</v>
      </c>
      <c r="D14" s="22">
        <f t="shared" si="0"/>
        <v>0</v>
      </c>
      <c r="E14" s="38">
        <f>ROUND(D14*D21,0)</f>
        <v>0</v>
      </c>
      <c r="F14" s="22">
        <v>600</v>
      </c>
      <c r="G14" s="22">
        <f t="shared" si="1"/>
        <v>600</v>
      </c>
      <c r="H14" s="22">
        <v>0</v>
      </c>
      <c r="I14" s="22">
        <f t="shared" si="2"/>
        <v>600</v>
      </c>
    </row>
    <row r="15" spans="1:9" ht="15" customHeight="1" x14ac:dyDescent="0.25">
      <c r="A15" s="29">
        <v>301</v>
      </c>
      <c r="B15" s="30">
        <v>0.38</v>
      </c>
      <c r="C15" s="30">
        <v>0.38</v>
      </c>
      <c r="D15" s="22">
        <f t="shared" si="0"/>
        <v>0</v>
      </c>
      <c r="E15" s="38">
        <f>ROUND(D15*D21,0)</f>
        <v>0</v>
      </c>
      <c r="F15" s="22">
        <v>600</v>
      </c>
      <c r="G15" s="22">
        <f t="shared" si="1"/>
        <v>600</v>
      </c>
      <c r="H15" s="22">
        <v>0</v>
      </c>
      <c r="I15" s="22">
        <f t="shared" si="2"/>
        <v>600</v>
      </c>
    </row>
    <row r="16" spans="1:9" ht="15" customHeight="1" x14ac:dyDescent="0.25">
      <c r="A16" s="29">
        <v>302</v>
      </c>
      <c r="B16" s="30">
        <v>0.38</v>
      </c>
      <c r="C16" s="30">
        <v>0.38</v>
      </c>
      <c r="D16" s="22">
        <f t="shared" si="0"/>
        <v>0</v>
      </c>
      <c r="E16" s="38">
        <f>ROUND(D16*D21,0)</f>
        <v>0</v>
      </c>
      <c r="F16" s="22">
        <v>600</v>
      </c>
      <c r="G16" s="22">
        <f t="shared" si="1"/>
        <v>600</v>
      </c>
      <c r="H16" s="22">
        <v>0</v>
      </c>
      <c r="I16" s="22">
        <f t="shared" si="2"/>
        <v>600</v>
      </c>
    </row>
    <row r="17" spans="1:11" ht="15" customHeight="1" x14ac:dyDescent="0.25">
      <c r="A17" s="32">
        <v>303</v>
      </c>
      <c r="B17" s="33">
        <v>99.27</v>
      </c>
      <c r="C17" s="33">
        <v>121.98</v>
      </c>
      <c r="D17" s="22">
        <f t="shared" si="0"/>
        <v>22710.000000000007</v>
      </c>
      <c r="E17" s="39">
        <f>ROUND(D17*D21,0)</f>
        <v>868</v>
      </c>
      <c r="F17" s="34">
        <v>600</v>
      </c>
      <c r="G17" s="34">
        <f t="shared" si="1"/>
        <v>1468</v>
      </c>
      <c r="H17" s="34">
        <v>334</v>
      </c>
      <c r="I17" s="34">
        <f t="shared" si="2"/>
        <v>1134</v>
      </c>
    </row>
    <row r="18" spans="1:11" ht="15" customHeight="1" x14ac:dyDescent="0.25">
      <c r="A18" s="29">
        <v>304</v>
      </c>
      <c r="B18" s="30">
        <v>0.59</v>
      </c>
      <c r="C18" s="30">
        <v>0.59</v>
      </c>
      <c r="D18" s="22">
        <f t="shared" si="0"/>
        <v>0</v>
      </c>
      <c r="E18" s="38">
        <f>ROUND(D18*D21,0)</f>
        <v>0</v>
      </c>
      <c r="F18" s="22">
        <v>600</v>
      </c>
      <c r="G18" s="22">
        <f t="shared" si="1"/>
        <v>600</v>
      </c>
      <c r="H18" s="22">
        <v>0</v>
      </c>
      <c r="I18" s="22">
        <f t="shared" si="2"/>
        <v>600</v>
      </c>
    </row>
    <row r="19" spans="1:11" ht="15" customHeight="1" x14ac:dyDescent="0.25">
      <c r="A19" s="22"/>
      <c r="B19" s="22"/>
      <c r="C19" s="22"/>
      <c r="D19" s="22"/>
      <c r="E19" s="40">
        <v>2044</v>
      </c>
      <c r="F19" s="27">
        <f>SUM(F3:F18)</f>
        <v>9600</v>
      </c>
      <c r="G19" s="27">
        <f t="shared" si="1"/>
        <v>11644</v>
      </c>
      <c r="H19" s="27">
        <f t="shared" ref="H19:I19" si="3">SUM(H3:H18)</f>
        <v>1489</v>
      </c>
      <c r="I19" s="27">
        <f t="shared" si="3"/>
        <v>10155</v>
      </c>
    </row>
    <row r="20" spans="1:11" ht="15" customHeight="1" x14ac:dyDescent="0.25">
      <c r="A20" s="22"/>
      <c r="B20" s="22" t="s">
        <v>75</v>
      </c>
      <c r="C20" s="22"/>
      <c r="D20" s="44">
        <f>SUM(D3:D19)</f>
        <v>53470.000000000015</v>
      </c>
      <c r="E20" s="41"/>
      <c r="F20" s="22"/>
      <c r="G20" s="22"/>
      <c r="H20" s="22"/>
      <c r="I20" s="22"/>
    </row>
    <row r="21" spans="1:11" ht="15" customHeight="1" x14ac:dyDescent="0.25">
      <c r="A21" s="22"/>
      <c r="B21" s="22" t="s">
        <v>84</v>
      </c>
      <c r="C21" s="22"/>
      <c r="D21" s="22">
        <f>B24/D20</f>
        <v>3.8227043201795388E-2</v>
      </c>
      <c r="E21" s="41"/>
      <c r="F21" s="22"/>
      <c r="G21" s="22"/>
      <c r="H21" s="22"/>
      <c r="I21" s="22"/>
    </row>
    <row r="22" spans="1:11" ht="15.75" customHeight="1" x14ac:dyDescent="0.25">
      <c r="A22" s="22"/>
      <c r="B22" s="22"/>
      <c r="C22" s="22"/>
      <c r="D22" s="22"/>
      <c r="E22" s="41"/>
      <c r="F22" s="22"/>
      <c r="G22" s="22"/>
      <c r="H22" s="22"/>
      <c r="I22" s="22"/>
    </row>
    <row r="23" spans="1:11" ht="15.75" customHeight="1" x14ac:dyDescent="0.25">
      <c r="A23" s="22"/>
      <c r="B23" s="22"/>
      <c r="C23" s="22"/>
      <c r="D23" s="22"/>
      <c r="E23" s="41"/>
      <c r="F23" s="22"/>
      <c r="G23" s="22"/>
      <c r="H23" s="22"/>
      <c r="I23" s="22"/>
      <c r="K23" s="1">
        <f>2044*7</f>
        <v>14308</v>
      </c>
    </row>
    <row r="24" spans="1:11" ht="15.75" customHeight="1" x14ac:dyDescent="0.25">
      <c r="A24" s="22" t="s">
        <v>85</v>
      </c>
      <c r="B24" s="30">
        <v>2044</v>
      </c>
      <c r="C24" s="30"/>
      <c r="D24" s="22"/>
      <c r="E24" s="41"/>
      <c r="F24" s="22"/>
      <c r="G24" s="22"/>
      <c r="H24" s="22"/>
      <c r="I24" s="22"/>
    </row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G24"/>
  <sheetViews>
    <sheetView workbookViewId="0">
      <selection activeCell="A11" sqref="A11:C11"/>
    </sheetView>
  </sheetViews>
  <sheetFormatPr defaultColWidth="14.42578125" defaultRowHeight="15" customHeight="1" x14ac:dyDescent="0.25"/>
  <cols>
    <col min="1" max="1" width="15.140625" customWidth="1"/>
    <col min="2" max="2" width="16.85546875" customWidth="1"/>
    <col min="3" max="3" width="15.7109375" customWidth="1"/>
    <col min="4" max="4" width="13.28515625" customWidth="1"/>
    <col min="5" max="5" width="14" customWidth="1"/>
    <col min="6" max="7" width="15.42578125" customWidth="1"/>
  </cols>
  <sheetData>
    <row r="2" spans="1:7" ht="15" customHeight="1" x14ac:dyDescent="0.25">
      <c r="A2" s="27" t="s">
        <v>64</v>
      </c>
      <c r="B2" s="27" t="s">
        <v>80</v>
      </c>
      <c r="C2" s="27" t="s">
        <v>65</v>
      </c>
      <c r="D2" s="27" t="s">
        <v>66</v>
      </c>
      <c r="E2" s="37" t="s">
        <v>52</v>
      </c>
      <c r="F2" s="22" t="s">
        <v>81</v>
      </c>
      <c r="G2" s="22" t="s">
        <v>82</v>
      </c>
    </row>
    <row r="3" spans="1:7" ht="15" customHeight="1" x14ac:dyDescent="0.25">
      <c r="A3" s="29" t="s">
        <v>68</v>
      </c>
      <c r="B3" s="30">
        <v>0.9</v>
      </c>
      <c r="C3" s="30">
        <v>0.9</v>
      </c>
      <c r="D3" s="44">
        <f>(B3-C3)*1000</f>
        <v>0</v>
      </c>
      <c r="E3" s="38">
        <f>ROUND(D3*D21,0)</f>
        <v>0</v>
      </c>
      <c r="F3" s="22">
        <v>600</v>
      </c>
      <c r="G3" s="22">
        <f t="shared" ref="G3:G19" si="0">SUM(E3:F3)</f>
        <v>600</v>
      </c>
    </row>
    <row r="4" spans="1:7" ht="15" customHeight="1" x14ac:dyDescent="0.25">
      <c r="A4" s="29" t="s">
        <v>70</v>
      </c>
      <c r="B4" s="30">
        <v>0.37</v>
      </c>
      <c r="C4" s="30">
        <v>0.37</v>
      </c>
      <c r="D4" s="22">
        <f t="shared" ref="D4:D18" si="1">(C4-B4)*1000</f>
        <v>0</v>
      </c>
      <c r="E4" s="38">
        <f>ROUND(D4*D21,0)</f>
        <v>0</v>
      </c>
      <c r="F4" s="22">
        <v>600</v>
      </c>
      <c r="G4" s="22">
        <f t="shared" si="0"/>
        <v>600</v>
      </c>
    </row>
    <row r="5" spans="1:7" ht="15" customHeight="1" x14ac:dyDescent="0.25">
      <c r="A5" s="32" t="s">
        <v>16</v>
      </c>
      <c r="B5" s="33">
        <v>69.680000000000007</v>
      </c>
      <c r="C5" s="33">
        <v>69.69</v>
      </c>
      <c r="D5" s="22">
        <f t="shared" si="1"/>
        <v>9.9999999999909051</v>
      </c>
      <c r="E5" s="39">
        <f>ROUND(D5*D21,0)</f>
        <v>1</v>
      </c>
      <c r="F5" s="34">
        <v>600</v>
      </c>
      <c r="G5" s="34">
        <f t="shared" si="0"/>
        <v>601</v>
      </c>
    </row>
    <row r="6" spans="1:7" ht="15" customHeight="1" x14ac:dyDescent="0.25">
      <c r="A6" s="32" t="s">
        <v>13</v>
      </c>
      <c r="B6" s="33">
        <v>50.27</v>
      </c>
      <c r="C6" s="33">
        <v>50.27</v>
      </c>
      <c r="D6" s="22">
        <f t="shared" si="1"/>
        <v>0</v>
      </c>
      <c r="E6" s="39">
        <f>ROUND(D6*D21,0)</f>
        <v>0</v>
      </c>
      <c r="F6" s="39">
        <v>600</v>
      </c>
      <c r="G6" s="39">
        <f t="shared" si="0"/>
        <v>600</v>
      </c>
    </row>
    <row r="7" spans="1:7" ht="15" customHeight="1" x14ac:dyDescent="0.25">
      <c r="A7" s="29">
        <v>101</v>
      </c>
      <c r="B7" s="30">
        <v>0.38</v>
      </c>
      <c r="C7" s="30">
        <v>0.38</v>
      </c>
      <c r="D7" s="22">
        <f t="shared" si="1"/>
        <v>0</v>
      </c>
      <c r="E7" s="38">
        <f>ROUND(D7*D21,0)</f>
        <v>0</v>
      </c>
      <c r="F7" s="22">
        <v>600</v>
      </c>
      <c r="G7" s="22">
        <f t="shared" si="0"/>
        <v>600</v>
      </c>
    </row>
    <row r="8" spans="1:7" ht="15" customHeight="1" x14ac:dyDescent="0.25">
      <c r="A8" s="32">
        <v>102</v>
      </c>
      <c r="B8" s="33">
        <v>71.569999999999993</v>
      </c>
      <c r="C8" s="33">
        <v>85.19</v>
      </c>
      <c r="D8" s="22">
        <f t="shared" si="1"/>
        <v>13620.000000000004</v>
      </c>
      <c r="E8" s="39">
        <f>ROUND(D8*D21,0)</f>
        <v>863</v>
      </c>
      <c r="F8" s="34">
        <v>600</v>
      </c>
      <c r="G8" s="34">
        <f t="shared" si="0"/>
        <v>1463</v>
      </c>
    </row>
    <row r="9" spans="1:7" ht="15" customHeight="1" x14ac:dyDescent="0.25">
      <c r="A9" s="29">
        <v>103</v>
      </c>
      <c r="B9" s="30">
        <v>0.54</v>
      </c>
      <c r="C9" s="30">
        <v>0.81</v>
      </c>
      <c r="D9" s="22">
        <f t="shared" si="1"/>
        <v>270</v>
      </c>
      <c r="E9" s="38">
        <f>ROUND(D9*D21,0)</f>
        <v>17</v>
      </c>
      <c r="F9" s="22">
        <v>600</v>
      </c>
      <c r="G9" s="22">
        <f t="shared" si="0"/>
        <v>617</v>
      </c>
    </row>
    <row r="10" spans="1:7" ht="15" customHeight="1" x14ac:dyDescent="0.25">
      <c r="A10" s="32">
        <v>104</v>
      </c>
      <c r="B10" s="33">
        <v>11.88</v>
      </c>
      <c r="C10" s="45">
        <v>14.59</v>
      </c>
      <c r="D10" s="22">
        <f t="shared" si="1"/>
        <v>2709.9999999999991</v>
      </c>
      <c r="E10" s="39">
        <f>ROUND(D10*D21,0)</f>
        <v>172</v>
      </c>
      <c r="F10" s="34">
        <v>600</v>
      </c>
      <c r="G10" s="34">
        <f t="shared" si="0"/>
        <v>772</v>
      </c>
    </row>
    <row r="11" spans="1:7" ht="15" customHeight="1" x14ac:dyDescent="0.25">
      <c r="A11" s="267">
        <v>201</v>
      </c>
      <c r="B11" s="268">
        <v>1.53</v>
      </c>
      <c r="C11" s="268">
        <v>1.53</v>
      </c>
      <c r="D11" s="22">
        <f t="shared" si="1"/>
        <v>0</v>
      </c>
      <c r="E11" s="38">
        <f>ROUND(D11*D21,0)</f>
        <v>0</v>
      </c>
      <c r="F11" s="22">
        <v>600</v>
      </c>
      <c r="G11" s="22">
        <f t="shared" si="0"/>
        <v>600</v>
      </c>
    </row>
    <row r="12" spans="1:7" ht="15" customHeight="1" x14ac:dyDescent="0.25">
      <c r="A12" s="32">
        <v>202</v>
      </c>
      <c r="B12" s="33">
        <v>51.81</v>
      </c>
      <c r="C12" s="33">
        <v>53.74</v>
      </c>
      <c r="D12" s="22">
        <f t="shared" si="1"/>
        <v>1929.9999999999998</v>
      </c>
      <c r="E12" s="39">
        <f>ROUND(D12*D21,0)</f>
        <v>122</v>
      </c>
      <c r="F12" s="34">
        <v>600</v>
      </c>
      <c r="G12" s="34">
        <f t="shared" si="0"/>
        <v>722</v>
      </c>
    </row>
    <row r="13" spans="1:7" ht="15" customHeight="1" x14ac:dyDescent="0.25">
      <c r="A13" s="29">
        <v>203</v>
      </c>
      <c r="B13" s="30">
        <v>0.43</v>
      </c>
      <c r="C13" s="30">
        <v>1.02</v>
      </c>
      <c r="D13" s="22">
        <f t="shared" si="1"/>
        <v>590.00000000000011</v>
      </c>
      <c r="E13" s="38">
        <f>ROUND(D13*D21,0)</f>
        <v>37</v>
      </c>
      <c r="F13" s="22">
        <v>600</v>
      </c>
      <c r="G13" s="22">
        <f t="shared" si="0"/>
        <v>637</v>
      </c>
    </row>
    <row r="14" spans="1:7" ht="15" customHeight="1" x14ac:dyDescent="0.25">
      <c r="A14" s="29">
        <v>204</v>
      </c>
      <c r="B14" s="30">
        <v>0.42</v>
      </c>
      <c r="C14" s="30">
        <v>0.42</v>
      </c>
      <c r="D14" s="22">
        <f t="shared" si="1"/>
        <v>0</v>
      </c>
      <c r="E14" s="38">
        <f>ROUND(D14*D21,0)</f>
        <v>0</v>
      </c>
      <c r="F14" s="22">
        <v>600</v>
      </c>
      <c r="G14" s="22">
        <f t="shared" si="0"/>
        <v>600</v>
      </c>
    </row>
    <row r="15" spans="1:7" ht="15" customHeight="1" x14ac:dyDescent="0.25">
      <c r="A15" s="29">
        <v>301</v>
      </c>
      <c r="B15" s="30">
        <v>0.38</v>
      </c>
      <c r="C15" s="30">
        <v>0.38</v>
      </c>
      <c r="D15" s="22">
        <f t="shared" si="1"/>
        <v>0</v>
      </c>
      <c r="E15" s="38">
        <f>ROUND(D15*D21,0)</f>
        <v>0</v>
      </c>
      <c r="F15" s="22">
        <v>600</v>
      </c>
      <c r="G15" s="22">
        <f t="shared" si="0"/>
        <v>600</v>
      </c>
    </row>
    <row r="16" spans="1:7" ht="15" customHeight="1" x14ac:dyDescent="0.25">
      <c r="A16" s="29">
        <v>302</v>
      </c>
      <c r="B16" s="30">
        <v>0.38</v>
      </c>
      <c r="C16" s="30">
        <v>0.38</v>
      </c>
      <c r="D16" s="22">
        <f t="shared" si="1"/>
        <v>0</v>
      </c>
      <c r="E16" s="38">
        <f>ROUND(D16*D21,0)</f>
        <v>0</v>
      </c>
      <c r="F16" s="22">
        <v>600</v>
      </c>
      <c r="G16" s="22">
        <f t="shared" si="0"/>
        <v>600</v>
      </c>
    </row>
    <row r="17" spans="1:7" ht="15" customHeight="1" x14ac:dyDescent="0.25">
      <c r="A17" s="32">
        <v>303</v>
      </c>
      <c r="B17" s="33">
        <v>121.98</v>
      </c>
      <c r="C17" s="33">
        <v>135.1</v>
      </c>
      <c r="D17" s="22">
        <f t="shared" si="1"/>
        <v>13119.999999999991</v>
      </c>
      <c r="E17" s="39">
        <f>ROUND(D17*D21,0)</f>
        <v>832</v>
      </c>
      <c r="F17" s="34">
        <v>600</v>
      </c>
      <c r="G17" s="34">
        <f t="shared" si="0"/>
        <v>1432</v>
      </c>
    </row>
    <row r="18" spans="1:7" ht="15" customHeight="1" x14ac:dyDescent="0.25">
      <c r="A18" s="29">
        <v>304</v>
      </c>
      <c r="B18" s="30">
        <v>0.59</v>
      </c>
      <c r="C18" s="30">
        <v>0.59</v>
      </c>
      <c r="D18" s="22">
        <f t="shared" si="1"/>
        <v>0</v>
      </c>
      <c r="E18" s="38">
        <f>ROUND(D18*D21,0)</f>
        <v>0</v>
      </c>
      <c r="F18" s="22">
        <v>600</v>
      </c>
      <c r="G18" s="22">
        <f t="shared" si="0"/>
        <v>600</v>
      </c>
    </row>
    <row r="19" spans="1:7" ht="15" customHeight="1" x14ac:dyDescent="0.25">
      <c r="A19" s="22"/>
      <c r="B19" s="22"/>
      <c r="C19" s="22"/>
      <c r="D19" s="22"/>
      <c r="E19" s="40">
        <v>2044</v>
      </c>
      <c r="F19" s="27">
        <f>SUM(F3:F18)</f>
        <v>9600</v>
      </c>
      <c r="G19" s="27">
        <f t="shared" si="0"/>
        <v>11644</v>
      </c>
    </row>
    <row r="20" spans="1:7" ht="15" customHeight="1" x14ac:dyDescent="0.25">
      <c r="A20" s="22"/>
      <c r="B20" s="22" t="s">
        <v>75</v>
      </c>
      <c r="C20" s="22"/>
      <c r="D20" s="44">
        <f>SUM(D3:D19)</f>
        <v>32249.999999999985</v>
      </c>
      <c r="E20" s="41"/>
      <c r="F20" s="22"/>
      <c r="G20" s="22"/>
    </row>
    <row r="21" spans="1:7" ht="15" customHeight="1" x14ac:dyDescent="0.25">
      <c r="A21" s="22"/>
      <c r="B21" s="22" t="s">
        <v>84</v>
      </c>
      <c r="C21" s="22"/>
      <c r="D21" s="22">
        <f>B24/D20</f>
        <v>6.3379844961240342E-2</v>
      </c>
      <c r="E21" s="41"/>
      <c r="F21" s="22"/>
      <c r="G21" s="22"/>
    </row>
    <row r="22" spans="1:7" ht="15.75" customHeight="1" x14ac:dyDescent="0.25">
      <c r="A22" s="22"/>
      <c r="B22" s="22"/>
      <c r="C22" s="22"/>
      <c r="D22" s="22"/>
      <c r="E22" s="41"/>
      <c r="F22" s="22"/>
      <c r="G22" s="22"/>
    </row>
    <row r="23" spans="1:7" ht="15.75" customHeight="1" x14ac:dyDescent="0.25">
      <c r="A23" s="22"/>
      <c r="B23" s="22"/>
      <c r="C23" s="22"/>
      <c r="D23" s="22"/>
      <c r="E23" s="41"/>
      <c r="F23" s="22"/>
      <c r="G23" s="22"/>
    </row>
    <row r="24" spans="1:7" ht="15.75" customHeight="1" x14ac:dyDescent="0.25">
      <c r="A24" s="22" t="s">
        <v>85</v>
      </c>
      <c r="B24" s="30">
        <v>2044</v>
      </c>
      <c r="C24" s="30"/>
      <c r="D24" s="22"/>
      <c r="E24" s="41"/>
      <c r="F24" s="22"/>
      <c r="G24" s="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H24"/>
  <sheetViews>
    <sheetView workbookViewId="0">
      <selection activeCell="A11" sqref="A11:C11"/>
    </sheetView>
  </sheetViews>
  <sheetFormatPr defaultColWidth="14.42578125" defaultRowHeight="15" customHeight="1" x14ac:dyDescent="0.25"/>
  <cols>
    <col min="1" max="1" width="13.42578125" customWidth="1"/>
    <col min="2" max="2" width="21.28515625" customWidth="1"/>
    <col min="3" max="3" width="19.42578125" customWidth="1"/>
    <col min="4" max="4" width="13.28515625" customWidth="1"/>
    <col min="5" max="5" width="11.140625" customWidth="1"/>
    <col min="6" max="6" width="13.85546875" customWidth="1"/>
    <col min="7" max="7" width="14.5703125" customWidth="1"/>
    <col min="8" max="8" width="16.28515625" customWidth="1"/>
  </cols>
  <sheetData>
    <row r="2" spans="1:8" ht="15" customHeight="1" x14ac:dyDescent="0.25">
      <c r="A2" s="27" t="s">
        <v>64</v>
      </c>
      <c r="B2" s="27" t="s">
        <v>80</v>
      </c>
      <c r="C2" s="27" t="s">
        <v>65</v>
      </c>
      <c r="D2" s="27" t="s">
        <v>66</v>
      </c>
      <c r="E2" s="37" t="s">
        <v>52</v>
      </c>
      <c r="F2" s="22" t="s">
        <v>81</v>
      </c>
      <c r="G2" s="22" t="s">
        <v>82</v>
      </c>
      <c r="H2" s="1" t="s">
        <v>119</v>
      </c>
    </row>
    <row r="3" spans="1:8" ht="15" customHeight="1" x14ac:dyDescent="0.25">
      <c r="A3" s="29" t="s">
        <v>68</v>
      </c>
      <c r="B3" s="30">
        <v>0.9</v>
      </c>
      <c r="C3" s="30">
        <v>0.99</v>
      </c>
      <c r="D3" s="44">
        <f t="shared" ref="D3:D18" si="0">(C3-B3)*1000</f>
        <v>89.999999999999972</v>
      </c>
      <c r="E3" s="38">
        <f>ROUND(D3*D21,0)</f>
        <v>3</v>
      </c>
      <c r="F3" s="22">
        <v>600</v>
      </c>
      <c r="G3" s="22">
        <f t="shared" ref="G3:G19" si="1">SUM(E3:F3)</f>
        <v>603</v>
      </c>
    </row>
    <row r="4" spans="1:8" ht="15" customHeight="1" x14ac:dyDescent="0.25">
      <c r="A4" s="29" t="s">
        <v>70</v>
      </c>
      <c r="B4" s="30">
        <v>0.37</v>
      </c>
      <c r="C4" s="30">
        <v>1.26</v>
      </c>
      <c r="D4" s="22">
        <f t="shared" si="0"/>
        <v>890</v>
      </c>
      <c r="E4" s="38">
        <f>ROUND(D4*D21,0)</f>
        <v>31</v>
      </c>
      <c r="F4" s="22">
        <v>600</v>
      </c>
      <c r="G4" s="22">
        <f t="shared" si="1"/>
        <v>631</v>
      </c>
    </row>
    <row r="5" spans="1:8" ht="15" customHeight="1" x14ac:dyDescent="0.25">
      <c r="A5" s="32" t="s">
        <v>16</v>
      </c>
      <c r="B5" s="33">
        <v>69.680000000000007</v>
      </c>
      <c r="C5" s="33">
        <v>71.150000000000006</v>
      </c>
      <c r="D5" s="22">
        <f t="shared" si="0"/>
        <v>1469.9999999999989</v>
      </c>
      <c r="E5" s="39">
        <f>ROUND(D5*D21,0)</f>
        <v>51</v>
      </c>
      <c r="F5" s="34">
        <v>600</v>
      </c>
      <c r="G5" s="34">
        <f t="shared" si="1"/>
        <v>651</v>
      </c>
    </row>
    <row r="6" spans="1:8" ht="15" customHeight="1" x14ac:dyDescent="0.25">
      <c r="A6" s="32" t="s">
        <v>13</v>
      </c>
      <c r="B6" s="33">
        <v>50.27</v>
      </c>
      <c r="C6" s="33">
        <v>51.15</v>
      </c>
      <c r="D6" s="22">
        <f t="shared" si="0"/>
        <v>879.99999999999545</v>
      </c>
      <c r="E6" s="39">
        <f>ROUND(D6*D21,0)</f>
        <v>31</v>
      </c>
      <c r="F6" s="39">
        <v>600</v>
      </c>
      <c r="G6" s="39">
        <f t="shared" si="1"/>
        <v>631</v>
      </c>
      <c r="H6" s="1">
        <v>31</v>
      </c>
    </row>
    <row r="7" spans="1:8" ht="15" customHeight="1" x14ac:dyDescent="0.25">
      <c r="A7" s="29">
        <v>101</v>
      </c>
      <c r="B7" s="30">
        <v>0.38</v>
      </c>
      <c r="C7" s="30">
        <v>0.38</v>
      </c>
      <c r="D7" s="22">
        <f t="shared" si="0"/>
        <v>0</v>
      </c>
      <c r="E7" s="38">
        <f>ROUND(D7*D21,0)</f>
        <v>0</v>
      </c>
      <c r="F7" s="22">
        <v>600</v>
      </c>
      <c r="G7" s="22">
        <f t="shared" si="1"/>
        <v>600</v>
      </c>
    </row>
    <row r="8" spans="1:8" ht="15" customHeight="1" x14ac:dyDescent="0.25">
      <c r="A8" s="32">
        <v>102</v>
      </c>
      <c r="B8" s="33">
        <v>71.569999999999993</v>
      </c>
      <c r="C8" s="33">
        <v>97.49</v>
      </c>
      <c r="D8" s="22">
        <f t="shared" si="0"/>
        <v>25920</v>
      </c>
      <c r="E8" s="39">
        <f>ROUND(D8*D21,0)</f>
        <v>904</v>
      </c>
      <c r="F8" s="34">
        <v>600</v>
      </c>
      <c r="G8" s="34">
        <f t="shared" si="1"/>
        <v>1504</v>
      </c>
    </row>
    <row r="9" spans="1:8" ht="15" customHeight="1" x14ac:dyDescent="0.25">
      <c r="A9" s="29">
        <v>103</v>
      </c>
      <c r="B9" s="30">
        <v>0.81</v>
      </c>
      <c r="C9" s="30">
        <v>0.82</v>
      </c>
      <c r="D9" s="22">
        <f t="shared" si="0"/>
        <v>9.999999999999897</v>
      </c>
      <c r="E9" s="38">
        <f>ROUND(D9*D21,0)</f>
        <v>0</v>
      </c>
      <c r="F9" s="22">
        <v>600</v>
      </c>
      <c r="G9" s="22">
        <f t="shared" si="1"/>
        <v>600</v>
      </c>
    </row>
    <row r="10" spans="1:8" ht="15" customHeight="1" x14ac:dyDescent="0.25">
      <c r="A10" s="32">
        <v>104</v>
      </c>
      <c r="B10" s="45">
        <v>14.59</v>
      </c>
      <c r="C10" s="45">
        <v>18.850000000000001</v>
      </c>
      <c r="D10" s="22">
        <f t="shared" si="0"/>
        <v>4260.0000000000018</v>
      </c>
      <c r="E10" s="39">
        <f>ROUND(D10*D21,0)</f>
        <v>149</v>
      </c>
      <c r="F10" s="34">
        <v>600</v>
      </c>
      <c r="G10" s="34">
        <f t="shared" si="1"/>
        <v>749</v>
      </c>
    </row>
    <row r="11" spans="1:8" ht="15" customHeight="1" x14ac:dyDescent="0.25">
      <c r="A11" s="267">
        <v>201</v>
      </c>
      <c r="B11" s="268">
        <v>1.53</v>
      </c>
      <c r="C11" s="268">
        <v>1.53</v>
      </c>
      <c r="D11" s="22">
        <f t="shared" si="0"/>
        <v>0</v>
      </c>
      <c r="E11" s="38">
        <f>ROUND(D11*D21,0)</f>
        <v>0</v>
      </c>
      <c r="F11" s="22">
        <v>600</v>
      </c>
      <c r="G11" s="22">
        <f t="shared" si="1"/>
        <v>600</v>
      </c>
    </row>
    <row r="12" spans="1:8" ht="15" customHeight="1" x14ac:dyDescent="0.25">
      <c r="A12" s="32">
        <v>202</v>
      </c>
      <c r="B12" s="33">
        <v>53.74</v>
      </c>
      <c r="C12" s="33">
        <v>60.08</v>
      </c>
      <c r="D12" s="22">
        <f t="shared" si="0"/>
        <v>6339.9999999999964</v>
      </c>
      <c r="E12" s="39">
        <f>ROUND(D12*D21,0)</f>
        <v>221</v>
      </c>
      <c r="F12" s="34">
        <v>600</v>
      </c>
      <c r="G12" s="34">
        <f t="shared" si="1"/>
        <v>821</v>
      </c>
    </row>
    <row r="13" spans="1:8" ht="15" customHeight="1" x14ac:dyDescent="0.25">
      <c r="A13" s="29">
        <v>203</v>
      </c>
      <c r="B13" s="30">
        <v>1.02</v>
      </c>
      <c r="C13" s="30">
        <v>8.26</v>
      </c>
      <c r="D13" s="22">
        <f t="shared" si="0"/>
        <v>7240</v>
      </c>
      <c r="E13" s="38">
        <f>ROUND(D13*D21,0)</f>
        <v>252</v>
      </c>
      <c r="F13" s="22">
        <v>600</v>
      </c>
      <c r="G13" s="22">
        <f t="shared" si="1"/>
        <v>852</v>
      </c>
    </row>
    <row r="14" spans="1:8" ht="15" customHeight="1" x14ac:dyDescent="0.25">
      <c r="A14" s="29">
        <v>204</v>
      </c>
      <c r="B14" s="30">
        <v>0.42</v>
      </c>
      <c r="C14" s="30">
        <v>0.42</v>
      </c>
      <c r="D14" s="22">
        <f t="shared" si="0"/>
        <v>0</v>
      </c>
      <c r="E14" s="38">
        <f>ROUND(D14*D21,0)</f>
        <v>0</v>
      </c>
      <c r="F14" s="22">
        <v>600</v>
      </c>
      <c r="G14" s="22">
        <f t="shared" si="1"/>
        <v>600</v>
      </c>
    </row>
    <row r="15" spans="1:8" ht="15" customHeight="1" x14ac:dyDescent="0.25">
      <c r="A15" s="29">
        <v>301</v>
      </c>
      <c r="B15" s="30">
        <v>0.38</v>
      </c>
      <c r="C15" s="30">
        <v>0.38</v>
      </c>
      <c r="D15" s="22">
        <f t="shared" si="0"/>
        <v>0</v>
      </c>
      <c r="E15" s="38">
        <f>ROUND(D15*D21,0)</f>
        <v>0</v>
      </c>
      <c r="F15" s="22">
        <v>600</v>
      </c>
      <c r="G15" s="22">
        <f t="shared" si="1"/>
        <v>600</v>
      </c>
    </row>
    <row r="16" spans="1:8" ht="15" customHeight="1" x14ac:dyDescent="0.25">
      <c r="A16" s="29">
        <v>302</v>
      </c>
      <c r="B16" s="30">
        <v>0.38</v>
      </c>
      <c r="C16" s="30">
        <v>0.38</v>
      </c>
      <c r="D16" s="22">
        <f t="shared" si="0"/>
        <v>0</v>
      </c>
      <c r="E16" s="38">
        <f>ROUND(D16*D21,0)</f>
        <v>0</v>
      </c>
      <c r="F16" s="22">
        <v>600</v>
      </c>
      <c r="G16" s="22">
        <f t="shared" si="1"/>
        <v>600</v>
      </c>
    </row>
    <row r="17" spans="1:7" ht="15" customHeight="1" x14ac:dyDescent="0.25">
      <c r="A17" s="32">
        <v>303</v>
      </c>
      <c r="B17" s="33">
        <v>135.1</v>
      </c>
      <c r="C17" s="33">
        <v>146.62</v>
      </c>
      <c r="D17" s="22">
        <f t="shared" si="0"/>
        <v>11520.000000000011</v>
      </c>
      <c r="E17" s="39">
        <f>ROUND(D17*D21,0)</f>
        <v>402</v>
      </c>
      <c r="F17" s="34">
        <v>600</v>
      </c>
      <c r="G17" s="34">
        <f t="shared" si="1"/>
        <v>1002</v>
      </c>
    </row>
    <row r="18" spans="1:7" ht="15" customHeight="1" x14ac:dyDescent="0.25">
      <c r="A18" s="29">
        <v>304</v>
      </c>
      <c r="B18" s="30">
        <v>0.59</v>
      </c>
      <c r="C18" s="30">
        <v>0.59</v>
      </c>
      <c r="D18" s="22">
        <f t="shared" si="0"/>
        <v>0</v>
      </c>
      <c r="E18" s="38">
        <f>ROUND(D18*D21,0)</f>
        <v>0</v>
      </c>
      <c r="F18" s="22">
        <v>600</v>
      </c>
      <c r="G18" s="22">
        <f t="shared" si="1"/>
        <v>600</v>
      </c>
    </row>
    <row r="19" spans="1:7" ht="15" customHeight="1" x14ac:dyDescent="0.25">
      <c r="A19" s="22"/>
      <c r="B19" s="22"/>
      <c r="C19" s="22"/>
      <c r="D19" s="22"/>
      <c r="E19" s="40">
        <v>2044</v>
      </c>
      <c r="F19" s="27">
        <f>SUM(F3:F18)</f>
        <v>9600</v>
      </c>
      <c r="G19" s="27">
        <f t="shared" si="1"/>
        <v>11644</v>
      </c>
    </row>
    <row r="20" spans="1:7" ht="15" customHeight="1" x14ac:dyDescent="0.25">
      <c r="A20" s="22"/>
      <c r="B20" s="22" t="s">
        <v>75</v>
      </c>
      <c r="C20" s="22"/>
      <c r="D20" s="44">
        <f>SUM(D3:D19)</f>
        <v>58620</v>
      </c>
      <c r="E20" s="41"/>
      <c r="F20" s="22"/>
      <c r="G20" s="22"/>
    </row>
    <row r="21" spans="1:7" ht="15" customHeight="1" x14ac:dyDescent="0.25">
      <c r="A21" s="22"/>
      <c r="B21" s="22" t="s">
        <v>84</v>
      </c>
      <c r="C21" s="22"/>
      <c r="D21" s="22">
        <f>B24/D20</f>
        <v>3.4868645513476626E-2</v>
      </c>
      <c r="E21" s="41"/>
      <c r="F21" s="22"/>
      <c r="G21" s="22"/>
    </row>
    <row r="22" spans="1:7" ht="15.75" customHeight="1" x14ac:dyDescent="0.25">
      <c r="A22" s="22"/>
      <c r="B22" s="22"/>
      <c r="C22" s="22"/>
      <c r="D22" s="22"/>
      <c r="E22" s="41"/>
      <c r="F22" s="22"/>
      <c r="G22" s="22"/>
    </row>
    <row r="23" spans="1:7" ht="15.75" customHeight="1" x14ac:dyDescent="0.25">
      <c r="A23" s="22"/>
      <c r="B23" s="22"/>
      <c r="C23" s="22"/>
      <c r="D23" s="22"/>
      <c r="E23" s="41"/>
      <c r="F23" s="22"/>
      <c r="G23" s="22"/>
    </row>
    <row r="24" spans="1:7" ht="15.75" customHeight="1" x14ac:dyDescent="0.25">
      <c r="A24" s="22" t="s">
        <v>85</v>
      </c>
      <c r="B24" s="30">
        <v>2044</v>
      </c>
      <c r="C24" s="30"/>
      <c r="D24" s="22"/>
      <c r="E24" s="41"/>
      <c r="F24" s="22"/>
      <c r="G24" s="22"/>
    </row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I51"/>
  <sheetViews>
    <sheetView topLeftCell="A25" workbookViewId="0">
      <selection activeCell="A37" activeCellId="1" sqref="A11:C11 A37:C37"/>
    </sheetView>
  </sheetViews>
  <sheetFormatPr defaultColWidth="14.42578125" defaultRowHeight="15" customHeight="1" x14ac:dyDescent="0.25"/>
  <cols>
    <col min="1" max="1" width="11.7109375" customWidth="1"/>
    <col min="2" max="2" width="12.5703125" customWidth="1"/>
    <col min="3" max="3" width="12.85546875" customWidth="1"/>
    <col min="4" max="4" width="12.28515625" customWidth="1"/>
    <col min="5" max="5" width="12.42578125" customWidth="1"/>
    <col min="6" max="6" width="16.28515625" customWidth="1"/>
    <col min="7" max="7" width="16.5703125" customWidth="1"/>
    <col min="8" max="8" width="22.42578125" customWidth="1"/>
    <col min="9" max="9" width="7.5703125" customWidth="1"/>
  </cols>
  <sheetData>
    <row r="2" spans="1:7" ht="15" customHeight="1" x14ac:dyDescent="0.25">
      <c r="A2" s="27" t="s">
        <v>64</v>
      </c>
      <c r="B2" s="27" t="s">
        <v>80</v>
      </c>
      <c r="C2" s="27" t="s">
        <v>65</v>
      </c>
      <c r="D2" s="27" t="s">
        <v>66</v>
      </c>
      <c r="E2" s="37" t="s">
        <v>52</v>
      </c>
      <c r="F2" s="22" t="s">
        <v>81</v>
      </c>
      <c r="G2" s="22" t="s">
        <v>82</v>
      </c>
    </row>
    <row r="3" spans="1:7" ht="15" customHeight="1" x14ac:dyDescent="0.25">
      <c r="A3" s="29" t="s">
        <v>68</v>
      </c>
      <c r="B3" s="30">
        <v>0.99</v>
      </c>
      <c r="C3" s="30">
        <v>0.99</v>
      </c>
      <c r="D3" s="44">
        <f t="shared" ref="D3:D18" si="0">(C3-B3)*1000</f>
        <v>0</v>
      </c>
      <c r="E3" s="38">
        <f>ROUND(D3*D21,0)</f>
        <v>0</v>
      </c>
      <c r="F3" s="22">
        <v>600</v>
      </c>
      <c r="G3" s="22">
        <f t="shared" ref="G3:G19" si="1">SUM(E3:F3)</f>
        <v>600</v>
      </c>
    </row>
    <row r="4" spans="1:7" ht="15" customHeight="1" x14ac:dyDescent="0.25">
      <c r="A4" s="29" t="s">
        <v>70</v>
      </c>
      <c r="B4" s="30">
        <v>1.26</v>
      </c>
      <c r="C4" s="30">
        <v>4.0999999999999996</v>
      </c>
      <c r="D4" s="22">
        <f t="shared" si="0"/>
        <v>2840</v>
      </c>
      <c r="E4" s="38">
        <f>ROUND(D4*D21,0)</f>
        <v>38</v>
      </c>
      <c r="F4" s="22">
        <v>600</v>
      </c>
      <c r="G4" s="22">
        <f t="shared" si="1"/>
        <v>638</v>
      </c>
    </row>
    <row r="5" spans="1:7" ht="15" customHeight="1" x14ac:dyDescent="0.25">
      <c r="A5" s="32" t="s">
        <v>16</v>
      </c>
      <c r="B5" s="33">
        <v>71.150000000000006</v>
      </c>
      <c r="C5" s="33">
        <v>72.510000000000005</v>
      </c>
      <c r="D5" s="22">
        <f t="shared" si="0"/>
        <v>1359.9999999999995</v>
      </c>
      <c r="E5" s="39">
        <f>ROUND(D5*D21,0)</f>
        <v>18</v>
      </c>
      <c r="F5" s="22">
        <v>600</v>
      </c>
      <c r="G5" s="22">
        <f t="shared" si="1"/>
        <v>618</v>
      </c>
    </row>
    <row r="6" spans="1:7" ht="15" customHeight="1" x14ac:dyDescent="0.25">
      <c r="A6" s="32" t="s">
        <v>13</v>
      </c>
      <c r="B6" s="33">
        <v>51.15</v>
      </c>
      <c r="C6" s="33">
        <v>59.22</v>
      </c>
      <c r="D6" s="22">
        <f t="shared" si="0"/>
        <v>8070</v>
      </c>
      <c r="E6" s="39">
        <f>ROUND(D6*D21,0)</f>
        <v>109</v>
      </c>
      <c r="F6" s="22">
        <v>600</v>
      </c>
      <c r="G6" s="22">
        <f t="shared" si="1"/>
        <v>709</v>
      </c>
    </row>
    <row r="7" spans="1:7" ht="15" customHeight="1" x14ac:dyDescent="0.25">
      <c r="A7" s="29">
        <v>101</v>
      </c>
      <c r="B7" s="30">
        <v>0.38</v>
      </c>
      <c r="C7" s="30">
        <v>0.38</v>
      </c>
      <c r="D7" s="22">
        <f t="shared" si="0"/>
        <v>0</v>
      </c>
      <c r="E7" s="38">
        <f>ROUND(D7*D21,0)</f>
        <v>0</v>
      </c>
      <c r="F7" s="22">
        <v>600</v>
      </c>
      <c r="G7" s="22">
        <f t="shared" si="1"/>
        <v>600</v>
      </c>
    </row>
    <row r="8" spans="1:7" ht="15" customHeight="1" x14ac:dyDescent="0.25">
      <c r="A8" s="32">
        <v>102</v>
      </c>
      <c r="B8" s="33">
        <v>97.49</v>
      </c>
      <c r="C8" s="33">
        <v>109.4</v>
      </c>
      <c r="D8" s="22">
        <f t="shared" si="0"/>
        <v>11910.000000000011</v>
      </c>
      <c r="E8" s="39">
        <f>ROUND(D8*D21,0)</f>
        <v>161</v>
      </c>
      <c r="F8" s="22">
        <v>600</v>
      </c>
      <c r="G8" s="22">
        <f t="shared" si="1"/>
        <v>761</v>
      </c>
    </row>
    <row r="9" spans="1:7" ht="15" customHeight="1" x14ac:dyDescent="0.25">
      <c r="A9" s="29">
        <v>103</v>
      </c>
      <c r="B9" s="30">
        <v>0.82</v>
      </c>
      <c r="C9" s="30">
        <v>0.82</v>
      </c>
      <c r="D9" s="22">
        <f t="shared" si="0"/>
        <v>0</v>
      </c>
      <c r="E9" s="38">
        <f>ROUND(D9*D21,0)</f>
        <v>0</v>
      </c>
      <c r="F9" s="22">
        <v>600</v>
      </c>
      <c r="G9" s="22">
        <f t="shared" si="1"/>
        <v>600</v>
      </c>
    </row>
    <row r="10" spans="1:7" ht="15" customHeight="1" x14ac:dyDescent="0.25">
      <c r="A10" s="32">
        <v>104</v>
      </c>
      <c r="B10" s="45">
        <v>18.850000000000001</v>
      </c>
      <c r="C10" s="45">
        <v>32.22</v>
      </c>
      <c r="D10" s="22">
        <f t="shared" si="0"/>
        <v>13369.999999999998</v>
      </c>
      <c r="E10" s="39">
        <f>ROUND(D10*D21,0)</f>
        <v>181</v>
      </c>
      <c r="F10" s="22">
        <v>600</v>
      </c>
      <c r="G10" s="22">
        <f t="shared" si="1"/>
        <v>781</v>
      </c>
    </row>
    <row r="11" spans="1:7" ht="15" customHeight="1" x14ac:dyDescent="0.25">
      <c r="A11" s="267">
        <v>201</v>
      </c>
      <c r="B11" s="268">
        <v>1.53</v>
      </c>
      <c r="C11" s="268">
        <v>1.53</v>
      </c>
      <c r="D11" s="22">
        <f t="shared" si="0"/>
        <v>0</v>
      </c>
      <c r="E11" s="38">
        <f>ROUND(D11*D21,0)</f>
        <v>0</v>
      </c>
      <c r="F11" s="22">
        <v>600</v>
      </c>
      <c r="G11" s="22">
        <f t="shared" si="1"/>
        <v>600</v>
      </c>
    </row>
    <row r="12" spans="1:7" ht="15" customHeight="1" x14ac:dyDescent="0.25">
      <c r="A12" s="32">
        <v>202</v>
      </c>
      <c r="B12" s="33">
        <v>60.08</v>
      </c>
      <c r="C12" s="33">
        <v>67.069999999999993</v>
      </c>
      <c r="D12" s="22">
        <f t="shared" si="0"/>
        <v>6989.9999999999945</v>
      </c>
      <c r="E12" s="39">
        <f>ROUND(D12*D21,0)</f>
        <v>94</v>
      </c>
      <c r="F12" s="22">
        <v>600</v>
      </c>
      <c r="G12" s="22">
        <f t="shared" si="1"/>
        <v>694</v>
      </c>
    </row>
    <row r="13" spans="1:7" ht="15" customHeight="1" x14ac:dyDescent="0.25">
      <c r="A13" s="29">
        <v>203</v>
      </c>
      <c r="B13" s="30">
        <v>8.26</v>
      </c>
      <c r="C13" s="30">
        <v>14.76</v>
      </c>
      <c r="D13" s="22">
        <f t="shared" si="0"/>
        <v>6500</v>
      </c>
      <c r="E13" s="38">
        <f>ROUND(D13*D21,0)</f>
        <v>88</v>
      </c>
      <c r="F13" s="22">
        <v>600</v>
      </c>
      <c r="G13" s="22">
        <f t="shared" si="1"/>
        <v>688</v>
      </c>
    </row>
    <row r="14" spans="1:7" ht="15" customHeight="1" x14ac:dyDescent="0.25">
      <c r="A14" s="29">
        <v>204</v>
      </c>
      <c r="B14" s="30">
        <v>0.42</v>
      </c>
      <c r="C14" s="30">
        <v>3.93</v>
      </c>
      <c r="D14" s="22">
        <f t="shared" si="0"/>
        <v>3510.0000000000005</v>
      </c>
      <c r="E14" s="38">
        <f>ROUND(D14*D21,0)</f>
        <v>47</v>
      </c>
      <c r="F14" s="22">
        <v>600</v>
      </c>
      <c r="G14" s="22">
        <f t="shared" si="1"/>
        <v>647</v>
      </c>
    </row>
    <row r="15" spans="1:7" ht="15" customHeight="1" x14ac:dyDescent="0.25">
      <c r="A15" s="29">
        <v>301</v>
      </c>
      <c r="B15" s="30">
        <v>0.38</v>
      </c>
      <c r="C15" s="30">
        <v>0.38</v>
      </c>
      <c r="D15" s="22">
        <f t="shared" si="0"/>
        <v>0</v>
      </c>
      <c r="E15" s="38">
        <f>ROUND(D15*D21,0)</f>
        <v>0</v>
      </c>
      <c r="F15" s="22">
        <v>600</v>
      </c>
      <c r="G15" s="22">
        <f t="shared" si="1"/>
        <v>600</v>
      </c>
    </row>
    <row r="16" spans="1:7" ht="15" customHeight="1" x14ac:dyDescent="0.25">
      <c r="A16" s="29">
        <v>302</v>
      </c>
      <c r="B16" s="30">
        <v>0.38</v>
      </c>
      <c r="C16" s="30">
        <v>0.38</v>
      </c>
      <c r="D16" s="22">
        <f t="shared" si="0"/>
        <v>0</v>
      </c>
      <c r="E16" s="38">
        <f>ROUND(D16*D21,0)</f>
        <v>0</v>
      </c>
      <c r="F16" s="22">
        <v>600</v>
      </c>
      <c r="G16" s="22">
        <f t="shared" si="1"/>
        <v>600</v>
      </c>
    </row>
    <row r="17" spans="1:9" ht="15" customHeight="1" x14ac:dyDescent="0.25">
      <c r="A17" s="32">
        <v>303</v>
      </c>
      <c r="B17" s="33">
        <v>146.62</v>
      </c>
      <c r="C17" s="33">
        <v>166.1</v>
      </c>
      <c r="D17" s="22">
        <f t="shared" si="0"/>
        <v>19479.999999999989</v>
      </c>
      <c r="E17" s="39">
        <f>ROUND(D17*D21,0)</f>
        <v>263</v>
      </c>
      <c r="F17" s="22">
        <v>600</v>
      </c>
      <c r="G17" s="22">
        <f t="shared" si="1"/>
        <v>863</v>
      </c>
    </row>
    <row r="18" spans="1:9" ht="15" customHeight="1" x14ac:dyDescent="0.25">
      <c r="A18" s="29">
        <v>304</v>
      </c>
      <c r="B18" s="30">
        <v>0.59</v>
      </c>
      <c r="C18" s="30">
        <v>0.59</v>
      </c>
      <c r="D18" s="22">
        <f t="shared" si="0"/>
        <v>0</v>
      </c>
      <c r="E18" s="38">
        <f>ROUND(D18*D21,0)</f>
        <v>0</v>
      </c>
      <c r="F18" s="22">
        <v>600</v>
      </c>
      <c r="G18" s="22">
        <f t="shared" si="1"/>
        <v>600</v>
      </c>
    </row>
    <row r="19" spans="1:9" ht="15" customHeight="1" x14ac:dyDescent="0.25">
      <c r="A19" s="22"/>
      <c r="B19" s="22"/>
      <c r="C19" s="22"/>
      <c r="D19" s="22"/>
      <c r="E19" s="40">
        <v>1000</v>
      </c>
      <c r="F19" s="27">
        <f>SUM(F3:F18)</f>
        <v>9600</v>
      </c>
      <c r="G19" s="22">
        <f t="shared" si="1"/>
        <v>10600</v>
      </c>
    </row>
    <row r="20" spans="1:9" ht="15" customHeight="1" x14ac:dyDescent="0.25">
      <c r="A20" s="22"/>
      <c r="B20" s="22" t="s">
        <v>75</v>
      </c>
      <c r="C20" s="22"/>
      <c r="D20" s="44">
        <f>SUM(D3:D19)</f>
        <v>74029.999999999985</v>
      </c>
      <c r="E20" s="41"/>
      <c r="F20" s="22"/>
      <c r="G20" s="22"/>
    </row>
    <row r="21" spans="1:9" ht="15" customHeight="1" x14ac:dyDescent="0.25">
      <c r="A21" s="22"/>
      <c r="B21" s="22" t="s">
        <v>84</v>
      </c>
      <c r="C21" s="22"/>
      <c r="D21" s="22">
        <f>B24/D20</f>
        <v>1.3508037282182901E-2</v>
      </c>
      <c r="E21" s="41"/>
      <c r="F21" s="22"/>
      <c r="G21" s="22"/>
    </row>
    <row r="22" spans="1:9" ht="15.75" customHeight="1" x14ac:dyDescent="0.25">
      <c r="A22" s="22"/>
      <c r="B22" s="22"/>
      <c r="C22" s="22"/>
      <c r="D22" s="22"/>
      <c r="E22" s="41"/>
      <c r="F22" s="22"/>
      <c r="G22" s="22"/>
    </row>
    <row r="23" spans="1:9" ht="15.75" customHeight="1" x14ac:dyDescent="0.25">
      <c r="A23" s="22"/>
      <c r="B23" s="22"/>
      <c r="C23" s="22"/>
      <c r="D23" s="22"/>
      <c r="E23" s="41"/>
      <c r="F23" s="22"/>
      <c r="G23" s="22"/>
    </row>
    <row r="24" spans="1:9" ht="15.75" customHeight="1" x14ac:dyDescent="0.25">
      <c r="A24" s="22" t="s">
        <v>85</v>
      </c>
      <c r="B24" s="30">
        <v>1000</v>
      </c>
      <c r="C24" s="30"/>
      <c r="D24" s="22"/>
      <c r="E24" s="41"/>
      <c r="F24" s="22"/>
      <c r="G24" s="22"/>
    </row>
    <row r="25" spans="1:9" ht="15.75" customHeight="1" x14ac:dyDescent="0.25">
      <c r="A25" s="1" t="s">
        <v>120</v>
      </c>
      <c r="C25" s="1">
        <v>1000</v>
      </c>
    </row>
    <row r="26" spans="1:9" ht="15.75" customHeight="1" x14ac:dyDescent="0.25">
      <c r="A26" s="46"/>
      <c r="B26" s="46"/>
      <c r="C26" s="46"/>
      <c r="D26" s="46"/>
      <c r="E26" s="46"/>
      <c r="F26" s="46"/>
      <c r="G26" s="46"/>
    </row>
    <row r="27" spans="1:9" ht="15.75" customHeight="1" x14ac:dyDescent="0.25"/>
    <row r="28" spans="1:9" ht="15.75" customHeight="1" x14ac:dyDescent="0.25">
      <c r="A28" s="27" t="s">
        <v>64</v>
      </c>
      <c r="B28" s="27" t="s">
        <v>80</v>
      </c>
      <c r="C28" s="27" t="s">
        <v>65</v>
      </c>
      <c r="D28" s="27" t="s">
        <v>66</v>
      </c>
      <c r="E28" s="37" t="s">
        <v>52</v>
      </c>
      <c r="F28" s="22" t="s">
        <v>81</v>
      </c>
      <c r="G28" s="22" t="s">
        <v>82</v>
      </c>
      <c r="H28" s="1" t="s">
        <v>121</v>
      </c>
      <c r="I28" s="1" t="s">
        <v>122</v>
      </c>
    </row>
    <row r="29" spans="1:9" ht="15.75" customHeight="1" x14ac:dyDescent="0.25">
      <c r="A29" s="29" t="s">
        <v>68</v>
      </c>
      <c r="B29" s="30">
        <v>0.99</v>
      </c>
      <c r="C29" s="30">
        <v>0.99</v>
      </c>
      <c r="D29" s="44">
        <f t="shared" ref="D29:D44" si="2">(C29-B29)*1000</f>
        <v>0</v>
      </c>
      <c r="E29" s="38">
        <f>ROUND(D29*D47,0)</f>
        <v>0</v>
      </c>
      <c r="F29" s="22">
        <v>600</v>
      </c>
      <c r="G29" s="22">
        <f t="shared" ref="G29:G44" si="3">SUM(E29:F29)</f>
        <v>600</v>
      </c>
      <c r="H29" s="22">
        <v>600</v>
      </c>
      <c r="I29" s="1">
        <f t="shared" ref="I29:I45" si="4">G29-H29</f>
        <v>0</v>
      </c>
    </row>
    <row r="30" spans="1:9" ht="15.75" customHeight="1" x14ac:dyDescent="0.25">
      <c r="A30" s="29" t="s">
        <v>70</v>
      </c>
      <c r="B30" s="30">
        <v>1.26</v>
      </c>
      <c r="C30" s="30">
        <v>4.0999999999999996</v>
      </c>
      <c r="D30" s="22">
        <f t="shared" si="2"/>
        <v>2840</v>
      </c>
      <c r="E30" s="38">
        <f>ROUND(D30*D47,0)</f>
        <v>117</v>
      </c>
      <c r="F30" s="22">
        <v>600</v>
      </c>
      <c r="G30" s="22">
        <f t="shared" si="3"/>
        <v>717</v>
      </c>
      <c r="H30" s="22">
        <v>638</v>
      </c>
      <c r="I30" s="1">
        <f t="shared" si="4"/>
        <v>79</v>
      </c>
    </row>
    <row r="31" spans="1:9" ht="15.75" customHeight="1" x14ac:dyDescent="0.25">
      <c r="A31" s="32" t="s">
        <v>16</v>
      </c>
      <c r="B31" s="33">
        <v>71.150000000000006</v>
      </c>
      <c r="C31" s="33">
        <v>72.510000000000005</v>
      </c>
      <c r="D31" s="22">
        <f t="shared" si="2"/>
        <v>1359.9999999999995</v>
      </c>
      <c r="E31" s="39">
        <f>ROUND(D31*D47,0)</f>
        <v>56</v>
      </c>
      <c r="F31" s="22">
        <v>600</v>
      </c>
      <c r="G31" s="22">
        <f t="shared" si="3"/>
        <v>656</v>
      </c>
      <c r="H31" s="22">
        <v>618</v>
      </c>
      <c r="I31" s="1">
        <f t="shared" si="4"/>
        <v>38</v>
      </c>
    </row>
    <row r="32" spans="1:9" ht="15.75" customHeight="1" x14ac:dyDescent="0.25">
      <c r="A32" s="32" t="s">
        <v>13</v>
      </c>
      <c r="B32" s="33">
        <v>51.15</v>
      </c>
      <c r="C32" s="33">
        <v>59.22</v>
      </c>
      <c r="D32" s="22">
        <f t="shared" si="2"/>
        <v>8070</v>
      </c>
      <c r="E32" s="39">
        <f>ROUND(D32*D47,0)</f>
        <v>332</v>
      </c>
      <c r="F32" s="22">
        <v>600</v>
      </c>
      <c r="G32" s="22">
        <f t="shared" si="3"/>
        <v>932</v>
      </c>
      <c r="H32" s="22">
        <v>709</v>
      </c>
      <c r="I32" s="1">
        <f t="shared" si="4"/>
        <v>223</v>
      </c>
    </row>
    <row r="33" spans="1:9" ht="15.75" customHeight="1" x14ac:dyDescent="0.25">
      <c r="A33" s="29">
        <v>101</v>
      </c>
      <c r="B33" s="30">
        <v>0.38</v>
      </c>
      <c r="C33" s="30">
        <v>0.38</v>
      </c>
      <c r="D33" s="22">
        <f t="shared" si="2"/>
        <v>0</v>
      </c>
      <c r="E33" s="38">
        <f>ROUND(D33*D47,0)</f>
        <v>0</v>
      </c>
      <c r="F33" s="22">
        <v>600</v>
      </c>
      <c r="G33" s="22">
        <f t="shared" si="3"/>
        <v>600</v>
      </c>
      <c r="H33" s="22">
        <v>600</v>
      </c>
      <c r="I33" s="1">
        <f t="shared" si="4"/>
        <v>0</v>
      </c>
    </row>
    <row r="34" spans="1:9" ht="15.75" customHeight="1" x14ac:dyDescent="0.25">
      <c r="A34" s="32">
        <v>102</v>
      </c>
      <c r="B34" s="33">
        <v>97.49</v>
      </c>
      <c r="C34" s="33">
        <v>109.4</v>
      </c>
      <c r="D34" s="22">
        <f t="shared" si="2"/>
        <v>11910.000000000011</v>
      </c>
      <c r="E34" s="39">
        <f>ROUND(D34*D47,0)</f>
        <v>490</v>
      </c>
      <c r="F34" s="22">
        <v>600</v>
      </c>
      <c r="G34" s="22">
        <f t="shared" si="3"/>
        <v>1090</v>
      </c>
      <c r="H34" s="22">
        <v>761</v>
      </c>
      <c r="I34" s="1">
        <f t="shared" si="4"/>
        <v>329</v>
      </c>
    </row>
    <row r="35" spans="1:9" ht="15.75" customHeight="1" x14ac:dyDescent="0.25">
      <c r="A35" s="29">
        <v>103</v>
      </c>
      <c r="B35" s="30">
        <v>0.82</v>
      </c>
      <c r="C35" s="30">
        <v>0.82</v>
      </c>
      <c r="D35" s="22">
        <f t="shared" si="2"/>
        <v>0</v>
      </c>
      <c r="E35" s="38">
        <f>ROUND(D35*D47,0)</f>
        <v>0</v>
      </c>
      <c r="F35" s="22">
        <v>600</v>
      </c>
      <c r="G35" s="22">
        <f t="shared" si="3"/>
        <v>600</v>
      </c>
      <c r="H35" s="22">
        <v>600</v>
      </c>
      <c r="I35" s="1">
        <f t="shared" si="4"/>
        <v>0</v>
      </c>
    </row>
    <row r="36" spans="1:9" ht="15.75" customHeight="1" x14ac:dyDescent="0.25">
      <c r="A36" s="32">
        <v>104</v>
      </c>
      <c r="B36" s="45">
        <v>18.850000000000001</v>
      </c>
      <c r="C36" s="45">
        <v>32.22</v>
      </c>
      <c r="D36" s="22">
        <f t="shared" si="2"/>
        <v>13369.999999999998</v>
      </c>
      <c r="E36" s="39">
        <f>ROUND(D36*D47,0)</f>
        <v>550</v>
      </c>
      <c r="F36" s="22">
        <v>600</v>
      </c>
      <c r="G36" s="22">
        <f t="shared" si="3"/>
        <v>1150</v>
      </c>
      <c r="H36" s="22">
        <v>781</v>
      </c>
      <c r="I36" s="1">
        <f t="shared" si="4"/>
        <v>369</v>
      </c>
    </row>
    <row r="37" spans="1:9" ht="15.75" customHeight="1" x14ac:dyDescent="0.25">
      <c r="A37" s="267">
        <v>201</v>
      </c>
      <c r="B37" s="268">
        <v>1.53</v>
      </c>
      <c r="C37" s="268">
        <v>1.53</v>
      </c>
      <c r="D37" s="22">
        <f t="shared" si="2"/>
        <v>0</v>
      </c>
      <c r="E37" s="38">
        <f>ROUND(D37*D47,0)</f>
        <v>0</v>
      </c>
      <c r="F37" s="22">
        <v>600</v>
      </c>
      <c r="G37" s="22">
        <f t="shared" si="3"/>
        <v>600</v>
      </c>
      <c r="H37" s="22">
        <v>600</v>
      </c>
      <c r="I37" s="1">
        <f t="shared" si="4"/>
        <v>0</v>
      </c>
    </row>
    <row r="38" spans="1:9" ht="15.75" customHeight="1" x14ac:dyDescent="0.25">
      <c r="A38" s="32">
        <v>202</v>
      </c>
      <c r="B38" s="33">
        <v>60.08</v>
      </c>
      <c r="C38" s="33">
        <v>67.069999999999993</v>
      </c>
      <c r="D38" s="22">
        <f t="shared" si="2"/>
        <v>6989.9999999999945</v>
      </c>
      <c r="E38" s="39">
        <f>ROUND(D38*D47,0)</f>
        <v>287</v>
      </c>
      <c r="F38" s="22">
        <v>600</v>
      </c>
      <c r="G38" s="22">
        <f t="shared" si="3"/>
        <v>887</v>
      </c>
      <c r="H38" s="22">
        <v>694</v>
      </c>
      <c r="I38" s="1">
        <f t="shared" si="4"/>
        <v>193</v>
      </c>
    </row>
    <row r="39" spans="1:9" ht="15.75" customHeight="1" x14ac:dyDescent="0.25">
      <c r="A39" s="29">
        <v>203</v>
      </c>
      <c r="B39" s="30">
        <v>8.26</v>
      </c>
      <c r="C39" s="30">
        <v>14.76</v>
      </c>
      <c r="D39" s="22">
        <f t="shared" si="2"/>
        <v>6500</v>
      </c>
      <c r="E39" s="38">
        <f>ROUND(D39*D47,0)</f>
        <v>267</v>
      </c>
      <c r="F39" s="22">
        <v>600</v>
      </c>
      <c r="G39" s="22">
        <f t="shared" si="3"/>
        <v>867</v>
      </c>
      <c r="H39" s="22">
        <v>688</v>
      </c>
      <c r="I39" s="1">
        <f t="shared" si="4"/>
        <v>179</v>
      </c>
    </row>
    <row r="40" spans="1:9" ht="15.75" customHeight="1" x14ac:dyDescent="0.25">
      <c r="A40" s="29">
        <v>204</v>
      </c>
      <c r="B40" s="30">
        <v>0.42</v>
      </c>
      <c r="C40" s="30">
        <v>3.93</v>
      </c>
      <c r="D40" s="22">
        <f t="shared" si="2"/>
        <v>3510.0000000000005</v>
      </c>
      <c r="E40" s="38">
        <f>ROUND(D40*D47,0)</f>
        <v>144</v>
      </c>
      <c r="F40" s="22">
        <v>600</v>
      </c>
      <c r="G40" s="22">
        <f t="shared" si="3"/>
        <v>744</v>
      </c>
      <c r="H40" s="22">
        <v>647</v>
      </c>
      <c r="I40" s="1">
        <f t="shared" si="4"/>
        <v>97</v>
      </c>
    </row>
    <row r="41" spans="1:9" ht="15.75" customHeight="1" x14ac:dyDescent="0.25">
      <c r="A41" s="29">
        <v>301</v>
      </c>
      <c r="B41" s="30">
        <v>0.38</v>
      </c>
      <c r="C41" s="30">
        <v>0.38</v>
      </c>
      <c r="D41" s="22">
        <f t="shared" si="2"/>
        <v>0</v>
      </c>
      <c r="E41" s="38">
        <f>ROUND(D41*D47,0)</f>
        <v>0</v>
      </c>
      <c r="F41" s="22">
        <v>600</v>
      </c>
      <c r="G41" s="22">
        <f t="shared" si="3"/>
        <v>600</v>
      </c>
      <c r="H41" s="22">
        <v>600</v>
      </c>
      <c r="I41" s="1">
        <f t="shared" si="4"/>
        <v>0</v>
      </c>
    </row>
    <row r="42" spans="1:9" ht="15.75" customHeight="1" x14ac:dyDescent="0.25">
      <c r="A42" s="29">
        <v>302</v>
      </c>
      <c r="B42" s="30">
        <v>0.38</v>
      </c>
      <c r="C42" s="30">
        <v>0.38</v>
      </c>
      <c r="D42" s="22">
        <f t="shared" si="2"/>
        <v>0</v>
      </c>
      <c r="E42" s="38">
        <f>ROUND(D42*D47,0)</f>
        <v>0</v>
      </c>
      <c r="F42" s="22">
        <v>600</v>
      </c>
      <c r="G42" s="22">
        <f t="shared" si="3"/>
        <v>600</v>
      </c>
      <c r="H42" s="22">
        <v>600</v>
      </c>
      <c r="I42" s="1">
        <f t="shared" si="4"/>
        <v>0</v>
      </c>
    </row>
    <row r="43" spans="1:9" ht="15.75" customHeight="1" x14ac:dyDescent="0.25">
      <c r="A43" s="32">
        <v>303</v>
      </c>
      <c r="B43" s="33">
        <v>146.62</v>
      </c>
      <c r="C43" s="33">
        <v>166.1</v>
      </c>
      <c r="D43" s="22">
        <f t="shared" si="2"/>
        <v>19479.999999999989</v>
      </c>
      <c r="E43" s="39">
        <f>ROUND(D43*D47,0)</f>
        <v>801</v>
      </c>
      <c r="F43" s="22">
        <v>600</v>
      </c>
      <c r="G43" s="22">
        <f t="shared" si="3"/>
        <v>1401</v>
      </c>
      <c r="H43" s="22">
        <v>863</v>
      </c>
      <c r="I43" s="1">
        <f t="shared" si="4"/>
        <v>538</v>
      </c>
    </row>
    <row r="44" spans="1:9" ht="15.75" customHeight="1" x14ac:dyDescent="0.25">
      <c r="A44" s="29">
        <v>304</v>
      </c>
      <c r="B44" s="30">
        <v>0.59</v>
      </c>
      <c r="C44" s="30">
        <v>0.59</v>
      </c>
      <c r="D44" s="22">
        <f t="shared" si="2"/>
        <v>0</v>
      </c>
      <c r="E44" s="38">
        <f>ROUND(D44*D47,0)</f>
        <v>0</v>
      </c>
      <c r="F44" s="22">
        <v>600</v>
      </c>
      <c r="G44" s="22">
        <f t="shared" si="3"/>
        <v>600</v>
      </c>
      <c r="H44" s="22">
        <v>600</v>
      </c>
      <c r="I44" s="1">
        <f t="shared" si="4"/>
        <v>0</v>
      </c>
    </row>
    <row r="45" spans="1:9" ht="15.75" customHeight="1" x14ac:dyDescent="0.25">
      <c r="A45" s="22"/>
      <c r="B45" s="22"/>
      <c r="C45" s="22"/>
      <c r="D45" s="22"/>
      <c r="E45" s="40">
        <v>1000</v>
      </c>
      <c r="F45" s="27">
        <f t="shared" ref="F45:G45" si="5">SUM(F29:F44)</f>
        <v>9600</v>
      </c>
      <c r="G45" s="22">
        <f t="shared" si="5"/>
        <v>12644</v>
      </c>
      <c r="H45" s="22">
        <v>10600</v>
      </c>
      <c r="I45" s="1">
        <f t="shared" si="4"/>
        <v>2044</v>
      </c>
    </row>
    <row r="46" spans="1:9" ht="15.75" customHeight="1" x14ac:dyDescent="0.25">
      <c r="A46" s="22"/>
      <c r="B46" s="22" t="s">
        <v>75</v>
      </c>
      <c r="C46" s="22"/>
      <c r="D46" s="44">
        <f>SUM(D29:D45)</f>
        <v>74029.999999999985</v>
      </c>
      <c r="E46" s="41"/>
      <c r="F46" s="22"/>
      <c r="G46" s="22"/>
    </row>
    <row r="47" spans="1:9" ht="15.75" customHeight="1" x14ac:dyDescent="0.25">
      <c r="A47" s="22"/>
      <c r="B47" s="22" t="s">
        <v>84</v>
      </c>
      <c r="C47" s="22"/>
      <c r="D47" s="22">
        <f>B50/D46</f>
        <v>4.1118465486964753E-2</v>
      </c>
      <c r="E47" s="41"/>
      <c r="F47" s="22"/>
      <c r="G47" s="22"/>
    </row>
    <row r="50" spans="1:3" ht="15.75" customHeight="1" x14ac:dyDescent="0.25">
      <c r="A50" s="22" t="s">
        <v>85</v>
      </c>
      <c r="B50" s="30">
        <f>1000+2044</f>
        <v>3044</v>
      </c>
      <c r="C50" s="30"/>
    </row>
    <row r="51" spans="1:3" ht="15.75" customHeight="1" x14ac:dyDescent="0.25">
      <c r="A51" s="1" t="s">
        <v>120</v>
      </c>
      <c r="C51" s="1">
        <v>1000</v>
      </c>
    </row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I51"/>
  <sheetViews>
    <sheetView topLeftCell="A26" workbookViewId="0">
      <selection activeCell="A37" activeCellId="1" sqref="A11:C11 A37:C37"/>
    </sheetView>
  </sheetViews>
  <sheetFormatPr defaultColWidth="14.42578125" defaultRowHeight="15" customHeight="1" x14ac:dyDescent="0.25"/>
  <cols>
    <col min="1" max="1" width="11.7109375" customWidth="1"/>
    <col min="2" max="2" width="19.140625" customWidth="1"/>
    <col min="3" max="3" width="17.7109375" customWidth="1"/>
    <col min="4" max="4" width="10.42578125" customWidth="1"/>
    <col min="5" max="5" width="13.28515625" customWidth="1"/>
    <col min="6" max="6" width="16.85546875" customWidth="1"/>
    <col min="7" max="7" width="11.42578125" customWidth="1"/>
    <col min="8" max="9" width="7.5703125" customWidth="1"/>
  </cols>
  <sheetData>
    <row r="2" spans="1:7" x14ac:dyDescent="0.25">
      <c r="A2" s="27" t="s">
        <v>64</v>
      </c>
      <c r="B2" s="27" t="s">
        <v>80</v>
      </c>
      <c r="C2" s="27" t="s">
        <v>65</v>
      </c>
      <c r="D2" s="27" t="s">
        <v>66</v>
      </c>
      <c r="E2" s="37" t="s">
        <v>52</v>
      </c>
      <c r="F2" s="22" t="s">
        <v>81</v>
      </c>
      <c r="G2" s="22" t="s">
        <v>82</v>
      </c>
    </row>
    <row r="3" spans="1:7" x14ac:dyDescent="0.25">
      <c r="A3" s="29" t="s">
        <v>68</v>
      </c>
      <c r="B3" s="30">
        <v>0.99</v>
      </c>
      <c r="C3" s="30">
        <v>0.99</v>
      </c>
      <c r="D3" s="44">
        <f t="shared" ref="D3:D18" si="0">(C3-B3)*1000</f>
        <v>0</v>
      </c>
      <c r="E3" s="38">
        <f>ROUND(D3*D21,0)</f>
        <v>0</v>
      </c>
      <c r="F3" s="22">
        <v>600</v>
      </c>
      <c r="G3" s="22">
        <f t="shared" ref="G3:G19" si="1">SUM(E3:F3)</f>
        <v>600</v>
      </c>
    </row>
    <row r="4" spans="1:7" x14ac:dyDescent="0.25">
      <c r="A4" s="29" t="s">
        <v>70</v>
      </c>
      <c r="B4" s="30">
        <v>4.0999999999999996</v>
      </c>
      <c r="C4" s="30">
        <v>12.49</v>
      </c>
      <c r="D4" s="22">
        <f t="shared" si="0"/>
        <v>8390</v>
      </c>
      <c r="E4" s="38">
        <f>ROUND(D4*D21,0)</f>
        <v>488</v>
      </c>
      <c r="F4" s="22">
        <v>1000</v>
      </c>
      <c r="G4" s="22">
        <f t="shared" si="1"/>
        <v>1488</v>
      </c>
    </row>
    <row r="5" spans="1:7" x14ac:dyDescent="0.25">
      <c r="A5" s="32" t="s">
        <v>16</v>
      </c>
      <c r="B5" s="33">
        <v>72.510000000000005</v>
      </c>
      <c r="C5" s="33">
        <v>72.510000000000005</v>
      </c>
      <c r="D5" s="22">
        <f t="shared" si="0"/>
        <v>0</v>
      </c>
      <c r="E5" s="39">
        <f>ROUND(D5*D21,0)</f>
        <v>0</v>
      </c>
      <c r="F5" s="22">
        <v>1000</v>
      </c>
      <c r="G5" s="22">
        <f t="shared" si="1"/>
        <v>1000</v>
      </c>
    </row>
    <row r="6" spans="1:7" x14ac:dyDescent="0.25">
      <c r="A6" s="32" t="s">
        <v>13</v>
      </c>
      <c r="B6" s="33">
        <v>59.22</v>
      </c>
      <c r="C6" s="33">
        <v>66.77</v>
      </c>
      <c r="D6" s="22">
        <f t="shared" si="0"/>
        <v>7549.9999999999973</v>
      </c>
      <c r="E6" s="39">
        <f>ROUND(D6*D21,0)</f>
        <v>439</v>
      </c>
      <c r="F6" s="22">
        <v>1000</v>
      </c>
      <c r="G6" s="22">
        <f t="shared" si="1"/>
        <v>1439</v>
      </c>
    </row>
    <row r="7" spans="1:7" x14ac:dyDescent="0.25">
      <c r="A7" s="29">
        <v>101</v>
      </c>
      <c r="B7" s="30">
        <v>0.38</v>
      </c>
      <c r="C7" s="30">
        <v>0.38</v>
      </c>
      <c r="D7" s="22">
        <f t="shared" si="0"/>
        <v>0</v>
      </c>
      <c r="E7" s="38">
        <f>ROUND(D7*D21,0)</f>
        <v>0</v>
      </c>
      <c r="F7" s="22">
        <v>600</v>
      </c>
      <c r="G7" s="22">
        <f t="shared" si="1"/>
        <v>600</v>
      </c>
    </row>
    <row r="8" spans="1:7" x14ac:dyDescent="0.25">
      <c r="A8" s="32">
        <v>102</v>
      </c>
      <c r="B8" s="33">
        <v>109.4</v>
      </c>
      <c r="C8" s="33">
        <v>119.75</v>
      </c>
      <c r="D8" s="22">
        <f t="shared" si="0"/>
        <v>10349.999999999995</v>
      </c>
      <c r="E8" s="39">
        <f>ROUND(D8*D21,0)</f>
        <v>602</v>
      </c>
      <c r="F8" s="22">
        <v>1000</v>
      </c>
      <c r="G8" s="22">
        <f t="shared" si="1"/>
        <v>1602</v>
      </c>
    </row>
    <row r="9" spans="1:7" x14ac:dyDescent="0.25">
      <c r="A9" s="29">
        <v>103</v>
      </c>
      <c r="B9" s="30">
        <v>0.82</v>
      </c>
      <c r="C9" s="30">
        <v>0.83</v>
      </c>
      <c r="D9" s="22">
        <f t="shared" si="0"/>
        <v>10.000000000000009</v>
      </c>
      <c r="E9" s="38">
        <f>ROUND(D9*D21,0)</f>
        <v>1</v>
      </c>
      <c r="F9" s="22">
        <v>1000</v>
      </c>
      <c r="G9" s="22">
        <f t="shared" si="1"/>
        <v>1001</v>
      </c>
    </row>
    <row r="10" spans="1:7" x14ac:dyDescent="0.25">
      <c r="A10" s="32">
        <v>104</v>
      </c>
      <c r="B10" s="45">
        <v>32.22</v>
      </c>
      <c r="C10" s="45">
        <v>38.01</v>
      </c>
      <c r="D10" s="22">
        <f t="shared" si="0"/>
        <v>5789.9999999999991</v>
      </c>
      <c r="E10" s="39">
        <f>ROUND(D10*D21,0)</f>
        <v>337</v>
      </c>
      <c r="F10" s="22">
        <v>1000</v>
      </c>
      <c r="G10" s="22">
        <f t="shared" si="1"/>
        <v>1337</v>
      </c>
    </row>
    <row r="11" spans="1:7" x14ac:dyDescent="0.25">
      <c r="A11" s="267">
        <v>201</v>
      </c>
      <c r="B11" s="268">
        <v>1.53</v>
      </c>
      <c r="C11" s="268">
        <v>1.53</v>
      </c>
      <c r="D11" s="22">
        <f t="shared" si="0"/>
        <v>0</v>
      </c>
      <c r="E11" s="38">
        <f>ROUND(D11*D21,0)</f>
        <v>0</v>
      </c>
      <c r="F11" s="22">
        <v>600</v>
      </c>
      <c r="G11" s="22">
        <f t="shared" si="1"/>
        <v>600</v>
      </c>
    </row>
    <row r="12" spans="1:7" x14ac:dyDescent="0.25">
      <c r="A12" s="32">
        <v>202</v>
      </c>
      <c r="B12" s="33">
        <v>67.069999999999993</v>
      </c>
      <c r="C12" s="33">
        <v>75.680000000000007</v>
      </c>
      <c r="D12" s="22">
        <f t="shared" si="0"/>
        <v>8610.0000000000146</v>
      </c>
      <c r="E12" s="39">
        <f>ROUND(D12*D21,0)</f>
        <v>501</v>
      </c>
      <c r="F12" s="22">
        <v>1000</v>
      </c>
      <c r="G12" s="22">
        <f t="shared" si="1"/>
        <v>1501</v>
      </c>
    </row>
    <row r="13" spans="1:7" x14ac:dyDescent="0.25">
      <c r="A13" s="29">
        <v>203</v>
      </c>
      <c r="B13" s="30">
        <v>14.76</v>
      </c>
      <c r="C13" s="30">
        <v>17.03</v>
      </c>
      <c r="D13" s="22">
        <f t="shared" si="0"/>
        <v>2270.0000000000014</v>
      </c>
      <c r="E13" s="38">
        <f>ROUND(D13*D21,0)</f>
        <v>132</v>
      </c>
      <c r="F13" s="22">
        <v>1000</v>
      </c>
      <c r="G13" s="22">
        <f t="shared" si="1"/>
        <v>1132</v>
      </c>
    </row>
    <row r="14" spans="1:7" x14ac:dyDescent="0.25">
      <c r="A14" s="29">
        <v>204</v>
      </c>
      <c r="B14" s="30">
        <v>3.93</v>
      </c>
      <c r="C14" s="30">
        <v>10.85</v>
      </c>
      <c r="D14" s="22">
        <f t="shared" si="0"/>
        <v>6920</v>
      </c>
      <c r="E14" s="38">
        <f>ROUND(D14*D21,0)</f>
        <v>403</v>
      </c>
      <c r="F14" s="22">
        <v>1000</v>
      </c>
      <c r="G14" s="22">
        <f t="shared" si="1"/>
        <v>1403</v>
      </c>
    </row>
    <row r="15" spans="1:7" x14ac:dyDescent="0.25">
      <c r="A15" s="29">
        <v>301</v>
      </c>
      <c r="B15" s="30">
        <v>0.38</v>
      </c>
      <c r="C15" s="30">
        <v>0.38</v>
      </c>
      <c r="D15" s="22">
        <f t="shared" si="0"/>
        <v>0</v>
      </c>
      <c r="E15" s="38">
        <f>ROUND(D15*D21,0)</f>
        <v>0</v>
      </c>
      <c r="F15" s="22">
        <v>600</v>
      </c>
      <c r="G15" s="22">
        <f t="shared" si="1"/>
        <v>600</v>
      </c>
    </row>
    <row r="16" spans="1:7" x14ac:dyDescent="0.25">
      <c r="A16" s="29">
        <v>302</v>
      </c>
      <c r="B16" s="30">
        <v>0.38</v>
      </c>
      <c r="C16" s="30">
        <v>0.38</v>
      </c>
      <c r="D16" s="22">
        <f t="shared" si="0"/>
        <v>0</v>
      </c>
      <c r="E16" s="38">
        <f>ROUND(D16*D21,0)</f>
        <v>0</v>
      </c>
      <c r="F16" s="22">
        <v>600</v>
      </c>
      <c r="G16" s="22">
        <f t="shared" si="1"/>
        <v>600</v>
      </c>
    </row>
    <row r="17" spans="1:9" x14ac:dyDescent="0.25">
      <c r="A17" s="32">
        <v>303</v>
      </c>
      <c r="B17" s="33">
        <v>166.1</v>
      </c>
      <c r="C17" s="33">
        <v>184.96</v>
      </c>
      <c r="D17" s="22">
        <f t="shared" si="0"/>
        <v>18860.000000000015</v>
      </c>
      <c r="E17" s="39">
        <f>ROUND(D17*D21,0)</f>
        <v>1097</v>
      </c>
      <c r="F17" s="22">
        <v>1000</v>
      </c>
      <c r="G17" s="22">
        <f t="shared" si="1"/>
        <v>2097</v>
      </c>
    </row>
    <row r="18" spans="1:9" x14ac:dyDescent="0.25">
      <c r="A18" s="29">
        <v>304</v>
      </c>
      <c r="B18" s="30">
        <v>0.59</v>
      </c>
      <c r="C18" s="30">
        <v>0.59</v>
      </c>
      <c r="D18" s="22">
        <f t="shared" si="0"/>
        <v>0</v>
      </c>
      <c r="E18" s="38">
        <f>ROUND(D18*D21,0)</f>
        <v>0</v>
      </c>
      <c r="F18" s="22">
        <v>600</v>
      </c>
      <c r="G18" s="22">
        <f t="shared" si="1"/>
        <v>600</v>
      </c>
    </row>
    <row r="19" spans="1:9" x14ac:dyDescent="0.25">
      <c r="A19" s="22"/>
      <c r="B19" s="22"/>
      <c r="C19" s="22"/>
      <c r="D19" s="22"/>
      <c r="E19" s="40">
        <f t="shared" ref="E19:F19" si="2">SUM(E3:E18)</f>
        <v>4000</v>
      </c>
      <c r="F19" s="27">
        <f t="shared" si="2"/>
        <v>13600</v>
      </c>
      <c r="G19" s="22">
        <f t="shared" si="1"/>
        <v>17600</v>
      </c>
    </row>
    <row r="20" spans="1:9" x14ac:dyDescent="0.25">
      <c r="A20" s="22"/>
      <c r="B20" s="22" t="s">
        <v>75</v>
      </c>
      <c r="C20" s="22"/>
      <c r="D20" s="44">
        <f>SUM(D3:D19)</f>
        <v>68750.000000000029</v>
      </c>
      <c r="E20" s="41"/>
      <c r="F20" s="22"/>
      <c r="G20" s="22"/>
    </row>
    <row r="21" spans="1:9" ht="15.75" customHeight="1" x14ac:dyDescent="0.25">
      <c r="A21" s="22"/>
      <c r="B21" s="22" t="s">
        <v>84</v>
      </c>
      <c r="C21" s="22"/>
      <c r="D21" s="22">
        <f>B24/D20</f>
        <v>5.8181818181818154E-2</v>
      </c>
      <c r="E21" s="41"/>
      <c r="F21" s="22"/>
      <c r="G21" s="22"/>
    </row>
    <row r="22" spans="1:9" ht="15.75" customHeight="1" x14ac:dyDescent="0.25">
      <c r="A22" s="22"/>
      <c r="B22" s="22"/>
      <c r="C22" s="22"/>
      <c r="D22" s="22"/>
      <c r="E22" s="41"/>
      <c r="F22" s="22"/>
      <c r="G22" s="22"/>
    </row>
    <row r="23" spans="1:9" ht="15.75" customHeight="1" x14ac:dyDescent="0.25">
      <c r="A23" s="22"/>
      <c r="B23" s="22"/>
      <c r="C23" s="22"/>
      <c r="D23" s="22"/>
      <c r="E23" s="41"/>
      <c r="F23" s="22"/>
      <c r="G23" s="22"/>
    </row>
    <row r="24" spans="1:9" ht="15.75" customHeight="1" x14ac:dyDescent="0.25">
      <c r="A24" s="22" t="s">
        <v>85</v>
      </c>
      <c r="B24" s="30">
        <v>4000</v>
      </c>
      <c r="C24" s="30"/>
      <c r="D24" s="22"/>
      <c r="E24" s="41"/>
      <c r="F24" s="22"/>
      <c r="G24" s="22"/>
    </row>
    <row r="25" spans="1:9" ht="30" customHeight="1" x14ac:dyDescent="0.25">
      <c r="A25" s="47" t="s">
        <v>123</v>
      </c>
      <c r="C25" s="1">
        <v>4000</v>
      </c>
    </row>
    <row r="26" spans="1:9" ht="15.75" customHeight="1" x14ac:dyDescent="0.25">
      <c r="A26" s="46"/>
      <c r="B26" s="46"/>
      <c r="C26" s="46"/>
      <c r="D26" s="46"/>
      <c r="E26" s="46"/>
      <c r="F26" s="46"/>
      <c r="G26" s="46"/>
    </row>
    <row r="27" spans="1:9" ht="15.75" customHeight="1" x14ac:dyDescent="0.25"/>
    <row r="28" spans="1:9" ht="15.75" customHeight="1" x14ac:dyDescent="0.25">
      <c r="A28" s="27" t="s">
        <v>64</v>
      </c>
      <c r="B28" s="27" t="s">
        <v>80</v>
      </c>
      <c r="C28" s="27" t="s">
        <v>65</v>
      </c>
      <c r="D28" s="27" t="s">
        <v>66</v>
      </c>
      <c r="E28" s="37" t="s">
        <v>52</v>
      </c>
      <c r="F28" s="22" t="s">
        <v>81</v>
      </c>
      <c r="G28" s="22" t="s">
        <v>82</v>
      </c>
      <c r="H28" s="1" t="s">
        <v>121</v>
      </c>
      <c r="I28" s="1" t="s">
        <v>122</v>
      </c>
    </row>
    <row r="29" spans="1:9" ht="15.75" customHeight="1" x14ac:dyDescent="0.25">
      <c r="A29" s="29" t="s">
        <v>68</v>
      </c>
      <c r="B29" s="30">
        <v>0.99</v>
      </c>
      <c r="C29" s="30">
        <v>0.99</v>
      </c>
      <c r="D29" s="44">
        <f t="shared" ref="D29:D44" si="3">(C29-B29)*1000</f>
        <v>0</v>
      </c>
      <c r="E29" s="38">
        <f>ROUND(D29*D47,0)</f>
        <v>0</v>
      </c>
      <c r="F29" s="22">
        <v>600</v>
      </c>
      <c r="G29" s="22">
        <f t="shared" ref="G29:G45" si="4">SUM(E29:F29)</f>
        <v>600</v>
      </c>
      <c r="H29" s="1">
        <v>600</v>
      </c>
      <c r="I29" s="1">
        <f t="shared" ref="I29:I45" si="5">G29-H29</f>
        <v>0</v>
      </c>
    </row>
    <row r="30" spans="1:9" ht="15.75" customHeight="1" x14ac:dyDescent="0.25">
      <c r="A30" s="29" t="s">
        <v>70</v>
      </c>
      <c r="B30" s="30">
        <v>4.0999999999999996</v>
      </c>
      <c r="C30" s="30">
        <v>12.49</v>
      </c>
      <c r="D30" s="22">
        <f t="shared" si="3"/>
        <v>8390</v>
      </c>
      <c r="E30" s="38">
        <f>ROUND(D30*D47,0)</f>
        <v>738</v>
      </c>
      <c r="F30" s="22">
        <v>1000</v>
      </c>
      <c r="G30" s="22">
        <f t="shared" si="4"/>
        <v>1738</v>
      </c>
      <c r="H30" s="1">
        <v>1488</v>
      </c>
      <c r="I30" s="1">
        <f t="shared" si="5"/>
        <v>250</v>
      </c>
    </row>
    <row r="31" spans="1:9" ht="15.75" customHeight="1" x14ac:dyDescent="0.25">
      <c r="A31" s="32" t="s">
        <v>16</v>
      </c>
      <c r="B31" s="33">
        <v>72.510000000000005</v>
      </c>
      <c r="C31" s="33">
        <v>72.510000000000005</v>
      </c>
      <c r="D31" s="22">
        <f t="shared" si="3"/>
        <v>0</v>
      </c>
      <c r="E31" s="39">
        <f>ROUND(D31*D47,0)</f>
        <v>0</v>
      </c>
      <c r="F31" s="22">
        <v>1000</v>
      </c>
      <c r="G31" s="22">
        <f t="shared" si="4"/>
        <v>1000</v>
      </c>
      <c r="H31" s="1">
        <v>1000</v>
      </c>
      <c r="I31" s="1">
        <f t="shared" si="5"/>
        <v>0</v>
      </c>
    </row>
    <row r="32" spans="1:9" ht="15.75" customHeight="1" x14ac:dyDescent="0.25">
      <c r="A32" s="32" t="s">
        <v>13</v>
      </c>
      <c r="B32" s="33">
        <v>59.22</v>
      </c>
      <c r="C32" s="33">
        <v>66.77</v>
      </c>
      <c r="D32" s="22">
        <f t="shared" si="3"/>
        <v>7549.9999999999973</v>
      </c>
      <c r="E32" s="39">
        <f>ROUND(D32*D47,0)</f>
        <v>664</v>
      </c>
      <c r="F32" s="22">
        <v>1000</v>
      </c>
      <c r="G32" s="22">
        <f t="shared" si="4"/>
        <v>1664</v>
      </c>
      <c r="H32" s="1">
        <v>1439</v>
      </c>
      <c r="I32" s="1">
        <f t="shared" si="5"/>
        <v>225</v>
      </c>
    </row>
    <row r="33" spans="1:9" ht="15.75" customHeight="1" x14ac:dyDescent="0.25">
      <c r="A33" s="29">
        <v>101</v>
      </c>
      <c r="B33" s="30">
        <v>0.38</v>
      </c>
      <c r="C33" s="30">
        <v>0.38</v>
      </c>
      <c r="D33" s="22">
        <f t="shared" si="3"/>
        <v>0</v>
      </c>
      <c r="E33" s="38">
        <f>ROUND(D33*D47,0)</f>
        <v>0</v>
      </c>
      <c r="F33" s="22">
        <v>600</v>
      </c>
      <c r="G33" s="22">
        <f t="shared" si="4"/>
        <v>600</v>
      </c>
      <c r="H33" s="1">
        <v>600</v>
      </c>
      <c r="I33" s="1">
        <f t="shared" si="5"/>
        <v>0</v>
      </c>
    </row>
    <row r="34" spans="1:9" ht="15.75" customHeight="1" x14ac:dyDescent="0.25">
      <c r="A34" s="32">
        <v>102</v>
      </c>
      <c r="B34" s="33">
        <v>109.4</v>
      </c>
      <c r="C34" s="33">
        <v>119.75</v>
      </c>
      <c r="D34" s="22">
        <f t="shared" si="3"/>
        <v>10349.999999999995</v>
      </c>
      <c r="E34" s="39">
        <f>ROUND(D34*D47,0)</f>
        <v>910</v>
      </c>
      <c r="F34" s="22">
        <v>1000</v>
      </c>
      <c r="G34" s="22">
        <f t="shared" si="4"/>
        <v>1910</v>
      </c>
      <c r="H34" s="1">
        <v>1602</v>
      </c>
      <c r="I34" s="1">
        <f t="shared" si="5"/>
        <v>308</v>
      </c>
    </row>
    <row r="35" spans="1:9" ht="15.75" customHeight="1" x14ac:dyDescent="0.25">
      <c r="A35" s="29">
        <v>103</v>
      </c>
      <c r="B35" s="30">
        <v>0.82</v>
      </c>
      <c r="C35" s="30">
        <v>0.83</v>
      </c>
      <c r="D35" s="22">
        <f t="shared" si="3"/>
        <v>10.000000000000009</v>
      </c>
      <c r="E35" s="38">
        <f>ROUND(D35*D47,0)</f>
        <v>1</v>
      </c>
      <c r="F35" s="22">
        <v>1000</v>
      </c>
      <c r="G35" s="22">
        <f t="shared" si="4"/>
        <v>1001</v>
      </c>
      <c r="H35" s="1">
        <v>1001</v>
      </c>
      <c r="I35" s="1">
        <f t="shared" si="5"/>
        <v>0</v>
      </c>
    </row>
    <row r="36" spans="1:9" ht="15.75" customHeight="1" x14ac:dyDescent="0.25">
      <c r="A36" s="32">
        <v>104</v>
      </c>
      <c r="B36" s="45">
        <v>32.22</v>
      </c>
      <c r="C36" s="45">
        <v>38.01</v>
      </c>
      <c r="D36" s="22">
        <f t="shared" si="3"/>
        <v>5789.9999999999991</v>
      </c>
      <c r="E36" s="39">
        <f>ROUND(D36*D47,0)</f>
        <v>509</v>
      </c>
      <c r="F36" s="22">
        <v>1000</v>
      </c>
      <c r="G36" s="22">
        <f t="shared" si="4"/>
        <v>1509</v>
      </c>
      <c r="H36" s="1">
        <v>1337</v>
      </c>
      <c r="I36" s="1">
        <f t="shared" si="5"/>
        <v>172</v>
      </c>
    </row>
    <row r="37" spans="1:9" ht="15.75" customHeight="1" x14ac:dyDescent="0.25">
      <c r="A37" s="267">
        <v>201</v>
      </c>
      <c r="B37" s="268">
        <v>1.53</v>
      </c>
      <c r="C37" s="268">
        <v>1.53</v>
      </c>
      <c r="D37" s="22">
        <f t="shared" si="3"/>
        <v>0</v>
      </c>
      <c r="E37" s="38">
        <f>ROUND(D37*D47,0)</f>
        <v>0</v>
      </c>
      <c r="F37" s="22">
        <v>600</v>
      </c>
      <c r="G37" s="22">
        <f t="shared" si="4"/>
        <v>600</v>
      </c>
      <c r="H37" s="1">
        <v>600</v>
      </c>
      <c r="I37" s="1">
        <f t="shared" si="5"/>
        <v>0</v>
      </c>
    </row>
    <row r="38" spans="1:9" ht="15.75" customHeight="1" x14ac:dyDescent="0.25">
      <c r="A38" s="32">
        <v>202</v>
      </c>
      <c r="B38" s="33">
        <v>67.069999999999993</v>
      </c>
      <c r="C38" s="33">
        <v>75.680000000000007</v>
      </c>
      <c r="D38" s="22">
        <f t="shared" si="3"/>
        <v>8610.0000000000146</v>
      </c>
      <c r="E38" s="39">
        <f>ROUND(D38*D47,0)</f>
        <v>757</v>
      </c>
      <c r="F38" s="22">
        <v>1000</v>
      </c>
      <c r="G38" s="22">
        <f t="shared" si="4"/>
        <v>1757</v>
      </c>
      <c r="H38" s="1">
        <v>1501</v>
      </c>
      <c r="I38" s="1">
        <f t="shared" si="5"/>
        <v>256</v>
      </c>
    </row>
    <row r="39" spans="1:9" ht="15.75" customHeight="1" x14ac:dyDescent="0.25">
      <c r="A39" s="29">
        <v>203</v>
      </c>
      <c r="B39" s="30">
        <v>14.76</v>
      </c>
      <c r="C39" s="30">
        <v>17.03</v>
      </c>
      <c r="D39" s="22">
        <f t="shared" si="3"/>
        <v>2270.0000000000014</v>
      </c>
      <c r="E39" s="38">
        <f>ROUND(D39*D47,0)</f>
        <v>200</v>
      </c>
      <c r="F39" s="22">
        <v>1000</v>
      </c>
      <c r="G39" s="22">
        <f t="shared" si="4"/>
        <v>1200</v>
      </c>
      <c r="H39" s="1">
        <v>1132</v>
      </c>
      <c r="I39" s="1">
        <f t="shared" si="5"/>
        <v>68</v>
      </c>
    </row>
    <row r="40" spans="1:9" ht="15.75" customHeight="1" x14ac:dyDescent="0.25">
      <c r="A40" s="29">
        <v>204</v>
      </c>
      <c r="B40" s="30">
        <v>3.93</v>
      </c>
      <c r="C40" s="30">
        <v>10.85</v>
      </c>
      <c r="D40" s="22">
        <f t="shared" si="3"/>
        <v>6920</v>
      </c>
      <c r="E40" s="38">
        <f>ROUND(D40*D47,0)</f>
        <v>608</v>
      </c>
      <c r="F40" s="22">
        <v>1000</v>
      </c>
      <c r="G40" s="22">
        <f t="shared" si="4"/>
        <v>1608</v>
      </c>
      <c r="H40" s="1">
        <v>1403</v>
      </c>
      <c r="I40" s="1">
        <f t="shared" si="5"/>
        <v>205</v>
      </c>
    </row>
    <row r="41" spans="1:9" ht="15.75" customHeight="1" x14ac:dyDescent="0.25">
      <c r="A41" s="29">
        <v>301</v>
      </c>
      <c r="B41" s="30">
        <v>0.38</v>
      </c>
      <c r="C41" s="30">
        <v>0.38</v>
      </c>
      <c r="D41" s="22">
        <f t="shared" si="3"/>
        <v>0</v>
      </c>
      <c r="E41" s="38">
        <f>ROUND(D41*D47,0)</f>
        <v>0</v>
      </c>
      <c r="F41" s="22">
        <v>600</v>
      </c>
      <c r="G41" s="22">
        <f t="shared" si="4"/>
        <v>600</v>
      </c>
      <c r="H41" s="1">
        <v>600</v>
      </c>
      <c r="I41" s="1">
        <f t="shared" si="5"/>
        <v>0</v>
      </c>
    </row>
    <row r="42" spans="1:9" ht="15.75" customHeight="1" x14ac:dyDescent="0.25">
      <c r="A42" s="29">
        <v>302</v>
      </c>
      <c r="B42" s="30">
        <v>0.38</v>
      </c>
      <c r="C42" s="30">
        <v>0.38</v>
      </c>
      <c r="D42" s="22">
        <f t="shared" si="3"/>
        <v>0</v>
      </c>
      <c r="E42" s="38">
        <f>ROUND(D42*D47,0)</f>
        <v>0</v>
      </c>
      <c r="F42" s="22">
        <v>600</v>
      </c>
      <c r="G42" s="22">
        <f t="shared" si="4"/>
        <v>600</v>
      </c>
      <c r="H42" s="1">
        <v>600</v>
      </c>
      <c r="I42" s="1">
        <f t="shared" si="5"/>
        <v>0</v>
      </c>
    </row>
    <row r="43" spans="1:9" ht="15.75" customHeight="1" x14ac:dyDescent="0.25">
      <c r="A43" s="32">
        <v>303</v>
      </c>
      <c r="B43" s="33">
        <v>166.1</v>
      </c>
      <c r="C43" s="33">
        <v>184.96</v>
      </c>
      <c r="D43" s="22">
        <f t="shared" si="3"/>
        <v>18860.000000000015</v>
      </c>
      <c r="E43" s="39">
        <f>ROUND(D43*D47,0)</f>
        <v>1658</v>
      </c>
      <c r="F43" s="22">
        <v>1000</v>
      </c>
      <c r="G43" s="22">
        <f t="shared" si="4"/>
        <v>2658</v>
      </c>
      <c r="H43" s="1">
        <v>2097</v>
      </c>
      <c r="I43" s="1">
        <f t="shared" si="5"/>
        <v>561</v>
      </c>
    </row>
    <row r="44" spans="1:9" ht="15.75" customHeight="1" x14ac:dyDescent="0.25">
      <c r="A44" s="29">
        <v>304</v>
      </c>
      <c r="B44" s="30">
        <v>0.59</v>
      </c>
      <c r="C44" s="30">
        <v>0.59</v>
      </c>
      <c r="D44" s="22">
        <f t="shared" si="3"/>
        <v>0</v>
      </c>
      <c r="E44" s="38">
        <f>ROUND(D44*D47,0)</f>
        <v>0</v>
      </c>
      <c r="F44" s="22">
        <v>600</v>
      </c>
      <c r="G44" s="22">
        <f t="shared" si="4"/>
        <v>600</v>
      </c>
      <c r="H44" s="1">
        <v>600</v>
      </c>
      <c r="I44" s="1">
        <f t="shared" si="5"/>
        <v>0</v>
      </c>
    </row>
    <row r="45" spans="1:9" ht="15.75" customHeight="1" x14ac:dyDescent="0.25">
      <c r="A45" s="22"/>
      <c r="B45" s="22"/>
      <c r="C45" s="22"/>
      <c r="D45" s="22"/>
      <c r="E45" s="40">
        <f t="shared" ref="E45:F45" si="6">SUM(E29:E44)</f>
        <v>6045</v>
      </c>
      <c r="F45" s="27">
        <f t="shared" si="6"/>
        <v>13600</v>
      </c>
      <c r="G45" s="22">
        <f t="shared" si="4"/>
        <v>19645</v>
      </c>
      <c r="H45" s="1">
        <v>17600</v>
      </c>
      <c r="I45" s="1">
        <f t="shared" si="5"/>
        <v>2045</v>
      </c>
    </row>
    <row r="46" spans="1:9" ht="15.75" customHeight="1" x14ac:dyDescent="0.25">
      <c r="A46" s="22"/>
      <c r="B46" s="22" t="s">
        <v>75</v>
      </c>
      <c r="C46" s="22"/>
      <c r="D46" s="44">
        <f>SUM(D29:D45)</f>
        <v>68750.000000000029</v>
      </c>
      <c r="E46" s="41"/>
      <c r="F46" s="22"/>
      <c r="G46" s="22"/>
    </row>
    <row r="47" spans="1:9" ht="15.75" customHeight="1" x14ac:dyDescent="0.25">
      <c r="A47" s="22"/>
      <c r="B47" s="22" t="s">
        <v>84</v>
      </c>
      <c r="C47" s="22"/>
      <c r="D47" s="22">
        <f>B50/D46</f>
        <v>8.791272727272724E-2</v>
      </c>
      <c r="E47" s="41"/>
      <c r="F47" s="22"/>
      <c r="G47" s="22"/>
    </row>
    <row r="50" spans="1:3" ht="15.75" customHeight="1" x14ac:dyDescent="0.25">
      <c r="A50" s="22" t="s">
        <v>85</v>
      </c>
      <c r="B50" s="30">
        <f>4000+2044</f>
        <v>6044</v>
      </c>
      <c r="C50" s="30"/>
    </row>
    <row r="51" spans="1:3" ht="30" customHeight="1" x14ac:dyDescent="0.25">
      <c r="A51" s="47" t="s">
        <v>123</v>
      </c>
      <c r="C51" s="1">
        <v>4000</v>
      </c>
    </row>
  </sheetData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J51"/>
  <sheetViews>
    <sheetView topLeftCell="A26" workbookViewId="0">
      <selection activeCell="A37" activeCellId="3" sqref="I4 I8 A11:C11 A37:C37"/>
    </sheetView>
  </sheetViews>
  <sheetFormatPr defaultColWidth="14.42578125" defaultRowHeight="15" customHeight="1" x14ac:dyDescent="0.25"/>
  <cols>
    <col min="1" max="1" width="13.140625" customWidth="1"/>
    <col min="2" max="2" width="17.85546875" customWidth="1"/>
    <col min="3" max="3" width="19.42578125" customWidth="1"/>
    <col min="4" max="4" width="13.7109375" customWidth="1"/>
    <col min="5" max="5" width="10.140625" customWidth="1"/>
    <col min="6" max="6" width="16.28515625" customWidth="1"/>
    <col min="7" max="7" width="28.42578125" customWidth="1"/>
    <col min="8" max="8" width="10.42578125" customWidth="1"/>
    <col min="9" max="9" width="28.85546875" customWidth="1"/>
    <col min="10" max="10" width="7.5703125" customWidth="1"/>
  </cols>
  <sheetData>
    <row r="2" spans="1:9" x14ac:dyDescent="0.25">
      <c r="A2" s="27" t="s">
        <v>64</v>
      </c>
      <c r="B2" s="27" t="s">
        <v>80</v>
      </c>
      <c r="C2" s="27" t="s">
        <v>65</v>
      </c>
      <c r="D2" s="27" t="s">
        <v>66</v>
      </c>
      <c r="E2" s="37" t="s">
        <v>52</v>
      </c>
      <c r="F2" s="22" t="s">
        <v>81</v>
      </c>
      <c r="G2" s="22" t="s">
        <v>124</v>
      </c>
      <c r="H2" s="22" t="s">
        <v>82</v>
      </c>
    </row>
    <row r="3" spans="1:9" x14ac:dyDescent="0.25">
      <c r="A3" s="29" t="s">
        <v>68</v>
      </c>
      <c r="B3" s="30">
        <v>0.99</v>
      </c>
      <c r="C3" s="30">
        <v>1.0900000000000001</v>
      </c>
      <c r="D3" s="44">
        <f t="shared" ref="D3:D18" si="0">(C3-B3)*1000</f>
        <v>100.00000000000009</v>
      </c>
      <c r="E3" s="38">
        <f>ROUND(D3*D21,0)</f>
        <v>4</v>
      </c>
      <c r="F3" s="22">
        <v>600</v>
      </c>
      <c r="G3" s="22">
        <v>139</v>
      </c>
      <c r="H3" s="22">
        <f>SUM(E3:F3:G3)</f>
        <v>743</v>
      </c>
    </row>
    <row r="4" spans="1:9" x14ac:dyDescent="0.25">
      <c r="A4" s="29" t="s">
        <v>70</v>
      </c>
      <c r="B4" s="30">
        <v>12.49</v>
      </c>
      <c r="C4" s="30">
        <v>18.59</v>
      </c>
      <c r="D4" s="22">
        <f t="shared" si="0"/>
        <v>6100</v>
      </c>
      <c r="E4" s="38">
        <f>ROUND(D4*D21,0)</f>
        <v>214</v>
      </c>
      <c r="F4" s="22">
        <v>1000</v>
      </c>
      <c r="G4" s="22">
        <v>139</v>
      </c>
      <c r="H4" s="22">
        <f>SUM(E4:F4)</f>
        <v>1214</v>
      </c>
      <c r="I4" s="269" t="s">
        <v>125</v>
      </c>
    </row>
    <row r="5" spans="1:9" x14ac:dyDescent="0.25">
      <c r="A5" s="32" t="s">
        <v>16</v>
      </c>
      <c r="B5" s="33">
        <v>72.510000000000005</v>
      </c>
      <c r="C5" s="33">
        <v>72.599999999999994</v>
      </c>
      <c r="D5" s="22">
        <f t="shared" si="0"/>
        <v>89.9999999999892</v>
      </c>
      <c r="E5" s="39">
        <f>ROUND(D5*D21,0)</f>
        <v>3</v>
      </c>
      <c r="F5" s="22">
        <v>1000</v>
      </c>
      <c r="G5" s="22">
        <v>139</v>
      </c>
      <c r="H5" s="22">
        <f t="shared" ref="H5:H7" si="1">SUM(E5:F5:G5)</f>
        <v>1142</v>
      </c>
    </row>
    <row r="6" spans="1:9" x14ac:dyDescent="0.25">
      <c r="A6" s="32" t="s">
        <v>13</v>
      </c>
      <c r="B6" s="33">
        <v>66.77</v>
      </c>
      <c r="C6" s="33">
        <v>74.849999999999994</v>
      </c>
      <c r="D6" s="22">
        <f t="shared" si="0"/>
        <v>8079.9999999999982</v>
      </c>
      <c r="E6" s="39">
        <f>ROUND(D6*D21,0)</f>
        <v>284</v>
      </c>
      <c r="F6" s="22">
        <v>1000</v>
      </c>
      <c r="G6" s="22">
        <v>139</v>
      </c>
      <c r="H6" s="22">
        <f t="shared" si="1"/>
        <v>1142</v>
      </c>
    </row>
    <row r="7" spans="1:9" x14ac:dyDescent="0.25">
      <c r="A7" s="29">
        <v>101</v>
      </c>
      <c r="B7" s="30">
        <v>0.38</v>
      </c>
      <c r="C7" s="30">
        <v>0.38</v>
      </c>
      <c r="D7" s="22">
        <f t="shared" si="0"/>
        <v>0</v>
      </c>
      <c r="E7" s="38">
        <f>ROUND(D7*D21,0)</f>
        <v>0</v>
      </c>
      <c r="F7" s="22">
        <v>600</v>
      </c>
      <c r="G7" s="22">
        <v>139</v>
      </c>
      <c r="H7" s="22">
        <f t="shared" si="1"/>
        <v>1142</v>
      </c>
    </row>
    <row r="8" spans="1:9" x14ac:dyDescent="0.25">
      <c r="A8" s="32">
        <v>102</v>
      </c>
      <c r="B8" s="33">
        <v>119.75</v>
      </c>
      <c r="C8" s="33">
        <v>133.74</v>
      </c>
      <c r="D8" s="22">
        <f t="shared" si="0"/>
        <v>13990.000000000009</v>
      </c>
      <c r="E8" s="39">
        <f>ROUND(D8*D21,0)</f>
        <v>491</v>
      </c>
      <c r="F8" s="22">
        <v>1000</v>
      </c>
      <c r="G8" s="22">
        <v>139</v>
      </c>
      <c r="H8" s="22">
        <f>SUM(E8:F8)</f>
        <v>1491</v>
      </c>
      <c r="I8" s="269" t="s">
        <v>126</v>
      </c>
    </row>
    <row r="9" spans="1:9" x14ac:dyDescent="0.25">
      <c r="A9" s="29">
        <v>103</v>
      </c>
      <c r="B9" s="30">
        <v>0.83</v>
      </c>
      <c r="C9" s="30">
        <v>0.83</v>
      </c>
      <c r="D9" s="22">
        <f t="shared" si="0"/>
        <v>0</v>
      </c>
      <c r="E9" s="38">
        <f>ROUND(D9*D21,0)</f>
        <v>0</v>
      </c>
      <c r="F9" s="22">
        <v>1000</v>
      </c>
      <c r="G9" s="22">
        <v>139</v>
      </c>
      <c r="H9" s="22">
        <f t="shared" ref="H9:H19" si="2">SUM(E9:F9:G9)</f>
        <v>1139</v>
      </c>
    </row>
    <row r="10" spans="1:9" x14ac:dyDescent="0.25">
      <c r="A10" s="32">
        <v>104</v>
      </c>
      <c r="B10" s="45">
        <v>38.01</v>
      </c>
      <c r="C10" s="45">
        <v>42.45</v>
      </c>
      <c r="D10" s="22">
        <f t="shared" si="0"/>
        <v>4440.0000000000045</v>
      </c>
      <c r="E10" s="39">
        <f>ROUND(D10*D21,0)</f>
        <v>156</v>
      </c>
      <c r="F10" s="22">
        <v>1000</v>
      </c>
      <c r="G10" s="22">
        <v>139</v>
      </c>
      <c r="H10" s="22">
        <f t="shared" si="2"/>
        <v>1139</v>
      </c>
    </row>
    <row r="11" spans="1:9" x14ac:dyDescent="0.25">
      <c r="A11" s="267">
        <v>201</v>
      </c>
      <c r="B11" s="268">
        <v>1.53</v>
      </c>
      <c r="C11" s="268">
        <v>1.53</v>
      </c>
      <c r="D11" s="22">
        <f t="shared" si="0"/>
        <v>0</v>
      </c>
      <c r="E11" s="38">
        <f>ROUND(D11*D21,0)</f>
        <v>0</v>
      </c>
      <c r="F11" s="22">
        <v>600</v>
      </c>
      <c r="G11" s="22">
        <v>139</v>
      </c>
      <c r="H11" s="22">
        <f t="shared" si="2"/>
        <v>1139</v>
      </c>
    </row>
    <row r="12" spans="1:9" x14ac:dyDescent="0.25">
      <c r="A12" s="32">
        <v>202</v>
      </c>
      <c r="B12" s="33">
        <v>75.680000000000007</v>
      </c>
      <c r="C12" s="33">
        <v>86.58</v>
      </c>
      <c r="D12" s="22">
        <f t="shared" si="0"/>
        <v>10899.999999999991</v>
      </c>
      <c r="E12" s="39">
        <f>ROUND(D12*D21,0)</f>
        <v>383</v>
      </c>
      <c r="F12" s="22">
        <v>1000</v>
      </c>
      <c r="G12" s="22">
        <v>139</v>
      </c>
      <c r="H12" s="22">
        <f t="shared" si="2"/>
        <v>1139</v>
      </c>
    </row>
    <row r="13" spans="1:9" x14ac:dyDescent="0.25">
      <c r="A13" s="29">
        <v>203</v>
      </c>
      <c r="B13" s="30">
        <v>17.03</v>
      </c>
      <c r="C13" s="30">
        <v>31.59</v>
      </c>
      <c r="D13" s="22">
        <f t="shared" si="0"/>
        <v>14559.999999999998</v>
      </c>
      <c r="E13" s="38">
        <f>ROUND(D13*D21,0)</f>
        <v>511</v>
      </c>
      <c r="F13" s="22">
        <v>1000</v>
      </c>
      <c r="G13" s="22">
        <v>139</v>
      </c>
      <c r="H13" s="22">
        <f t="shared" si="2"/>
        <v>1139</v>
      </c>
    </row>
    <row r="14" spans="1:9" x14ac:dyDescent="0.25">
      <c r="A14" s="29">
        <v>204</v>
      </c>
      <c r="B14" s="30">
        <v>10.85</v>
      </c>
      <c r="C14" s="30">
        <v>22.86</v>
      </c>
      <c r="D14" s="22">
        <f t="shared" si="0"/>
        <v>12010</v>
      </c>
      <c r="E14" s="38">
        <f>ROUND(D14*D21,0)</f>
        <v>422</v>
      </c>
      <c r="F14" s="22">
        <v>1000</v>
      </c>
      <c r="G14" s="22">
        <v>139</v>
      </c>
      <c r="H14" s="22">
        <f t="shared" si="2"/>
        <v>1139</v>
      </c>
    </row>
    <row r="15" spans="1:9" x14ac:dyDescent="0.25">
      <c r="A15" s="29">
        <v>301</v>
      </c>
      <c r="B15" s="30">
        <v>0.38</v>
      </c>
      <c r="C15" s="30">
        <v>0.38</v>
      </c>
      <c r="D15" s="22">
        <f t="shared" si="0"/>
        <v>0</v>
      </c>
      <c r="E15" s="38">
        <f>ROUND(D15*D21,0)</f>
        <v>0</v>
      </c>
      <c r="F15" s="22">
        <v>600</v>
      </c>
      <c r="G15" s="22">
        <v>139</v>
      </c>
      <c r="H15" s="22">
        <f t="shared" si="2"/>
        <v>1139</v>
      </c>
    </row>
    <row r="16" spans="1:9" x14ac:dyDescent="0.25">
      <c r="A16" s="29">
        <v>302</v>
      </c>
      <c r="B16" s="30">
        <v>0.38</v>
      </c>
      <c r="C16" s="30">
        <v>0.38</v>
      </c>
      <c r="D16" s="22">
        <f t="shared" si="0"/>
        <v>0</v>
      </c>
      <c r="E16" s="38">
        <f>ROUND(D16*D21,0)</f>
        <v>0</v>
      </c>
      <c r="F16" s="22">
        <v>600</v>
      </c>
      <c r="G16" s="22">
        <v>139</v>
      </c>
      <c r="H16" s="22">
        <f t="shared" si="2"/>
        <v>1139</v>
      </c>
    </row>
    <row r="17" spans="1:10" x14ac:dyDescent="0.25">
      <c r="A17" s="32">
        <v>303</v>
      </c>
      <c r="B17" s="33">
        <v>184.96</v>
      </c>
      <c r="C17" s="33">
        <v>200.12</v>
      </c>
      <c r="D17" s="22">
        <f t="shared" si="0"/>
        <v>15159.999999999996</v>
      </c>
      <c r="E17" s="39">
        <f>ROUND(D17*D21,0)</f>
        <v>532</v>
      </c>
      <c r="F17" s="22">
        <v>1000</v>
      </c>
      <c r="G17" s="22">
        <v>139</v>
      </c>
      <c r="H17" s="22">
        <f t="shared" si="2"/>
        <v>1139</v>
      </c>
    </row>
    <row r="18" spans="1:10" x14ac:dyDescent="0.25">
      <c r="A18" s="29">
        <v>304</v>
      </c>
      <c r="B18" s="30">
        <v>0.59</v>
      </c>
      <c r="C18" s="30">
        <v>0.59</v>
      </c>
      <c r="D18" s="22">
        <f t="shared" si="0"/>
        <v>0</v>
      </c>
      <c r="E18" s="38">
        <f>ROUND(D18*D21,0)</f>
        <v>0</v>
      </c>
      <c r="F18" s="22">
        <v>600</v>
      </c>
      <c r="G18" s="22">
        <v>139</v>
      </c>
      <c r="H18" s="22">
        <f t="shared" si="2"/>
        <v>1139</v>
      </c>
    </row>
    <row r="19" spans="1:10" x14ac:dyDescent="0.25">
      <c r="A19" s="22"/>
      <c r="B19" s="22"/>
      <c r="C19" s="22"/>
      <c r="D19" s="22"/>
      <c r="E19" s="40">
        <f t="shared" ref="E19:G19" si="3">SUM(E3:E18)</f>
        <v>3000</v>
      </c>
      <c r="F19" s="27">
        <f t="shared" si="3"/>
        <v>13600</v>
      </c>
      <c r="G19" s="27">
        <f t="shared" si="3"/>
        <v>2224</v>
      </c>
      <c r="H19" s="22">
        <f t="shared" si="2"/>
        <v>1139</v>
      </c>
    </row>
    <row r="20" spans="1:10" x14ac:dyDescent="0.25">
      <c r="A20" s="22"/>
      <c r="B20" s="22" t="s">
        <v>75</v>
      </c>
      <c r="C20" s="22"/>
      <c r="D20" s="44">
        <f>SUM(D3:D19)</f>
        <v>85430</v>
      </c>
      <c r="E20" s="41"/>
      <c r="F20" s="22"/>
      <c r="G20" s="22"/>
      <c r="H20" s="22"/>
    </row>
    <row r="21" spans="1:10" ht="15.75" customHeight="1" x14ac:dyDescent="0.25">
      <c r="A21" s="22"/>
      <c r="B21" s="22" t="s">
        <v>84</v>
      </c>
      <c r="C21" s="22"/>
      <c r="D21" s="22">
        <f>B24/D20</f>
        <v>3.5116469624253778E-2</v>
      </c>
      <c r="E21" s="41"/>
      <c r="F21" s="22"/>
      <c r="G21" s="22"/>
      <c r="H21" s="22"/>
    </row>
    <row r="22" spans="1:10" ht="15.75" customHeight="1" x14ac:dyDescent="0.25">
      <c r="A22" s="22"/>
      <c r="B22" s="22"/>
      <c r="C22" s="22"/>
      <c r="D22" s="22"/>
      <c r="E22" s="41"/>
      <c r="F22" s="22"/>
      <c r="G22" s="22"/>
      <c r="H22" s="22"/>
    </row>
    <row r="23" spans="1:10" ht="15.75" customHeight="1" x14ac:dyDescent="0.25">
      <c r="A23" s="22"/>
      <c r="B23" s="22"/>
      <c r="C23" s="22"/>
      <c r="D23" s="22"/>
      <c r="E23" s="41"/>
      <c r="F23" s="22"/>
      <c r="G23" s="22"/>
      <c r="H23" s="22"/>
    </row>
    <row r="24" spans="1:10" ht="15.75" customHeight="1" x14ac:dyDescent="0.25">
      <c r="A24" s="22" t="s">
        <v>85</v>
      </c>
      <c r="B24" s="30">
        <v>3000</v>
      </c>
      <c r="C24" s="30"/>
      <c r="D24" s="22"/>
      <c r="E24" s="41"/>
      <c r="F24" s="22"/>
      <c r="G24" s="22"/>
      <c r="H24" s="22"/>
    </row>
    <row r="25" spans="1:10" ht="30" customHeight="1" x14ac:dyDescent="0.25">
      <c r="A25" s="47" t="s">
        <v>127</v>
      </c>
      <c r="C25" s="1">
        <v>3000</v>
      </c>
    </row>
    <row r="26" spans="1:10" ht="15.75" customHeight="1" x14ac:dyDescent="0.25">
      <c r="A26" s="46"/>
      <c r="B26" s="46"/>
      <c r="C26" s="46"/>
      <c r="D26" s="46"/>
      <c r="E26" s="46"/>
      <c r="F26" s="46"/>
      <c r="G26" s="46"/>
      <c r="H26" s="46"/>
    </row>
    <row r="27" spans="1:10" ht="15.75" customHeight="1" x14ac:dyDescent="0.25"/>
    <row r="28" spans="1:10" ht="15.75" customHeight="1" x14ac:dyDescent="0.25">
      <c r="A28" s="27" t="s">
        <v>64</v>
      </c>
      <c r="B28" s="27" t="s">
        <v>80</v>
      </c>
      <c r="C28" s="27" t="s">
        <v>65</v>
      </c>
      <c r="D28" s="27" t="s">
        <v>66</v>
      </c>
      <c r="E28" s="37" t="s">
        <v>52</v>
      </c>
      <c r="F28" s="22" t="s">
        <v>81</v>
      </c>
      <c r="G28" s="22" t="s">
        <v>124</v>
      </c>
      <c r="H28" s="22" t="s">
        <v>82</v>
      </c>
      <c r="J28" s="1" t="s">
        <v>122</v>
      </c>
    </row>
    <row r="29" spans="1:10" ht="15.75" customHeight="1" x14ac:dyDescent="0.25">
      <c r="A29" s="29" t="s">
        <v>68</v>
      </c>
      <c r="B29" s="30">
        <v>0.99</v>
      </c>
      <c r="C29" s="30">
        <v>1.0900000000000001</v>
      </c>
      <c r="D29" s="44">
        <f t="shared" ref="D29:D44" si="4">(C29-B29)*1000</f>
        <v>100.00000000000009</v>
      </c>
      <c r="E29" s="38">
        <f>ROUND(D29*D47,0)</f>
        <v>6</v>
      </c>
      <c r="F29" s="22">
        <v>600</v>
      </c>
      <c r="G29" s="22">
        <v>139</v>
      </c>
      <c r="H29" s="22">
        <f>SUM(E29:F29:G29)</f>
        <v>745</v>
      </c>
      <c r="I29" s="1">
        <v>743</v>
      </c>
      <c r="J29" s="1">
        <f t="shared" ref="J29:J45" si="5">H29-I29</f>
        <v>2</v>
      </c>
    </row>
    <row r="30" spans="1:10" ht="15.75" customHeight="1" x14ac:dyDescent="0.25">
      <c r="A30" s="29" t="s">
        <v>70</v>
      </c>
      <c r="B30" s="30">
        <v>12.49</v>
      </c>
      <c r="C30" s="30">
        <v>18.59</v>
      </c>
      <c r="D30" s="22">
        <f t="shared" si="4"/>
        <v>6100</v>
      </c>
      <c r="E30" s="38">
        <f>ROUND(D30*D47,0)</f>
        <v>360</v>
      </c>
      <c r="F30" s="22">
        <v>1000</v>
      </c>
      <c r="G30" s="22">
        <v>139</v>
      </c>
      <c r="H30" s="22">
        <f>SUM(E30:F30)</f>
        <v>1360</v>
      </c>
      <c r="I30" s="1">
        <v>1214</v>
      </c>
      <c r="J30" s="1">
        <f t="shared" si="5"/>
        <v>146</v>
      </c>
    </row>
    <row r="31" spans="1:10" ht="15.75" customHeight="1" x14ac:dyDescent="0.25">
      <c r="A31" s="32" t="s">
        <v>16</v>
      </c>
      <c r="B31" s="33">
        <v>72.510000000000005</v>
      </c>
      <c r="C31" s="33">
        <v>72.599999999999994</v>
      </c>
      <c r="D31" s="22">
        <f t="shared" si="4"/>
        <v>89.9999999999892</v>
      </c>
      <c r="E31" s="39">
        <f>ROUND(D31*D47,0)</f>
        <v>5</v>
      </c>
      <c r="F31" s="22">
        <v>1000</v>
      </c>
      <c r="G31" s="22">
        <v>139</v>
      </c>
      <c r="H31" s="22">
        <f t="shared" ref="H31:H33" si="6">SUM(E31:F31:G31)</f>
        <v>1144</v>
      </c>
      <c r="I31" s="1">
        <v>1142</v>
      </c>
      <c r="J31" s="1">
        <f t="shared" si="5"/>
        <v>2</v>
      </c>
    </row>
    <row r="32" spans="1:10" ht="15.75" customHeight="1" x14ac:dyDescent="0.25">
      <c r="A32" s="32" t="s">
        <v>13</v>
      </c>
      <c r="B32" s="33">
        <v>66.77</v>
      </c>
      <c r="C32" s="33">
        <v>74.849999999999994</v>
      </c>
      <c r="D32" s="22">
        <f t="shared" si="4"/>
        <v>8079.9999999999982</v>
      </c>
      <c r="E32" s="39">
        <f>ROUND(D32*D47,0)</f>
        <v>477</v>
      </c>
      <c r="F32" s="22">
        <v>1000</v>
      </c>
      <c r="G32" s="22">
        <v>139</v>
      </c>
      <c r="H32" s="22">
        <f t="shared" si="6"/>
        <v>1144</v>
      </c>
      <c r="I32" s="1">
        <v>1423</v>
      </c>
      <c r="J32" s="1">
        <f t="shared" si="5"/>
        <v>-279</v>
      </c>
    </row>
    <row r="33" spans="1:10" ht="15.75" customHeight="1" x14ac:dyDescent="0.25">
      <c r="A33" s="29">
        <v>101</v>
      </c>
      <c r="B33" s="30">
        <v>0.38</v>
      </c>
      <c r="C33" s="30">
        <v>0.38</v>
      </c>
      <c r="D33" s="22">
        <f t="shared" si="4"/>
        <v>0</v>
      </c>
      <c r="E33" s="38">
        <f>ROUND(D33*D47,0)</f>
        <v>0</v>
      </c>
      <c r="F33" s="22">
        <v>600</v>
      </c>
      <c r="G33" s="22">
        <v>139</v>
      </c>
      <c r="H33" s="22">
        <f t="shared" si="6"/>
        <v>1144</v>
      </c>
      <c r="I33" s="1">
        <v>739</v>
      </c>
      <c r="J33" s="1">
        <f t="shared" si="5"/>
        <v>405</v>
      </c>
    </row>
    <row r="34" spans="1:10" ht="15.75" customHeight="1" x14ac:dyDescent="0.25">
      <c r="A34" s="32">
        <v>102</v>
      </c>
      <c r="B34" s="33">
        <v>119.75</v>
      </c>
      <c r="C34" s="33">
        <v>133.74</v>
      </c>
      <c r="D34" s="22">
        <f t="shared" si="4"/>
        <v>13990.000000000009</v>
      </c>
      <c r="E34" s="39">
        <f>ROUND(D34*D47,0)</f>
        <v>826</v>
      </c>
      <c r="F34" s="22">
        <v>1000</v>
      </c>
      <c r="G34" s="22">
        <v>139</v>
      </c>
      <c r="H34" s="22">
        <f>SUM(E34:F34)</f>
        <v>1826</v>
      </c>
      <c r="I34" s="1">
        <v>1491</v>
      </c>
      <c r="J34" s="1">
        <f t="shared" si="5"/>
        <v>335</v>
      </c>
    </row>
    <row r="35" spans="1:10" ht="15.75" customHeight="1" x14ac:dyDescent="0.25">
      <c r="A35" s="29">
        <v>103</v>
      </c>
      <c r="B35" s="30">
        <v>0.83</v>
      </c>
      <c r="C35" s="30">
        <v>0.83</v>
      </c>
      <c r="D35" s="22">
        <f t="shared" si="4"/>
        <v>0</v>
      </c>
      <c r="E35" s="38">
        <f>ROUND(D35*D47,0)</f>
        <v>0</v>
      </c>
      <c r="F35" s="22">
        <v>1000</v>
      </c>
      <c r="G35" s="22">
        <v>139</v>
      </c>
      <c r="H35" s="22">
        <f t="shared" ref="H35:H45" si="7">SUM(E35:F35:G35)</f>
        <v>1139</v>
      </c>
      <c r="I35" s="1">
        <v>1139</v>
      </c>
      <c r="J35" s="1">
        <f t="shared" si="5"/>
        <v>0</v>
      </c>
    </row>
    <row r="36" spans="1:10" ht="15.75" customHeight="1" x14ac:dyDescent="0.25">
      <c r="A36" s="32">
        <v>104</v>
      </c>
      <c r="B36" s="45">
        <v>38.01</v>
      </c>
      <c r="C36" s="45">
        <v>42.45</v>
      </c>
      <c r="D36" s="22">
        <f t="shared" si="4"/>
        <v>4440.0000000000045</v>
      </c>
      <c r="E36" s="39">
        <f>ROUND(D36*D47,0)</f>
        <v>262</v>
      </c>
      <c r="F36" s="22">
        <v>1000</v>
      </c>
      <c r="G36" s="22">
        <v>139</v>
      </c>
      <c r="H36" s="22">
        <f t="shared" si="7"/>
        <v>1139</v>
      </c>
      <c r="I36" s="1">
        <v>1295</v>
      </c>
      <c r="J36" s="1">
        <f t="shared" si="5"/>
        <v>-156</v>
      </c>
    </row>
    <row r="37" spans="1:10" ht="15.75" customHeight="1" x14ac:dyDescent="0.25">
      <c r="A37" s="267">
        <v>201</v>
      </c>
      <c r="B37" s="268">
        <v>1.53</v>
      </c>
      <c r="C37" s="268">
        <v>1.53</v>
      </c>
      <c r="D37" s="22">
        <f t="shared" si="4"/>
        <v>0</v>
      </c>
      <c r="E37" s="38">
        <f>ROUND(D37*D47,0)</f>
        <v>0</v>
      </c>
      <c r="F37" s="22">
        <v>600</v>
      </c>
      <c r="G37" s="22">
        <v>139</v>
      </c>
      <c r="H37" s="22">
        <f t="shared" si="7"/>
        <v>1139</v>
      </c>
      <c r="I37" s="1">
        <v>739</v>
      </c>
      <c r="J37" s="1">
        <f t="shared" si="5"/>
        <v>400</v>
      </c>
    </row>
    <row r="38" spans="1:10" ht="15.75" customHeight="1" x14ac:dyDescent="0.25">
      <c r="A38" s="32">
        <v>202</v>
      </c>
      <c r="B38" s="33">
        <v>75.680000000000007</v>
      </c>
      <c r="C38" s="33">
        <v>86.58</v>
      </c>
      <c r="D38" s="22">
        <f t="shared" si="4"/>
        <v>10899.999999999991</v>
      </c>
      <c r="E38" s="39">
        <f>ROUND(D38*D47,0)</f>
        <v>644</v>
      </c>
      <c r="F38" s="22">
        <v>1000</v>
      </c>
      <c r="G38" s="22">
        <v>139</v>
      </c>
      <c r="H38" s="22">
        <f t="shared" si="7"/>
        <v>1139</v>
      </c>
      <c r="I38" s="1">
        <v>1522</v>
      </c>
      <c r="J38" s="1">
        <f t="shared" si="5"/>
        <v>-383</v>
      </c>
    </row>
    <row r="39" spans="1:10" ht="15.75" customHeight="1" x14ac:dyDescent="0.25">
      <c r="A39" s="29">
        <v>203</v>
      </c>
      <c r="B39" s="30">
        <v>17.03</v>
      </c>
      <c r="C39" s="30">
        <v>31.59</v>
      </c>
      <c r="D39" s="22">
        <f t="shared" si="4"/>
        <v>14559.999999999998</v>
      </c>
      <c r="E39" s="38">
        <f>ROUND(D39*D47,0)</f>
        <v>860</v>
      </c>
      <c r="F39" s="22">
        <v>1000</v>
      </c>
      <c r="G39" s="22">
        <v>139</v>
      </c>
      <c r="H39" s="22">
        <f t="shared" si="7"/>
        <v>1139</v>
      </c>
      <c r="I39" s="1">
        <v>1650</v>
      </c>
      <c r="J39" s="1">
        <f t="shared" si="5"/>
        <v>-511</v>
      </c>
    </row>
    <row r="40" spans="1:10" ht="15.75" customHeight="1" x14ac:dyDescent="0.25">
      <c r="A40" s="29">
        <v>204</v>
      </c>
      <c r="B40" s="30">
        <v>10.85</v>
      </c>
      <c r="C40" s="30">
        <v>22.86</v>
      </c>
      <c r="D40" s="22">
        <f t="shared" si="4"/>
        <v>12010</v>
      </c>
      <c r="E40" s="38">
        <f>ROUND(D40*D47,0)</f>
        <v>709</v>
      </c>
      <c r="F40" s="22">
        <v>1000</v>
      </c>
      <c r="G40" s="22">
        <v>139</v>
      </c>
      <c r="H40" s="22">
        <f t="shared" si="7"/>
        <v>1139</v>
      </c>
      <c r="I40" s="1">
        <v>1561</v>
      </c>
      <c r="J40" s="1">
        <f t="shared" si="5"/>
        <v>-422</v>
      </c>
    </row>
    <row r="41" spans="1:10" ht="15.75" customHeight="1" x14ac:dyDescent="0.25">
      <c r="A41" s="29">
        <v>301</v>
      </c>
      <c r="B41" s="30">
        <v>0.38</v>
      </c>
      <c r="C41" s="30">
        <v>0.38</v>
      </c>
      <c r="D41" s="22">
        <f t="shared" si="4"/>
        <v>0</v>
      </c>
      <c r="E41" s="38">
        <f>ROUND(D41*D47,0)</f>
        <v>0</v>
      </c>
      <c r="F41" s="22">
        <v>600</v>
      </c>
      <c r="G41" s="22">
        <v>139</v>
      </c>
      <c r="H41" s="22">
        <f t="shared" si="7"/>
        <v>1139</v>
      </c>
      <c r="I41" s="1">
        <v>739</v>
      </c>
      <c r="J41" s="1">
        <f t="shared" si="5"/>
        <v>400</v>
      </c>
    </row>
    <row r="42" spans="1:10" ht="15.75" customHeight="1" x14ac:dyDescent="0.25">
      <c r="A42" s="29">
        <v>302</v>
      </c>
      <c r="B42" s="30">
        <v>0.38</v>
      </c>
      <c r="C42" s="30">
        <v>0.38</v>
      </c>
      <c r="D42" s="22">
        <f t="shared" si="4"/>
        <v>0</v>
      </c>
      <c r="E42" s="38">
        <f>ROUND(D42*D47,0)</f>
        <v>0</v>
      </c>
      <c r="F42" s="22">
        <v>600</v>
      </c>
      <c r="G42" s="22">
        <v>139</v>
      </c>
      <c r="H42" s="22">
        <f t="shared" si="7"/>
        <v>1139</v>
      </c>
      <c r="I42" s="1">
        <v>739</v>
      </c>
      <c r="J42" s="1">
        <f t="shared" si="5"/>
        <v>400</v>
      </c>
    </row>
    <row r="43" spans="1:10" ht="15.75" customHeight="1" x14ac:dyDescent="0.25">
      <c r="A43" s="32">
        <v>303</v>
      </c>
      <c r="B43" s="33">
        <v>184.96</v>
      </c>
      <c r="C43" s="33">
        <v>200.12</v>
      </c>
      <c r="D43" s="22">
        <f t="shared" si="4"/>
        <v>15159.999999999996</v>
      </c>
      <c r="E43" s="39">
        <f>ROUND(D43*D47,0)</f>
        <v>895</v>
      </c>
      <c r="F43" s="22">
        <v>1000</v>
      </c>
      <c r="G43" s="22">
        <v>139</v>
      </c>
      <c r="H43" s="22">
        <f t="shared" si="7"/>
        <v>1139</v>
      </c>
      <c r="I43" s="1">
        <v>1671</v>
      </c>
      <c r="J43" s="1">
        <f t="shared" si="5"/>
        <v>-532</v>
      </c>
    </row>
    <row r="44" spans="1:10" ht="15.75" customHeight="1" x14ac:dyDescent="0.25">
      <c r="A44" s="29">
        <v>304</v>
      </c>
      <c r="B44" s="30">
        <v>0.59</v>
      </c>
      <c r="C44" s="30">
        <v>0.59</v>
      </c>
      <c r="D44" s="22">
        <f t="shared" si="4"/>
        <v>0</v>
      </c>
      <c r="E44" s="38">
        <f>ROUND(D44*D47,0)</f>
        <v>0</v>
      </c>
      <c r="F44" s="22">
        <v>600</v>
      </c>
      <c r="G44" s="22">
        <v>139</v>
      </c>
      <c r="H44" s="22">
        <f t="shared" si="7"/>
        <v>1139</v>
      </c>
      <c r="I44" s="1">
        <v>739</v>
      </c>
      <c r="J44" s="1">
        <f t="shared" si="5"/>
        <v>400</v>
      </c>
    </row>
    <row r="45" spans="1:10" ht="15.75" customHeight="1" x14ac:dyDescent="0.25">
      <c r="A45" s="22"/>
      <c r="B45" s="22"/>
      <c r="C45" s="22"/>
      <c r="D45" s="22"/>
      <c r="E45" s="40">
        <f t="shared" ref="E45:G45" si="8">SUM(E29:E44)</f>
        <v>5044</v>
      </c>
      <c r="F45" s="27">
        <f t="shared" si="8"/>
        <v>13600</v>
      </c>
      <c r="G45" s="27">
        <f t="shared" si="8"/>
        <v>2224</v>
      </c>
      <c r="H45" s="22">
        <f t="shared" si="7"/>
        <v>1139</v>
      </c>
      <c r="I45" s="1">
        <v>18824</v>
      </c>
      <c r="J45" s="1">
        <f t="shared" si="5"/>
        <v>-17685</v>
      </c>
    </row>
    <row r="46" spans="1:10" ht="15.75" customHeight="1" x14ac:dyDescent="0.25">
      <c r="A46" s="22"/>
      <c r="B46" s="22" t="s">
        <v>75</v>
      </c>
      <c r="C46" s="22"/>
      <c r="D46" s="44">
        <f>SUM(D29:D45)</f>
        <v>85430</v>
      </c>
      <c r="E46" s="41"/>
      <c r="F46" s="22"/>
      <c r="G46" s="22"/>
      <c r="H46" s="22"/>
    </row>
    <row r="47" spans="1:10" ht="15.75" customHeight="1" x14ac:dyDescent="0.25">
      <c r="A47" s="22"/>
      <c r="B47" s="22" t="s">
        <v>84</v>
      </c>
      <c r="C47" s="22"/>
      <c r="D47" s="22">
        <f>B50/D46</f>
        <v>5.9042490928245345E-2</v>
      </c>
      <c r="E47" s="41"/>
      <c r="F47" s="22"/>
      <c r="G47" s="22"/>
      <c r="H47" s="22"/>
    </row>
    <row r="50" spans="1:3" ht="15.75" customHeight="1" x14ac:dyDescent="0.25">
      <c r="A50" s="22" t="s">
        <v>85</v>
      </c>
      <c r="B50" s="30">
        <f>3000+2044</f>
        <v>5044</v>
      </c>
      <c r="C50" s="30"/>
    </row>
    <row r="51" spans="1:3" ht="30" customHeight="1" x14ac:dyDescent="0.25">
      <c r="A51" s="47" t="s">
        <v>127</v>
      </c>
      <c r="C51" s="1">
        <v>3000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M77"/>
  <sheetViews>
    <sheetView topLeftCell="A55" workbookViewId="0">
      <selection activeCell="A66" activeCellId="2" sqref="A13:C13 A41:C41 A66"/>
    </sheetView>
  </sheetViews>
  <sheetFormatPr defaultColWidth="14.42578125" defaultRowHeight="15" customHeight="1" x14ac:dyDescent="0.25"/>
  <cols>
    <col min="1" max="1" width="10.7109375" customWidth="1"/>
    <col min="2" max="2" width="13.28515625" customWidth="1"/>
    <col min="3" max="3" width="12.28515625" customWidth="1"/>
    <col min="4" max="5" width="9.28515625" customWidth="1"/>
    <col min="6" max="6" width="9.85546875" customWidth="1"/>
    <col min="7" max="7" width="11.7109375" customWidth="1"/>
    <col min="8" max="8" width="13.140625" customWidth="1"/>
    <col min="9" max="9" width="16.28515625" customWidth="1"/>
    <col min="10" max="11" width="7.5703125" customWidth="1"/>
    <col min="12" max="12" width="22.140625" customWidth="1"/>
    <col min="13" max="13" width="7.5703125" customWidth="1"/>
  </cols>
  <sheetData>
    <row r="2" spans="1:13" x14ac:dyDescent="0.25">
      <c r="A2" s="27" t="s">
        <v>64</v>
      </c>
      <c r="B2" s="27" t="s">
        <v>80</v>
      </c>
      <c r="C2" s="27" t="s">
        <v>65</v>
      </c>
      <c r="D2" s="27" t="s">
        <v>66</v>
      </c>
      <c r="E2" s="37" t="s">
        <v>52</v>
      </c>
      <c r="F2" s="22" t="s">
        <v>81</v>
      </c>
      <c r="G2" s="41" t="s">
        <v>82</v>
      </c>
      <c r="H2" s="27" t="s">
        <v>128</v>
      </c>
      <c r="L2" s="48" t="s">
        <v>129</v>
      </c>
    </row>
    <row r="3" spans="1:13" x14ac:dyDescent="0.25">
      <c r="A3" s="49" t="s">
        <v>130</v>
      </c>
      <c r="B3" s="29" t="s">
        <v>131</v>
      </c>
      <c r="C3" s="29" t="s">
        <v>131</v>
      </c>
      <c r="D3" s="29" t="s">
        <v>131</v>
      </c>
      <c r="E3" s="50" t="s">
        <v>131</v>
      </c>
      <c r="F3" s="22">
        <v>300</v>
      </c>
      <c r="G3" s="41">
        <v>300</v>
      </c>
      <c r="H3" s="51">
        <v>300</v>
      </c>
      <c r="L3" s="48"/>
    </row>
    <row r="4" spans="1:13" x14ac:dyDescent="0.25">
      <c r="A4" s="49" t="s">
        <v>132</v>
      </c>
      <c r="B4" s="29" t="s">
        <v>131</v>
      </c>
      <c r="C4" s="29" t="s">
        <v>131</v>
      </c>
      <c r="D4" s="29" t="s">
        <v>131</v>
      </c>
      <c r="E4" s="50" t="s">
        <v>131</v>
      </c>
      <c r="F4" s="22">
        <v>300</v>
      </c>
      <c r="G4" s="41">
        <v>300</v>
      </c>
      <c r="H4" s="51">
        <v>300</v>
      </c>
      <c r="L4" s="48"/>
    </row>
    <row r="5" spans="1:13" x14ac:dyDescent="0.25">
      <c r="A5" s="29" t="s">
        <v>68</v>
      </c>
      <c r="B5" s="30">
        <v>1.0900000000000001</v>
      </c>
      <c r="C5" s="30">
        <v>1.0900000000000001</v>
      </c>
      <c r="D5" s="44">
        <f t="shared" ref="D5:D20" si="0">(C5-B5)*1000</f>
        <v>0</v>
      </c>
      <c r="E5" s="38">
        <f>ROUND(D5*D23,0)</f>
        <v>0</v>
      </c>
      <c r="F5" s="22">
        <v>600</v>
      </c>
      <c r="G5" s="41">
        <f t="shared" ref="G5:G21" si="1">SUM(E5:F5)</f>
        <v>600</v>
      </c>
      <c r="H5" s="51">
        <v>600</v>
      </c>
      <c r="L5" s="270" t="s">
        <v>133</v>
      </c>
      <c r="M5" s="270" t="s">
        <v>134</v>
      </c>
    </row>
    <row r="6" spans="1:13" x14ac:dyDescent="0.25">
      <c r="A6" s="29" t="s">
        <v>70</v>
      </c>
      <c r="B6" s="30">
        <v>18.59</v>
      </c>
      <c r="C6" s="30">
        <v>27.39</v>
      </c>
      <c r="D6" s="22">
        <f t="shared" si="0"/>
        <v>8800</v>
      </c>
      <c r="E6" s="38">
        <f>ROUND(D6*D23,0)</f>
        <v>632</v>
      </c>
      <c r="F6" s="22">
        <v>1000</v>
      </c>
      <c r="G6" s="41">
        <f t="shared" si="1"/>
        <v>1632</v>
      </c>
      <c r="H6" s="51">
        <v>1632</v>
      </c>
      <c r="L6" s="22" t="s">
        <v>70</v>
      </c>
      <c r="M6" s="22">
        <v>5000</v>
      </c>
    </row>
    <row r="7" spans="1:13" x14ac:dyDescent="0.25">
      <c r="A7" s="32" t="s">
        <v>16</v>
      </c>
      <c r="B7" s="33">
        <v>72.599999999999994</v>
      </c>
      <c r="C7" s="33">
        <v>84.19</v>
      </c>
      <c r="D7" s="22">
        <f t="shared" si="0"/>
        <v>11590.000000000004</v>
      </c>
      <c r="E7" s="39">
        <f>ROUND(D7*D23,0)</f>
        <v>833</v>
      </c>
      <c r="F7" s="22">
        <v>1000</v>
      </c>
      <c r="G7" s="41">
        <f t="shared" si="1"/>
        <v>1833</v>
      </c>
      <c r="H7" s="51">
        <v>1833</v>
      </c>
      <c r="L7" s="22" t="s">
        <v>16</v>
      </c>
      <c r="M7" s="22">
        <v>5000</v>
      </c>
    </row>
    <row r="8" spans="1:13" x14ac:dyDescent="0.25">
      <c r="A8" s="32" t="s">
        <v>13</v>
      </c>
      <c r="B8" s="33">
        <v>74.849999999999994</v>
      </c>
      <c r="C8" s="33">
        <v>83.56</v>
      </c>
      <c r="D8" s="22">
        <f t="shared" si="0"/>
        <v>8710.0000000000073</v>
      </c>
      <c r="E8" s="39">
        <f>ROUND(D8*D23,0)</f>
        <v>626</v>
      </c>
      <c r="F8" s="22">
        <v>1000</v>
      </c>
      <c r="G8" s="41">
        <f t="shared" si="1"/>
        <v>1626</v>
      </c>
      <c r="H8" s="51">
        <v>1626</v>
      </c>
      <c r="L8" s="22" t="s">
        <v>13</v>
      </c>
      <c r="M8" s="22">
        <v>5000</v>
      </c>
    </row>
    <row r="9" spans="1:13" x14ac:dyDescent="0.25">
      <c r="A9" s="29">
        <v>101</v>
      </c>
      <c r="B9" s="30">
        <v>0.38</v>
      </c>
      <c r="C9" s="30">
        <v>0.38</v>
      </c>
      <c r="D9" s="22">
        <f t="shared" si="0"/>
        <v>0</v>
      </c>
      <c r="E9" s="38">
        <f>ROUND(D9*D23,0)</f>
        <v>0</v>
      </c>
      <c r="F9" s="22">
        <v>600</v>
      </c>
      <c r="G9" s="41">
        <f t="shared" si="1"/>
        <v>600</v>
      </c>
      <c r="H9" s="51">
        <v>600</v>
      </c>
      <c r="L9" s="52" t="s">
        <v>135</v>
      </c>
      <c r="M9" s="22">
        <v>5000</v>
      </c>
    </row>
    <row r="10" spans="1:13" x14ac:dyDescent="0.25">
      <c r="A10" s="32">
        <v>102</v>
      </c>
      <c r="B10" s="33">
        <v>133.74</v>
      </c>
      <c r="C10" s="33">
        <v>139.19</v>
      </c>
      <c r="D10" s="22">
        <f t="shared" si="0"/>
        <v>5449.9999999999891</v>
      </c>
      <c r="E10" s="39">
        <f>ROUND(D10*D23,0)</f>
        <v>392</v>
      </c>
      <c r="F10" s="22">
        <v>1000</v>
      </c>
      <c r="G10" s="41">
        <f t="shared" si="1"/>
        <v>1392</v>
      </c>
      <c r="H10" s="51">
        <v>1392</v>
      </c>
      <c r="L10" s="22" t="s">
        <v>136</v>
      </c>
      <c r="M10" s="22">
        <v>5000</v>
      </c>
    </row>
    <row r="11" spans="1:13" x14ac:dyDescent="0.25">
      <c r="A11" s="29">
        <v>103</v>
      </c>
      <c r="B11" s="30">
        <v>0.83</v>
      </c>
      <c r="C11" s="30">
        <v>0.83</v>
      </c>
      <c r="D11" s="22">
        <f t="shared" si="0"/>
        <v>0</v>
      </c>
      <c r="E11" s="38">
        <f>ROUND(D11*D23,0)</f>
        <v>0</v>
      </c>
      <c r="F11" s="22">
        <v>1000</v>
      </c>
      <c r="G11" s="41">
        <f t="shared" si="1"/>
        <v>1000</v>
      </c>
      <c r="H11" s="51">
        <v>1000</v>
      </c>
      <c r="L11" s="22" t="s">
        <v>137</v>
      </c>
      <c r="M11" s="22">
        <v>5000</v>
      </c>
    </row>
    <row r="12" spans="1:13" x14ac:dyDescent="0.25">
      <c r="A12" s="32">
        <v>104</v>
      </c>
      <c r="B12" s="45">
        <v>42.45</v>
      </c>
      <c r="C12" s="45">
        <v>47.4</v>
      </c>
      <c r="D12" s="22">
        <f t="shared" si="0"/>
        <v>4949.9999999999955</v>
      </c>
      <c r="E12" s="39">
        <f>ROUND(D12*D23,0)</f>
        <v>356</v>
      </c>
      <c r="F12" s="22">
        <v>1000</v>
      </c>
      <c r="G12" s="41">
        <f t="shared" si="1"/>
        <v>1356</v>
      </c>
      <c r="H12" s="51">
        <v>1356</v>
      </c>
      <c r="L12" s="22" t="s">
        <v>138</v>
      </c>
      <c r="M12" s="22">
        <v>5000</v>
      </c>
    </row>
    <row r="13" spans="1:13" x14ac:dyDescent="0.25">
      <c r="A13" s="267">
        <v>201</v>
      </c>
      <c r="B13" s="268">
        <v>1.53</v>
      </c>
      <c r="C13" s="268">
        <v>1.59</v>
      </c>
      <c r="D13" s="22">
        <f t="shared" si="0"/>
        <v>60.000000000000057</v>
      </c>
      <c r="E13" s="38">
        <f>ROUND(D13*D23,0)</f>
        <v>4</v>
      </c>
      <c r="F13" s="22">
        <v>600</v>
      </c>
      <c r="G13" s="41">
        <f t="shared" si="1"/>
        <v>604</v>
      </c>
      <c r="H13" s="51">
        <v>600</v>
      </c>
      <c r="L13" s="22" t="s">
        <v>139</v>
      </c>
      <c r="M13" s="22">
        <v>5000</v>
      </c>
    </row>
    <row r="14" spans="1:13" x14ac:dyDescent="0.25">
      <c r="A14" s="32">
        <v>202</v>
      </c>
      <c r="B14" s="33">
        <v>86.58</v>
      </c>
      <c r="C14" s="33">
        <v>95.35</v>
      </c>
      <c r="D14" s="22">
        <f t="shared" si="0"/>
        <v>8769.9999999999964</v>
      </c>
      <c r="E14" s="39">
        <f>ROUND(D14*D23,0)</f>
        <v>630</v>
      </c>
      <c r="F14" s="22">
        <v>1000</v>
      </c>
      <c r="G14" s="41">
        <f t="shared" si="1"/>
        <v>1630</v>
      </c>
      <c r="H14" s="51">
        <v>1630</v>
      </c>
      <c r="L14" s="22" t="s">
        <v>140</v>
      </c>
      <c r="M14" s="22">
        <v>5000</v>
      </c>
    </row>
    <row r="15" spans="1:13" x14ac:dyDescent="0.25">
      <c r="A15" s="29">
        <v>203</v>
      </c>
      <c r="B15" s="30">
        <v>31.59</v>
      </c>
      <c r="C15" s="30">
        <v>43.25</v>
      </c>
      <c r="D15" s="22">
        <f t="shared" si="0"/>
        <v>11660</v>
      </c>
      <c r="E15" s="38">
        <f>ROUND(D15*D23,0)</f>
        <v>838</v>
      </c>
      <c r="F15" s="22">
        <v>1000</v>
      </c>
      <c r="G15" s="41">
        <f t="shared" si="1"/>
        <v>1838</v>
      </c>
      <c r="H15" s="51">
        <v>1838</v>
      </c>
      <c r="L15" s="22" t="s">
        <v>141</v>
      </c>
      <c r="M15" s="22">
        <v>5000</v>
      </c>
    </row>
    <row r="16" spans="1:13" x14ac:dyDescent="0.25">
      <c r="A16" s="29">
        <v>204</v>
      </c>
      <c r="B16" s="30">
        <v>22.86</v>
      </c>
      <c r="C16" s="30">
        <v>30.21</v>
      </c>
      <c r="D16" s="22">
        <f t="shared" si="0"/>
        <v>7350.0000000000018</v>
      </c>
      <c r="E16" s="38">
        <f>ROUND(D16*D23,0)</f>
        <v>528</v>
      </c>
      <c r="F16" s="22">
        <v>1000</v>
      </c>
      <c r="G16" s="41">
        <f t="shared" si="1"/>
        <v>1528</v>
      </c>
      <c r="H16" s="51">
        <v>1528</v>
      </c>
    </row>
    <row r="17" spans="1:13" x14ac:dyDescent="0.25">
      <c r="A17" s="29">
        <v>301</v>
      </c>
      <c r="B17" s="30">
        <v>0.38</v>
      </c>
      <c r="C17" s="30">
        <v>0.38</v>
      </c>
      <c r="D17" s="22">
        <f t="shared" si="0"/>
        <v>0</v>
      </c>
      <c r="E17" s="38">
        <f>ROUND(D17*D23,0)</f>
        <v>0</v>
      </c>
      <c r="F17" s="22">
        <v>600</v>
      </c>
      <c r="G17" s="41">
        <f t="shared" si="1"/>
        <v>600</v>
      </c>
      <c r="H17" s="51">
        <v>600</v>
      </c>
      <c r="L17" s="53" t="s">
        <v>142</v>
      </c>
    </row>
    <row r="18" spans="1:13" x14ac:dyDescent="0.25">
      <c r="A18" s="29">
        <v>302</v>
      </c>
      <c r="B18" s="30">
        <v>0.38</v>
      </c>
      <c r="C18" s="30">
        <v>0.38</v>
      </c>
      <c r="D18" s="22">
        <f t="shared" si="0"/>
        <v>0</v>
      </c>
      <c r="E18" s="38">
        <f>ROUND(D18*D23,0)</f>
        <v>0</v>
      </c>
      <c r="F18" s="22">
        <v>600</v>
      </c>
      <c r="G18" s="41">
        <f t="shared" si="1"/>
        <v>600</v>
      </c>
      <c r="H18" s="51">
        <v>600</v>
      </c>
      <c r="L18" s="54" t="s">
        <v>143</v>
      </c>
      <c r="M18" s="15">
        <v>24870</v>
      </c>
    </row>
    <row r="19" spans="1:13" x14ac:dyDescent="0.25">
      <c r="A19" s="32">
        <v>303</v>
      </c>
      <c r="B19" s="33">
        <v>200.12</v>
      </c>
      <c r="C19" s="33">
        <v>216.19</v>
      </c>
      <c r="D19" s="22">
        <f t="shared" si="0"/>
        <v>16069.999999999993</v>
      </c>
      <c r="E19" s="39">
        <f>ROUND(D19*D23,0)</f>
        <v>1155</v>
      </c>
      <c r="F19" s="22">
        <v>1000</v>
      </c>
      <c r="G19" s="41">
        <f t="shared" si="1"/>
        <v>2155</v>
      </c>
      <c r="H19" s="51">
        <v>2155</v>
      </c>
      <c r="L19" s="266" t="s">
        <v>144</v>
      </c>
      <c r="M19" s="15">
        <v>15995</v>
      </c>
    </row>
    <row r="20" spans="1:13" x14ac:dyDescent="0.25">
      <c r="A20" s="29">
        <v>304</v>
      </c>
      <c r="B20" s="30">
        <v>0.59</v>
      </c>
      <c r="C20" s="30">
        <v>0.68</v>
      </c>
      <c r="D20" s="22">
        <f t="shared" si="0"/>
        <v>90.000000000000085</v>
      </c>
      <c r="E20" s="38">
        <f>ROUND(D20*D23,0)</f>
        <v>6</v>
      </c>
      <c r="F20" s="22">
        <v>600</v>
      </c>
      <c r="G20" s="41">
        <f t="shared" si="1"/>
        <v>606</v>
      </c>
      <c r="H20" s="51">
        <v>600</v>
      </c>
    </row>
    <row r="21" spans="1:13" ht="15.75" customHeight="1" x14ac:dyDescent="0.25">
      <c r="A21" s="22"/>
      <c r="B21" s="22"/>
      <c r="C21" s="22"/>
      <c r="D21" s="22"/>
      <c r="E21" s="40">
        <f>SUM(E5:E20)</f>
        <v>6000</v>
      </c>
      <c r="F21" s="27">
        <f>SUM(F3:F20)</f>
        <v>14200</v>
      </c>
      <c r="G21" s="22">
        <f t="shared" si="1"/>
        <v>20200</v>
      </c>
      <c r="H21" s="55">
        <f>SUM(H3:H20)</f>
        <v>20190</v>
      </c>
      <c r="L21" s="56" t="s">
        <v>145</v>
      </c>
      <c r="M21" s="57">
        <f>M18-M19</f>
        <v>8875</v>
      </c>
    </row>
    <row r="22" spans="1:13" ht="15.75" customHeight="1" x14ac:dyDescent="0.25">
      <c r="A22" s="22"/>
      <c r="B22" s="22" t="s">
        <v>75</v>
      </c>
      <c r="C22" s="22"/>
      <c r="D22" s="44">
        <f>SUM(D5:D21)</f>
        <v>83499.999999999971</v>
      </c>
      <c r="E22" s="41"/>
      <c r="F22" s="22"/>
      <c r="G22" s="22"/>
    </row>
    <row r="23" spans="1:13" ht="17.25" customHeight="1" x14ac:dyDescent="0.25">
      <c r="A23" s="22"/>
      <c r="B23" s="22" t="s">
        <v>84</v>
      </c>
      <c r="C23" s="22"/>
      <c r="D23" s="22">
        <f>B26/D22</f>
        <v>7.1856287425149726E-2</v>
      </c>
      <c r="E23" s="41"/>
      <c r="F23" s="22"/>
      <c r="G23" s="22"/>
      <c r="L23" s="58" t="s">
        <v>146</v>
      </c>
      <c r="M23" s="59">
        <v>40000</v>
      </c>
    </row>
    <row r="24" spans="1:13" ht="15.75" customHeight="1" x14ac:dyDescent="0.25">
      <c r="A24" s="22"/>
      <c r="B24" s="22"/>
      <c r="C24" s="22"/>
      <c r="D24" s="22"/>
      <c r="E24" s="41"/>
      <c r="F24" s="22"/>
      <c r="G24" s="22"/>
    </row>
    <row r="25" spans="1:13" ht="15.75" customHeight="1" x14ac:dyDescent="0.25">
      <c r="A25" s="22"/>
      <c r="B25" s="22"/>
      <c r="C25" s="22"/>
      <c r="D25" s="22"/>
      <c r="E25" s="41"/>
      <c r="F25" s="22"/>
      <c r="G25" s="22"/>
    </row>
    <row r="26" spans="1:13" ht="15.75" customHeight="1" x14ac:dyDescent="0.25">
      <c r="A26" s="22" t="s">
        <v>85</v>
      </c>
      <c r="B26" s="30">
        <f>6000</f>
        <v>6000</v>
      </c>
      <c r="C26" s="30"/>
      <c r="D26" s="22"/>
      <c r="E26" s="41"/>
      <c r="F26" s="22"/>
      <c r="G26" s="22"/>
    </row>
    <row r="27" spans="1:13" ht="30" customHeight="1" x14ac:dyDescent="0.25">
      <c r="A27" s="47" t="s">
        <v>147</v>
      </c>
      <c r="C27" s="1">
        <v>6000</v>
      </c>
    </row>
    <row r="28" spans="1:13" ht="15.75" customHeight="1" x14ac:dyDescent="0.25">
      <c r="A28" s="46"/>
      <c r="B28" s="46"/>
      <c r="C28" s="46"/>
      <c r="D28" s="46"/>
      <c r="E28" s="46"/>
      <c r="F28" s="46"/>
      <c r="G28" s="46"/>
      <c r="H28" s="46"/>
    </row>
    <row r="29" spans="1:13" ht="15.75" customHeight="1" x14ac:dyDescent="0.25"/>
    <row r="30" spans="1:13" ht="15.75" customHeight="1" x14ac:dyDescent="0.25">
      <c r="A30" s="27" t="s">
        <v>64</v>
      </c>
      <c r="B30" s="27" t="s">
        <v>80</v>
      </c>
      <c r="C30" s="27" t="s">
        <v>65</v>
      </c>
      <c r="D30" s="27" t="s">
        <v>66</v>
      </c>
      <c r="E30" s="37" t="s">
        <v>52</v>
      </c>
      <c r="F30" s="22" t="s">
        <v>81</v>
      </c>
      <c r="G30" s="41" t="s">
        <v>82</v>
      </c>
      <c r="H30" s="27"/>
      <c r="I30" s="36"/>
      <c r="J30" s="266" t="s">
        <v>122</v>
      </c>
      <c r="K30" s="36"/>
      <c r="L30" s="36"/>
      <c r="M30" s="36"/>
    </row>
    <row r="31" spans="1:13" ht="15.75" customHeight="1" x14ac:dyDescent="0.25">
      <c r="A31" s="49" t="s">
        <v>130</v>
      </c>
      <c r="B31" s="29" t="s">
        <v>131</v>
      </c>
      <c r="C31" s="29" t="s">
        <v>131</v>
      </c>
      <c r="D31" s="29" t="s">
        <v>131</v>
      </c>
      <c r="E31" s="50" t="s">
        <v>131</v>
      </c>
      <c r="F31" s="22">
        <v>300</v>
      </c>
      <c r="G31" s="41">
        <v>300</v>
      </c>
      <c r="H31" s="51"/>
      <c r="I31" s="1">
        <v>300</v>
      </c>
      <c r="J31" s="1">
        <f t="shared" ref="J31:J49" si="2">G31-I31</f>
        <v>0</v>
      </c>
    </row>
    <row r="32" spans="1:13" ht="15.75" customHeight="1" x14ac:dyDescent="0.25">
      <c r="A32" s="49" t="s">
        <v>132</v>
      </c>
      <c r="B32" s="29" t="s">
        <v>131</v>
      </c>
      <c r="C32" s="29" t="s">
        <v>131</v>
      </c>
      <c r="D32" s="29" t="s">
        <v>131</v>
      </c>
      <c r="E32" s="50" t="s">
        <v>131</v>
      </c>
      <c r="F32" s="22">
        <v>300</v>
      </c>
      <c r="G32" s="41">
        <v>300</v>
      </c>
      <c r="H32" s="51"/>
      <c r="I32" s="1">
        <v>300</v>
      </c>
      <c r="J32" s="1">
        <f t="shared" si="2"/>
        <v>0</v>
      </c>
    </row>
    <row r="33" spans="1:10" ht="15.75" customHeight="1" x14ac:dyDescent="0.25">
      <c r="A33" s="29" t="s">
        <v>68</v>
      </c>
      <c r="B33" s="30">
        <v>1.0900000000000001</v>
      </c>
      <c r="C33" s="30">
        <v>1.0900000000000001</v>
      </c>
      <c r="D33" s="44">
        <f t="shared" ref="D33:D48" si="3">(C33-B33)*1000</f>
        <v>0</v>
      </c>
      <c r="E33" s="38">
        <f>ROUND(D33*D51,0)</f>
        <v>0</v>
      </c>
      <c r="F33" s="22">
        <v>600</v>
      </c>
      <c r="G33" s="41">
        <f t="shared" ref="G33:G49" si="4">SUM(E33:F33)</f>
        <v>600</v>
      </c>
      <c r="H33" s="51"/>
      <c r="I33" s="1">
        <v>600</v>
      </c>
      <c r="J33" s="1">
        <f t="shared" si="2"/>
        <v>0</v>
      </c>
    </row>
    <row r="34" spans="1:10" ht="15.75" customHeight="1" x14ac:dyDescent="0.25">
      <c r="A34" s="29" t="s">
        <v>70</v>
      </c>
      <c r="B34" s="30">
        <v>18.59</v>
      </c>
      <c r="C34" s="30">
        <v>27.39</v>
      </c>
      <c r="D34" s="22">
        <f t="shared" si="3"/>
        <v>8800</v>
      </c>
      <c r="E34" s="38">
        <f>ROUND(D34*D51,0)</f>
        <v>848</v>
      </c>
      <c r="F34" s="22">
        <v>1000</v>
      </c>
      <c r="G34" s="41">
        <f t="shared" si="4"/>
        <v>1848</v>
      </c>
      <c r="H34" s="51"/>
      <c r="I34" s="1">
        <v>1632</v>
      </c>
      <c r="J34" s="1">
        <f t="shared" si="2"/>
        <v>216</v>
      </c>
    </row>
    <row r="35" spans="1:10" ht="15.75" customHeight="1" x14ac:dyDescent="0.25">
      <c r="A35" s="32" t="s">
        <v>16</v>
      </c>
      <c r="B35" s="33">
        <v>72.599999999999994</v>
      </c>
      <c r="C35" s="33">
        <v>84.19</v>
      </c>
      <c r="D35" s="22">
        <f t="shared" si="3"/>
        <v>11590.000000000004</v>
      </c>
      <c r="E35" s="39">
        <f>ROUND(D35*D51,0)</f>
        <v>1117</v>
      </c>
      <c r="F35" s="22">
        <v>1000</v>
      </c>
      <c r="G35" s="41">
        <f t="shared" si="4"/>
        <v>2117</v>
      </c>
      <c r="H35" s="51"/>
      <c r="I35" s="1">
        <v>1833</v>
      </c>
      <c r="J35" s="1">
        <f t="shared" si="2"/>
        <v>284</v>
      </c>
    </row>
    <row r="36" spans="1:10" ht="15.75" customHeight="1" x14ac:dyDescent="0.25">
      <c r="A36" s="32" t="s">
        <v>13</v>
      </c>
      <c r="B36" s="33">
        <v>74.849999999999994</v>
      </c>
      <c r="C36" s="33">
        <v>83.56</v>
      </c>
      <c r="D36" s="22">
        <f t="shared" si="3"/>
        <v>8710.0000000000073</v>
      </c>
      <c r="E36" s="39">
        <f>ROUND(D36*D51,0)</f>
        <v>839</v>
      </c>
      <c r="F36" s="22">
        <v>1000</v>
      </c>
      <c r="G36" s="41">
        <f t="shared" si="4"/>
        <v>1839</v>
      </c>
      <c r="H36" s="51"/>
      <c r="I36" s="1">
        <v>1626</v>
      </c>
      <c r="J36" s="1">
        <f t="shared" si="2"/>
        <v>213</v>
      </c>
    </row>
    <row r="37" spans="1:10" ht="15.75" customHeight="1" x14ac:dyDescent="0.25">
      <c r="A37" s="29">
        <v>101</v>
      </c>
      <c r="B37" s="30">
        <v>0.38</v>
      </c>
      <c r="C37" s="30">
        <v>0.38</v>
      </c>
      <c r="D37" s="22">
        <f t="shared" si="3"/>
        <v>0</v>
      </c>
      <c r="E37" s="38">
        <f>ROUND(D37*D51,0)</f>
        <v>0</v>
      </c>
      <c r="F37" s="22">
        <v>600</v>
      </c>
      <c r="G37" s="41">
        <f t="shared" si="4"/>
        <v>600</v>
      </c>
      <c r="H37" s="51"/>
      <c r="I37" s="1">
        <v>600</v>
      </c>
      <c r="J37" s="1">
        <f t="shared" si="2"/>
        <v>0</v>
      </c>
    </row>
    <row r="38" spans="1:10" ht="15.75" customHeight="1" x14ac:dyDescent="0.25">
      <c r="A38" s="32">
        <v>102</v>
      </c>
      <c r="B38" s="33">
        <v>133.74</v>
      </c>
      <c r="C38" s="33">
        <v>139.19</v>
      </c>
      <c r="D38" s="22">
        <f t="shared" si="3"/>
        <v>5449.9999999999891</v>
      </c>
      <c r="E38" s="39">
        <f>ROUND(D38*D51,0)</f>
        <v>525</v>
      </c>
      <c r="F38" s="22">
        <v>1000</v>
      </c>
      <c r="G38" s="41">
        <f t="shared" si="4"/>
        <v>1525</v>
      </c>
      <c r="H38" s="51"/>
      <c r="I38" s="1">
        <v>1392</v>
      </c>
      <c r="J38" s="1">
        <f t="shared" si="2"/>
        <v>133</v>
      </c>
    </row>
    <row r="39" spans="1:10" ht="15.75" customHeight="1" x14ac:dyDescent="0.25">
      <c r="A39" s="29">
        <v>103</v>
      </c>
      <c r="B39" s="30">
        <v>0.83</v>
      </c>
      <c r="C39" s="30">
        <v>0.83</v>
      </c>
      <c r="D39" s="22">
        <f t="shared" si="3"/>
        <v>0</v>
      </c>
      <c r="E39" s="38">
        <f>ROUND(D39*D51,0)</f>
        <v>0</v>
      </c>
      <c r="F39" s="22">
        <v>1000</v>
      </c>
      <c r="G39" s="41">
        <f t="shared" si="4"/>
        <v>1000</v>
      </c>
      <c r="H39" s="51"/>
      <c r="I39" s="1">
        <v>1000</v>
      </c>
      <c r="J39" s="1">
        <f t="shared" si="2"/>
        <v>0</v>
      </c>
    </row>
    <row r="40" spans="1:10" ht="15.75" customHeight="1" x14ac:dyDescent="0.25">
      <c r="A40" s="32">
        <v>104</v>
      </c>
      <c r="B40" s="45">
        <v>42.45</v>
      </c>
      <c r="C40" s="45">
        <v>47.4</v>
      </c>
      <c r="D40" s="22">
        <f t="shared" si="3"/>
        <v>4949.9999999999955</v>
      </c>
      <c r="E40" s="39">
        <f>ROUND(D40*D51,0)</f>
        <v>477</v>
      </c>
      <c r="F40" s="22">
        <v>1000</v>
      </c>
      <c r="G40" s="41">
        <f t="shared" si="4"/>
        <v>1477</v>
      </c>
      <c r="H40" s="51"/>
      <c r="I40" s="1">
        <v>1356</v>
      </c>
      <c r="J40" s="1">
        <f t="shared" si="2"/>
        <v>121</v>
      </c>
    </row>
    <row r="41" spans="1:10" ht="15.75" customHeight="1" x14ac:dyDescent="0.25">
      <c r="A41" s="267">
        <v>201</v>
      </c>
      <c r="B41" s="268">
        <v>1.53</v>
      </c>
      <c r="C41" s="268">
        <v>1.59</v>
      </c>
      <c r="D41" s="22">
        <f t="shared" si="3"/>
        <v>60.000000000000057</v>
      </c>
      <c r="E41" s="38">
        <f>ROUND(D41*D51,0)</f>
        <v>6</v>
      </c>
      <c r="F41" s="22">
        <v>600</v>
      </c>
      <c r="G41" s="41">
        <f t="shared" si="4"/>
        <v>606</v>
      </c>
      <c r="H41" s="51"/>
      <c r="I41" s="1">
        <v>604</v>
      </c>
      <c r="J41" s="1">
        <f t="shared" si="2"/>
        <v>2</v>
      </c>
    </row>
    <row r="42" spans="1:10" ht="15.75" customHeight="1" x14ac:dyDescent="0.25">
      <c r="A42" s="32">
        <v>202</v>
      </c>
      <c r="B42" s="33">
        <v>86.58</v>
      </c>
      <c r="C42" s="33">
        <v>95.35</v>
      </c>
      <c r="D42" s="22">
        <f t="shared" si="3"/>
        <v>8769.9999999999964</v>
      </c>
      <c r="E42" s="39">
        <f>ROUND(D42*D51,0)</f>
        <v>845</v>
      </c>
      <c r="F42" s="22">
        <v>1000</v>
      </c>
      <c r="G42" s="41">
        <f t="shared" si="4"/>
        <v>1845</v>
      </c>
      <c r="H42" s="51"/>
      <c r="I42" s="1">
        <v>1630</v>
      </c>
      <c r="J42" s="1">
        <f t="shared" si="2"/>
        <v>215</v>
      </c>
    </row>
    <row r="43" spans="1:10" ht="15.75" customHeight="1" x14ac:dyDescent="0.25">
      <c r="A43" s="29">
        <v>203</v>
      </c>
      <c r="B43" s="30">
        <v>31.59</v>
      </c>
      <c r="C43" s="30">
        <v>43.25</v>
      </c>
      <c r="D43" s="22">
        <f t="shared" si="3"/>
        <v>11660</v>
      </c>
      <c r="E43" s="38">
        <f>ROUND(D43*D51,0)</f>
        <v>1123</v>
      </c>
      <c r="F43" s="22">
        <v>1000</v>
      </c>
      <c r="G43" s="41">
        <f t="shared" si="4"/>
        <v>2123</v>
      </c>
      <c r="H43" s="51"/>
      <c r="I43" s="1">
        <v>1838</v>
      </c>
      <c r="J43" s="1">
        <f t="shared" si="2"/>
        <v>285</v>
      </c>
    </row>
    <row r="44" spans="1:10" ht="15.75" customHeight="1" x14ac:dyDescent="0.25">
      <c r="A44" s="29">
        <v>204</v>
      </c>
      <c r="B44" s="30">
        <v>22.86</v>
      </c>
      <c r="C44" s="30">
        <v>30.21</v>
      </c>
      <c r="D44" s="22">
        <f t="shared" si="3"/>
        <v>7350.0000000000018</v>
      </c>
      <c r="E44" s="38">
        <f>ROUND(D44*D51,0)</f>
        <v>708</v>
      </c>
      <c r="F44" s="22">
        <v>1000</v>
      </c>
      <c r="G44" s="41">
        <f t="shared" si="4"/>
        <v>1708</v>
      </c>
      <c r="H44" s="51"/>
      <c r="I44" s="1">
        <v>1528</v>
      </c>
      <c r="J44" s="1">
        <f t="shared" si="2"/>
        <v>180</v>
      </c>
    </row>
    <row r="45" spans="1:10" ht="15.75" customHeight="1" x14ac:dyDescent="0.25">
      <c r="A45" s="29">
        <v>301</v>
      </c>
      <c r="B45" s="30">
        <v>0.38</v>
      </c>
      <c r="C45" s="30">
        <v>0.38</v>
      </c>
      <c r="D45" s="22">
        <f t="shared" si="3"/>
        <v>0</v>
      </c>
      <c r="E45" s="38">
        <f>ROUND(D45*D51,0)</f>
        <v>0</v>
      </c>
      <c r="F45" s="22">
        <v>600</v>
      </c>
      <c r="G45" s="41">
        <f t="shared" si="4"/>
        <v>600</v>
      </c>
      <c r="H45" s="51"/>
      <c r="I45" s="1">
        <v>600</v>
      </c>
      <c r="J45" s="1">
        <f t="shared" si="2"/>
        <v>0</v>
      </c>
    </row>
    <row r="46" spans="1:10" ht="15.75" customHeight="1" x14ac:dyDescent="0.25">
      <c r="A46" s="29">
        <v>302</v>
      </c>
      <c r="B46" s="30">
        <v>0.38</v>
      </c>
      <c r="C46" s="30">
        <v>0.38</v>
      </c>
      <c r="D46" s="22">
        <f t="shared" si="3"/>
        <v>0</v>
      </c>
      <c r="E46" s="38">
        <f>ROUND(D46*D51,0)</f>
        <v>0</v>
      </c>
      <c r="F46" s="22">
        <v>600</v>
      </c>
      <c r="G46" s="41">
        <f t="shared" si="4"/>
        <v>600</v>
      </c>
      <c r="H46" s="51"/>
      <c r="I46" s="1">
        <v>600</v>
      </c>
      <c r="J46" s="1">
        <f t="shared" si="2"/>
        <v>0</v>
      </c>
    </row>
    <row r="47" spans="1:10" ht="15.75" customHeight="1" x14ac:dyDescent="0.25">
      <c r="A47" s="32">
        <v>303</v>
      </c>
      <c r="B47" s="33">
        <v>200.12</v>
      </c>
      <c r="C47" s="33">
        <v>216.19</v>
      </c>
      <c r="D47" s="22">
        <f t="shared" si="3"/>
        <v>16069.999999999993</v>
      </c>
      <c r="E47" s="39">
        <f>ROUND(D47*D51,0)</f>
        <v>1548</v>
      </c>
      <c r="F47" s="22">
        <v>1000</v>
      </c>
      <c r="G47" s="41">
        <f t="shared" si="4"/>
        <v>2548</v>
      </c>
      <c r="H47" s="51"/>
      <c r="I47" s="1">
        <v>2155</v>
      </c>
      <c r="J47" s="1">
        <f t="shared" si="2"/>
        <v>393</v>
      </c>
    </row>
    <row r="48" spans="1:10" ht="15.75" customHeight="1" x14ac:dyDescent="0.25">
      <c r="A48" s="29">
        <v>304</v>
      </c>
      <c r="B48" s="30">
        <v>0.59</v>
      </c>
      <c r="C48" s="30">
        <v>0.68</v>
      </c>
      <c r="D48" s="22">
        <f t="shared" si="3"/>
        <v>90.000000000000085</v>
      </c>
      <c r="E48" s="38">
        <f>ROUND(D48*D51,0)</f>
        <v>9</v>
      </c>
      <c r="F48" s="22">
        <v>600</v>
      </c>
      <c r="G48" s="41">
        <f t="shared" si="4"/>
        <v>609</v>
      </c>
      <c r="H48" s="51"/>
      <c r="I48" s="1">
        <v>606</v>
      </c>
      <c r="J48" s="1">
        <f t="shared" si="2"/>
        <v>3</v>
      </c>
    </row>
    <row r="49" spans="1:13" ht="15.75" customHeight="1" x14ac:dyDescent="0.25">
      <c r="A49" s="22"/>
      <c r="B49" s="22"/>
      <c r="C49" s="22"/>
      <c r="D49" s="22"/>
      <c r="E49" s="40">
        <f>SUM(E33:E48)</f>
        <v>8045</v>
      </c>
      <c r="F49" s="27">
        <f>SUM(F31:F48)</f>
        <v>14200</v>
      </c>
      <c r="G49" s="22">
        <f t="shared" si="4"/>
        <v>22245</v>
      </c>
      <c r="H49" s="55"/>
      <c r="I49" s="1">
        <v>20200</v>
      </c>
      <c r="J49" s="1">
        <f t="shared" si="2"/>
        <v>2045</v>
      </c>
    </row>
    <row r="50" spans="1:13" ht="15.75" customHeight="1" x14ac:dyDescent="0.25">
      <c r="A50" s="22"/>
      <c r="B50" s="22" t="s">
        <v>75</v>
      </c>
      <c r="C50" s="22"/>
      <c r="D50" s="44">
        <f>SUM(D33:D49)</f>
        <v>83499.999999999971</v>
      </c>
      <c r="E50" s="41"/>
      <c r="F50" s="22"/>
      <c r="G50" s="22"/>
    </row>
    <row r="51" spans="1:13" ht="15.75" customHeight="1" x14ac:dyDescent="0.25">
      <c r="A51" s="22"/>
      <c r="B51" s="22" t="s">
        <v>84</v>
      </c>
      <c r="C51" s="22"/>
      <c r="D51" s="22">
        <f>B54/D50</f>
        <v>9.6335329341317402E-2</v>
      </c>
      <c r="E51" s="41"/>
      <c r="F51" s="22"/>
      <c r="G51" s="22"/>
    </row>
    <row r="52" spans="1:13" ht="15.75" customHeight="1" x14ac:dyDescent="0.25">
      <c r="A52" s="22"/>
      <c r="B52" s="22"/>
      <c r="C52" s="22"/>
      <c r="D52" s="22"/>
      <c r="E52" s="41"/>
      <c r="F52" s="22"/>
      <c r="G52" s="22"/>
    </row>
    <row r="53" spans="1:13" ht="15.75" customHeight="1" x14ac:dyDescent="0.25">
      <c r="A53" s="22"/>
      <c r="B53" s="22"/>
      <c r="C53" s="22"/>
      <c r="D53" s="22"/>
      <c r="E53" s="41"/>
      <c r="F53" s="22"/>
      <c r="G53" s="22"/>
    </row>
    <row r="54" spans="1:13" ht="15.75" customHeight="1" x14ac:dyDescent="0.25">
      <c r="A54" s="22" t="s">
        <v>85</v>
      </c>
      <c r="B54" s="30">
        <f>6000+2044</f>
        <v>8044</v>
      </c>
      <c r="C54" s="30"/>
      <c r="D54" s="22"/>
      <c r="E54" s="41"/>
      <c r="F54" s="22"/>
      <c r="G54" s="22"/>
    </row>
    <row r="55" spans="1:13" ht="30" customHeight="1" x14ac:dyDescent="0.25">
      <c r="A55" s="47" t="s">
        <v>147</v>
      </c>
      <c r="C55" s="1">
        <v>6000</v>
      </c>
    </row>
    <row r="56" spans="1:13" ht="15.75" customHeight="1" x14ac:dyDescent="0.25"/>
    <row r="57" spans="1:13" ht="15.75" customHeight="1" x14ac:dyDescent="0.25">
      <c r="A57" s="40" t="s">
        <v>64</v>
      </c>
      <c r="B57" s="60" t="s">
        <v>148</v>
      </c>
      <c r="C57" s="60" t="s">
        <v>149</v>
      </c>
      <c r="D57" s="60" t="s">
        <v>150</v>
      </c>
      <c r="E57" s="60" t="s">
        <v>151</v>
      </c>
      <c r="F57" s="61" t="s">
        <v>152</v>
      </c>
      <c r="G57" s="62" t="s">
        <v>153</v>
      </c>
      <c r="L57" s="63" t="s">
        <v>154</v>
      </c>
      <c r="M57" s="63" t="s">
        <v>134</v>
      </c>
    </row>
    <row r="58" spans="1:13" ht="15.75" customHeight="1" x14ac:dyDescent="0.25">
      <c r="A58" s="21" t="s">
        <v>68</v>
      </c>
      <c r="B58" s="29">
        <v>0</v>
      </c>
      <c r="C58" s="29">
        <v>0</v>
      </c>
      <c r="D58" s="29">
        <v>2</v>
      </c>
      <c r="E58" s="29">
        <v>0</v>
      </c>
      <c r="F58" s="64">
        <f t="shared" ref="F58:F73" si="5">SUM(B58:E58)</f>
        <v>2</v>
      </c>
      <c r="L58" s="1" t="s">
        <v>155</v>
      </c>
      <c r="M58" s="1">
        <v>8172</v>
      </c>
    </row>
    <row r="59" spans="1:13" ht="15.75" customHeight="1" x14ac:dyDescent="0.25">
      <c r="A59" s="21" t="s">
        <v>70</v>
      </c>
      <c r="B59" s="29">
        <v>79</v>
      </c>
      <c r="C59" s="29">
        <v>250</v>
      </c>
      <c r="D59" s="29">
        <v>146</v>
      </c>
      <c r="E59" s="29">
        <v>216</v>
      </c>
      <c r="F59" s="32">
        <f t="shared" si="5"/>
        <v>691</v>
      </c>
      <c r="G59" s="1">
        <v>691</v>
      </c>
      <c r="L59" s="1" t="s">
        <v>156</v>
      </c>
      <c r="M59" s="1">
        <v>20190</v>
      </c>
    </row>
    <row r="60" spans="1:13" ht="15.75" customHeight="1" x14ac:dyDescent="0.25">
      <c r="A60" s="65" t="s">
        <v>16</v>
      </c>
      <c r="B60" s="29">
        <v>38</v>
      </c>
      <c r="C60" s="29">
        <v>0</v>
      </c>
      <c r="D60" s="29">
        <v>2</v>
      </c>
      <c r="E60" s="29">
        <v>284</v>
      </c>
      <c r="F60" s="32">
        <f t="shared" si="5"/>
        <v>324</v>
      </c>
      <c r="G60" s="1">
        <v>324</v>
      </c>
      <c r="L60" s="1" t="s">
        <v>157</v>
      </c>
      <c r="M60" s="1">
        <v>3000</v>
      </c>
    </row>
    <row r="61" spans="1:13" ht="15.75" customHeight="1" x14ac:dyDescent="0.25">
      <c r="A61" s="65" t="s">
        <v>13</v>
      </c>
      <c r="B61" s="29">
        <v>223</v>
      </c>
      <c r="C61" s="29">
        <v>225</v>
      </c>
      <c r="D61" s="29">
        <v>193</v>
      </c>
      <c r="E61" s="29">
        <v>213</v>
      </c>
      <c r="F61" s="32">
        <f t="shared" si="5"/>
        <v>854</v>
      </c>
      <c r="G61" s="1">
        <v>854</v>
      </c>
      <c r="L61" s="66" t="s">
        <v>158</v>
      </c>
      <c r="M61" s="66">
        <f>SUM(M58:M60)</f>
        <v>31362</v>
      </c>
    </row>
    <row r="62" spans="1:13" ht="15.75" customHeight="1" x14ac:dyDescent="0.25">
      <c r="A62" s="21">
        <v>101</v>
      </c>
      <c r="B62" s="29">
        <v>0</v>
      </c>
      <c r="C62" s="29">
        <v>0</v>
      </c>
      <c r="D62" s="29">
        <v>0</v>
      </c>
      <c r="E62" s="29">
        <v>0</v>
      </c>
      <c r="F62" s="64">
        <f t="shared" si="5"/>
        <v>0</v>
      </c>
      <c r="L62" s="1" t="s">
        <v>159</v>
      </c>
      <c r="M62" s="1">
        <v>8875</v>
      </c>
    </row>
    <row r="63" spans="1:13" ht="15.75" customHeight="1" x14ac:dyDescent="0.25">
      <c r="A63" s="65">
        <v>102</v>
      </c>
      <c r="B63" s="29">
        <v>329</v>
      </c>
      <c r="C63" s="29">
        <v>308</v>
      </c>
      <c r="D63" s="29">
        <v>335</v>
      </c>
      <c r="E63" s="29">
        <v>133</v>
      </c>
      <c r="F63" s="29">
        <f t="shared" si="5"/>
        <v>1105</v>
      </c>
      <c r="G63" s="67">
        <v>1105</v>
      </c>
      <c r="L63" s="55" t="s">
        <v>20</v>
      </c>
      <c r="M63" s="55">
        <f>SUM(M61:M62)</f>
        <v>40237</v>
      </c>
    </row>
    <row r="64" spans="1:13" ht="15.75" customHeight="1" x14ac:dyDescent="0.25">
      <c r="A64" s="21">
        <v>103</v>
      </c>
      <c r="B64" s="29">
        <v>0</v>
      </c>
      <c r="C64" s="29">
        <v>0</v>
      </c>
      <c r="D64" s="29">
        <v>0</v>
      </c>
      <c r="E64" s="29">
        <v>0</v>
      </c>
      <c r="F64" s="64">
        <f t="shared" si="5"/>
        <v>0</v>
      </c>
    </row>
    <row r="65" spans="1:13" ht="15.75" customHeight="1" x14ac:dyDescent="0.25">
      <c r="A65" s="65">
        <v>104</v>
      </c>
      <c r="B65" s="29">
        <v>369</v>
      </c>
      <c r="C65" s="29">
        <v>172</v>
      </c>
      <c r="D65" s="29">
        <v>106</v>
      </c>
      <c r="E65" s="29">
        <v>121</v>
      </c>
      <c r="F65" s="32">
        <f t="shared" si="5"/>
        <v>768</v>
      </c>
      <c r="G65" s="1">
        <v>768</v>
      </c>
      <c r="L65" s="68" t="s">
        <v>160</v>
      </c>
    </row>
    <row r="66" spans="1:13" ht="15.75" customHeight="1" x14ac:dyDescent="0.25">
      <c r="A66" s="271">
        <v>201</v>
      </c>
      <c r="B66" s="29">
        <v>0</v>
      </c>
      <c r="C66" s="29">
        <v>0</v>
      </c>
      <c r="D66" s="29">
        <v>0</v>
      </c>
      <c r="E66" s="29">
        <v>2</v>
      </c>
      <c r="F66" s="64">
        <f t="shared" si="5"/>
        <v>2</v>
      </c>
      <c r="L66" s="1" t="s">
        <v>161</v>
      </c>
      <c r="M66" s="1">
        <v>6000</v>
      </c>
    </row>
    <row r="67" spans="1:13" ht="15.75" customHeight="1" x14ac:dyDescent="0.25">
      <c r="A67" s="65">
        <v>202</v>
      </c>
      <c r="B67" s="29">
        <v>193</v>
      </c>
      <c r="C67" s="29">
        <v>256</v>
      </c>
      <c r="D67" s="29">
        <v>261</v>
      </c>
      <c r="E67" s="29">
        <v>215</v>
      </c>
      <c r="F67" s="32">
        <f t="shared" si="5"/>
        <v>925</v>
      </c>
      <c r="G67" s="1">
        <v>925</v>
      </c>
      <c r="L67" s="1" t="s">
        <v>162</v>
      </c>
      <c r="M67" s="1">
        <v>800</v>
      </c>
    </row>
    <row r="68" spans="1:13" ht="15.75" customHeight="1" x14ac:dyDescent="0.25">
      <c r="A68" s="21">
        <v>203</v>
      </c>
      <c r="B68" s="29">
        <v>179</v>
      </c>
      <c r="C68" s="29">
        <v>68</v>
      </c>
      <c r="D68" s="29">
        <v>349</v>
      </c>
      <c r="E68" s="29">
        <v>285</v>
      </c>
      <c r="F68" s="32">
        <f t="shared" si="5"/>
        <v>881</v>
      </c>
      <c r="G68" s="1">
        <v>881</v>
      </c>
      <c r="L68" s="1" t="s">
        <v>163</v>
      </c>
      <c r="M68" s="1">
        <v>2783</v>
      </c>
    </row>
    <row r="69" spans="1:13" ht="15.75" customHeight="1" x14ac:dyDescent="0.25">
      <c r="A69" s="21">
        <v>204</v>
      </c>
      <c r="B69" s="29">
        <v>97</v>
      </c>
      <c r="C69" s="29">
        <v>205</v>
      </c>
      <c r="D69" s="29">
        <v>287</v>
      </c>
      <c r="E69" s="29">
        <v>180</v>
      </c>
      <c r="F69" s="32">
        <f t="shared" si="5"/>
        <v>769</v>
      </c>
      <c r="G69" s="1">
        <v>769</v>
      </c>
      <c r="L69" s="1" t="s">
        <v>164</v>
      </c>
      <c r="M69" s="1">
        <v>3000</v>
      </c>
    </row>
    <row r="70" spans="1:13" ht="15.75" customHeight="1" x14ac:dyDescent="0.25">
      <c r="A70" s="21">
        <v>301</v>
      </c>
      <c r="B70" s="29">
        <v>0</v>
      </c>
      <c r="C70" s="29">
        <v>0</v>
      </c>
      <c r="D70" s="29">
        <v>0</v>
      </c>
      <c r="E70" s="29">
        <v>0</v>
      </c>
      <c r="F70" s="64">
        <f t="shared" si="5"/>
        <v>0</v>
      </c>
      <c r="L70" s="1" t="s">
        <v>165</v>
      </c>
      <c r="M70" s="1">
        <v>14308</v>
      </c>
    </row>
    <row r="71" spans="1:13" ht="15.75" customHeight="1" x14ac:dyDescent="0.25">
      <c r="A71" s="21">
        <v>302</v>
      </c>
      <c r="B71" s="29">
        <v>0</v>
      </c>
      <c r="C71" s="29">
        <v>0</v>
      </c>
      <c r="D71" s="29">
        <v>0</v>
      </c>
      <c r="E71" s="29">
        <v>0</v>
      </c>
      <c r="F71" s="64">
        <f t="shared" si="5"/>
        <v>0</v>
      </c>
      <c r="L71" s="1" t="s">
        <v>166</v>
      </c>
      <c r="M71" s="1">
        <v>110</v>
      </c>
    </row>
    <row r="72" spans="1:13" ht="15.75" customHeight="1" x14ac:dyDescent="0.25">
      <c r="A72" s="65">
        <v>303</v>
      </c>
      <c r="B72" s="29">
        <v>538</v>
      </c>
      <c r="C72" s="29">
        <v>561</v>
      </c>
      <c r="D72" s="29">
        <v>363</v>
      </c>
      <c r="E72" s="29">
        <v>393</v>
      </c>
      <c r="F72" s="32">
        <f t="shared" si="5"/>
        <v>1855</v>
      </c>
      <c r="G72" s="1">
        <v>1855</v>
      </c>
      <c r="L72" s="1" t="s">
        <v>167</v>
      </c>
      <c r="M72" s="1">
        <v>340</v>
      </c>
    </row>
    <row r="73" spans="1:13" ht="15.75" customHeight="1" x14ac:dyDescent="0.25">
      <c r="A73" s="21">
        <v>304</v>
      </c>
      <c r="B73" s="29">
        <v>0</v>
      </c>
      <c r="C73" s="29">
        <v>0</v>
      </c>
      <c r="D73" s="29">
        <v>0</v>
      </c>
      <c r="E73" s="29">
        <v>3</v>
      </c>
      <c r="F73" s="64">
        <f t="shared" si="5"/>
        <v>3</v>
      </c>
      <c r="L73" s="1" t="s">
        <v>168</v>
      </c>
      <c r="M73" s="1">
        <v>65</v>
      </c>
    </row>
    <row r="74" spans="1:13" ht="15.75" customHeight="1" x14ac:dyDescent="0.25">
      <c r="B74" s="29">
        <v>2044</v>
      </c>
      <c r="C74" s="29">
        <v>2045</v>
      </c>
      <c r="D74" s="29">
        <v>2044</v>
      </c>
      <c r="E74" s="29">
        <v>2045</v>
      </c>
      <c r="F74" s="29">
        <f t="shared" ref="F74:G74" si="6">SUM(F58:F73)</f>
        <v>8179</v>
      </c>
      <c r="G74" s="55">
        <f t="shared" si="6"/>
        <v>8172</v>
      </c>
      <c r="L74" s="1" t="s">
        <v>169</v>
      </c>
      <c r="M74" s="1">
        <v>5000</v>
      </c>
    </row>
    <row r="75" spans="1:13" ht="15.75" customHeight="1" x14ac:dyDescent="0.25">
      <c r="D75" s="340" t="s">
        <v>170</v>
      </c>
      <c r="E75" s="337"/>
      <c r="F75" s="34">
        <v>14308</v>
      </c>
      <c r="L75" s="55" t="s">
        <v>20</v>
      </c>
      <c r="M75" s="55">
        <f>SUM(M66:M74)</f>
        <v>32406</v>
      </c>
    </row>
    <row r="76" spans="1:13" ht="15.75" customHeight="1" x14ac:dyDescent="0.25">
      <c r="D76" s="340" t="s">
        <v>122</v>
      </c>
      <c r="E76" s="337"/>
      <c r="F76" s="34">
        <f>F75-F74</f>
        <v>6129</v>
      </c>
    </row>
    <row r="77" spans="1:13" ht="15.75" customHeight="1" x14ac:dyDescent="0.25">
      <c r="L77" s="69" t="s">
        <v>171</v>
      </c>
      <c r="M77" s="70">
        <f>M63-M75</f>
        <v>7831</v>
      </c>
    </row>
  </sheetData>
  <mergeCells count="2">
    <mergeCell ref="D75:E75"/>
    <mergeCell ref="D76:E76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M76"/>
  <sheetViews>
    <sheetView workbookViewId="0">
      <selection activeCell="C13" sqref="C13"/>
    </sheetView>
  </sheetViews>
  <sheetFormatPr defaultColWidth="14.42578125" defaultRowHeight="15" customHeight="1" x14ac:dyDescent="0.25"/>
  <cols>
    <col min="1" max="1" width="10.7109375" customWidth="1"/>
    <col min="2" max="2" width="13.28515625" customWidth="1"/>
    <col min="3" max="3" width="12.28515625" customWidth="1"/>
    <col min="4" max="5" width="9.28515625" customWidth="1"/>
    <col min="6" max="6" width="9.85546875" customWidth="1"/>
    <col min="7" max="7" width="11.7109375" customWidth="1"/>
    <col min="8" max="8" width="13.140625" customWidth="1"/>
    <col min="9" max="9" width="24.42578125" customWidth="1"/>
    <col min="10" max="10" width="7.85546875" customWidth="1"/>
    <col min="11" max="11" width="7.5703125" customWidth="1"/>
    <col min="12" max="12" width="22.140625" customWidth="1"/>
    <col min="13" max="33" width="7.85546875" customWidth="1"/>
  </cols>
  <sheetData>
    <row r="2" spans="1:13" x14ac:dyDescent="0.25">
      <c r="A2" s="49" t="s">
        <v>64</v>
      </c>
      <c r="B2" s="49" t="s">
        <v>80</v>
      </c>
      <c r="C2" s="49" t="s">
        <v>65</v>
      </c>
      <c r="D2" s="49" t="s">
        <v>66</v>
      </c>
      <c r="E2" s="71" t="s">
        <v>52</v>
      </c>
      <c r="F2" s="29" t="s">
        <v>81</v>
      </c>
      <c r="G2" s="21" t="s">
        <v>82</v>
      </c>
      <c r="H2" s="49" t="s">
        <v>128</v>
      </c>
      <c r="I2" s="25"/>
      <c r="J2" s="25"/>
      <c r="K2" s="25"/>
      <c r="L2" s="63" t="s">
        <v>154</v>
      </c>
      <c r="M2" s="63" t="s">
        <v>134</v>
      </c>
    </row>
    <row r="3" spans="1:13" x14ac:dyDescent="0.25">
      <c r="A3" s="72" t="s">
        <v>130</v>
      </c>
      <c r="B3" s="32" t="s">
        <v>131</v>
      </c>
      <c r="C3" s="29" t="s">
        <v>131</v>
      </c>
      <c r="D3" s="29" t="s">
        <v>131</v>
      </c>
      <c r="E3" s="50" t="s">
        <v>131</v>
      </c>
      <c r="F3" s="29">
        <v>300</v>
      </c>
      <c r="G3" s="21">
        <v>300</v>
      </c>
      <c r="H3" s="51">
        <v>300</v>
      </c>
      <c r="I3" s="25"/>
      <c r="J3" s="25"/>
      <c r="K3" s="25"/>
      <c r="L3" s="47"/>
    </row>
    <row r="4" spans="1:13" x14ac:dyDescent="0.25">
      <c r="A4" s="72" t="s">
        <v>132</v>
      </c>
      <c r="B4" s="32" t="s">
        <v>131</v>
      </c>
      <c r="C4" s="29" t="s">
        <v>131</v>
      </c>
      <c r="D4" s="29" t="s">
        <v>131</v>
      </c>
      <c r="E4" s="50" t="s">
        <v>131</v>
      </c>
      <c r="F4" s="29">
        <v>300</v>
      </c>
      <c r="G4" s="21">
        <v>300</v>
      </c>
      <c r="H4" s="51">
        <v>300</v>
      </c>
      <c r="I4" s="25"/>
      <c r="J4" s="25"/>
      <c r="K4" s="25"/>
      <c r="L4" s="1" t="s">
        <v>172</v>
      </c>
      <c r="M4" s="1">
        <v>21944</v>
      </c>
    </row>
    <row r="5" spans="1:13" x14ac:dyDescent="0.25">
      <c r="A5" s="73" t="s">
        <v>68</v>
      </c>
      <c r="B5" s="74">
        <v>1.0900000000000001</v>
      </c>
      <c r="C5" s="30">
        <v>1.0900000000000001</v>
      </c>
      <c r="D5" s="30">
        <f t="shared" ref="D5:D20" si="0">(C5-B5)*1000</f>
        <v>0</v>
      </c>
      <c r="E5" s="50">
        <f>ROUND(D5*D23,0)</f>
        <v>0</v>
      </c>
      <c r="F5" s="29">
        <v>600</v>
      </c>
      <c r="G5" s="21">
        <f t="shared" ref="G5:G21" si="1">SUM(E5:F5)</f>
        <v>600</v>
      </c>
      <c r="H5" s="51">
        <v>600</v>
      </c>
      <c r="I5" s="25"/>
      <c r="J5" s="25"/>
      <c r="K5" s="25"/>
    </row>
    <row r="6" spans="1:13" x14ac:dyDescent="0.25">
      <c r="A6" s="32" t="s">
        <v>70</v>
      </c>
      <c r="B6" s="33">
        <v>27.39</v>
      </c>
      <c r="C6" s="30">
        <v>35.15</v>
      </c>
      <c r="D6" s="29">
        <f t="shared" si="0"/>
        <v>7759.9999999999982</v>
      </c>
      <c r="E6" s="50">
        <f>ROUND(D6*D23,0)</f>
        <v>641</v>
      </c>
      <c r="F6" s="29">
        <v>1000</v>
      </c>
      <c r="G6" s="21">
        <f t="shared" si="1"/>
        <v>1641</v>
      </c>
      <c r="H6" s="51">
        <v>1641</v>
      </c>
      <c r="I6" s="25"/>
      <c r="J6" s="25"/>
      <c r="K6" s="25"/>
      <c r="L6" s="66" t="s">
        <v>158</v>
      </c>
      <c r="M6" s="66">
        <f>SUM(M3:M5)</f>
        <v>21944</v>
      </c>
    </row>
    <row r="7" spans="1:13" x14ac:dyDescent="0.25">
      <c r="A7" s="32" t="s">
        <v>16</v>
      </c>
      <c r="B7" s="33">
        <v>84.19</v>
      </c>
      <c r="C7" s="30">
        <v>93.87</v>
      </c>
      <c r="D7" s="29">
        <f t="shared" si="0"/>
        <v>9680.0000000000073</v>
      </c>
      <c r="E7" s="50">
        <f>ROUND(D7*D23,0)</f>
        <v>799</v>
      </c>
      <c r="F7" s="29">
        <v>1000</v>
      </c>
      <c r="G7" s="21">
        <f t="shared" si="1"/>
        <v>1799</v>
      </c>
      <c r="H7" s="51">
        <v>1799</v>
      </c>
      <c r="I7" s="25"/>
      <c r="J7" s="25"/>
      <c r="K7" s="25"/>
      <c r="L7" s="1" t="s">
        <v>173</v>
      </c>
      <c r="M7" s="1">
        <v>7831</v>
      </c>
    </row>
    <row r="8" spans="1:13" x14ac:dyDescent="0.25">
      <c r="A8" s="32" t="s">
        <v>13</v>
      </c>
      <c r="B8" s="33">
        <v>83.56</v>
      </c>
      <c r="C8" s="30">
        <v>90.74</v>
      </c>
      <c r="D8" s="29">
        <f t="shared" si="0"/>
        <v>7179.9999999999927</v>
      </c>
      <c r="E8" s="50">
        <f>ROUND(D8*D23,0)</f>
        <v>593</v>
      </c>
      <c r="F8" s="29">
        <v>1000</v>
      </c>
      <c r="G8" s="21">
        <f t="shared" si="1"/>
        <v>1593</v>
      </c>
      <c r="H8" s="51">
        <v>1593</v>
      </c>
      <c r="I8" s="25"/>
      <c r="J8" s="25"/>
      <c r="K8" s="25"/>
      <c r="L8" s="55" t="s">
        <v>20</v>
      </c>
      <c r="M8" s="55">
        <f>SUM(M6:M7)</f>
        <v>29775</v>
      </c>
    </row>
    <row r="9" spans="1:13" x14ac:dyDescent="0.25">
      <c r="A9" s="73">
        <v>101</v>
      </c>
      <c r="B9" s="74">
        <v>0.38</v>
      </c>
      <c r="C9" s="30">
        <v>0.38</v>
      </c>
      <c r="D9" s="29">
        <f t="shared" si="0"/>
        <v>0</v>
      </c>
      <c r="E9" s="50">
        <f>ROUND(D9*D23,0)</f>
        <v>0</v>
      </c>
      <c r="F9" s="29">
        <v>600</v>
      </c>
      <c r="G9" s="21">
        <f t="shared" si="1"/>
        <v>600</v>
      </c>
      <c r="H9" s="51">
        <v>600</v>
      </c>
      <c r="I9" s="25"/>
      <c r="J9" s="25"/>
      <c r="K9" s="25"/>
    </row>
    <row r="10" spans="1:13" x14ac:dyDescent="0.25">
      <c r="A10" s="32">
        <v>102</v>
      </c>
      <c r="B10" s="33">
        <v>139.19</v>
      </c>
      <c r="C10" s="30">
        <v>146.85</v>
      </c>
      <c r="D10" s="29">
        <f t="shared" si="0"/>
        <v>7659.9999999999964</v>
      </c>
      <c r="E10" s="50">
        <f>ROUND(D10*D23,0)</f>
        <v>633</v>
      </c>
      <c r="F10" s="29">
        <v>1000</v>
      </c>
      <c r="G10" s="21">
        <f t="shared" si="1"/>
        <v>1633</v>
      </c>
      <c r="H10" s="51">
        <v>1633</v>
      </c>
      <c r="I10" s="25"/>
      <c r="J10" s="25"/>
      <c r="K10" s="25"/>
      <c r="L10" s="68" t="s">
        <v>160</v>
      </c>
    </row>
    <row r="11" spans="1:13" x14ac:dyDescent="0.25">
      <c r="A11" s="75">
        <v>103</v>
      </c>
      <c r="B11" s="76">
        <v>0.83</v>
      </c>
      <c r="C11" s="30">
        <v>0.83</v>
      </c>
      <c r="D11" s="29">
        <f t="shared" si="0"/>
        <v>0</v>
      </c>
      <c r="E11" s="50">
        <f>ROUND(D11*D23,0)</f>
        <v>0</v>
      </c>
      <c r="F11" s="29">
        <v>1000</v>
      </c>
      <c r="G11" s="21">
        <f t="shared" si="1"/>
        <v>1000</v>
      </c>
      <c r="H11" s="51">
        <v>1000</v>
      </c>
      <c r="I11" s="25"/>
      <c r="J11" s="25"/>
      <c r="K11" s="25"/>
      <c r="L11" s="1" t="s">
        <v>161</v>
      </c>
      <c r="M11" s="1">
        <v>6500</v>
      </c>
    </row>
    <row r="12" spans="1:13" x14ac:dyDescent="0.25">
      <c r="A12" s="32">
        <v>104</v>
      </c>
      <c r="B12" s="45">
        <v>47.4</v>
      </c>
      <c r="C12" s="77">
        <v>61.12</v>
      </c>
      <c r="D12" s="29">
        <f t="shared" si="0"/>
        <v>13719.999999999998</v>
      </c>
      <c r="E12" s="50">
        <f>ROUND(D12*D23,0)</f>
        <v>1133</v>
      </c>
      <c r="F12" s="29">
        <v>1000</v>
      </c>
      <c r="G12" s="21">
        <f t="shared" si="1"/>
        <v>2133</v>
      </c>
      <c r="H12" s="51">
        <v>2133</v>
      </c>
      <c r="I12" s="25"/>
      <c r="J12" s="25"/>
      <c r="K12" s="25"/>
      <c r="L12" s="1" t="s">
        <v>174</v>
      </c>
      <c r="M12" s="1">
        <v>400</v>
      </c>
    </row>
    <row r="13" spans="1:13" x14ac:dyDescent="0.25">
      <c r="A13" s="78">
        <v>201</v>
      </c>
      <c r="B13" s="79">
        <v>1.59</v>
      </c>
      <c r="C13" s="268">
        <v>1.59</v>
      </c>
      <c r="D13" s="29">
        <f t="shared" si="0"/>
        <v>0</v>
      </c>
      <c r="E13" s="50">
        <f>ROUND(D13*D23,0)</f>
        <v>0</v>
      </c>
      <c r="F13" s="29">
        <v>600</v>
      </c>
      <c r="G13" s="21">
        <f t="shared" si="1"/>
        <v>600</v>
      </c>
      <c r="H13" s="51">
        <v>600</v>
      </c>
      <c r="I13" s="25"/>
      <c r="J13" s="25"/>
      <c r="K13" s="25"/>
      <c r="L13" s="1" t="s">
        <v>163</v>
      </c>
      <c r="M13" s="1">
        <v>6418</v>
      </c>
    </row>
    <row r="14" spans="1:13" x14ac:dyDescent="0.25">
      <c r="A14" s="32">
        <v>202</v>
      </c>
      <c r="B14" s="33">
        <v>95.35</v>
      </c>
      <c r="C14" s="30">
        <v>103.08</v>
      </c>
      <c r="D14" s="29">
        <f t="shared" si="0"/>
        <v>7730.0000000000036</v>
      </c>
      <c r="E14" s="50">
        <f>ROUND(D14*D23,0)</f>
        <v>638</v>
      </c>
      <c r="F14" s="29">
        <v>1000</v>
      </c>
      <c r="G14" s="21">
        <f t="shared" si="1"/>
        <v>1638</v>
      </c>
      <c r="H14" s="51">
        <v>1638</v>
      </c>
      <c r="I14" s="25"/>
      <c r="J14" s="25"/>
      <c r="K14" s="25"/>
      <c r="L14" s="1" t="s">
        <v>175</v>
      </c>
      <c r="M14" s="1">
        <v>350</v>
      </c>
    </row>
    <row r="15" spans="1:13" x14ac:dyDescent="0.25">
      <c r="A15" s="32">
        <v>203</v>
      </c>
      <c r="B15" s="33">
        <v>43.25</v>
      </c>
      <c r="C15" s="30">
        <v>53.9</v>
      </c>
      <c r="D15" s="29">
        <f t="shared" si="0"/>
        <v>10649.999999999998</v>
      </c>
      <c r="E15" s="50">
        <f>ROUND(D15*D23,0)</f>
        <v>880</v>
      </c>
      <c r="F15" s="29">
        <v>1000</v>
      </c>
      <c r="G15" s="21">
        <f t="shared" si="1"/>
        <v>1880</v>
      </c>
      <c r="H15" s="51">
        <v>1880</v>
      </c>
      <c r="I15" s="25"/>
      <c r="J15" s="25"/>
      <c r="K15" s="25"/>
      <c r="L15" s="1" t="s">
        <v>165</v>
      </c>
      <c r="M15" s="1">
        <v>2044</v>
      </c>
    </row>
    <row r="16" spans="1:13" x14ac:dyDescent="0.25">
      <c r="A16" s="32">
        <v>204</v>
      </c>
      <c r="B16" s="33">
        <v>30.21</v>
      </c>
      <c r="C16" s="30">
        <v>36.9</v>
      </c>
      <c r="D16" s="29">
        <f t="shared" si="0"/>
        <v>6689.9999999999982</v>
      </c>
      <c r="E16" s="50">
        <f>ROUND(D16*D23,0)</f>
        <v>553</v>
      </c>
      <c r="F16" s="29">
        <v>1000</v>
      </c>
      <c r="G16" s="21">
        <f t="shared" si="1"/>
        <v>1553</v>
      </c>
      <c r="H16" s="51">
        <v>1553</v>
      </c>
      <c r="I16" s="25"/>
      <c r="J16" s="25"/>
      <c r="K16" s="25"/>
      <c r="L16" s="1" t="s">
        <v>176</v>
      </c>
      <c r="M16" s="1">
        <v>100</v>
      </c>
    </row>
    <row r="17" spans="1:13" x14ac:dyDescent="0.25">
      <c r="A17" s="73">
        <v>301</v>
      </c>
      <c r="B17" s="74">
        <v>0.38</v>
      </c>
      <c r="C17" s="30">
        <v>0.38</v>
      </c>
      <c r="D17" s="29">
        <f t="shared" si="0"/>
        <v>0</v>
      </c>
      <c r="E17" s="50">
        <f>ROUND(D17*D23,0)</f>
        <v>0</v>
      </c>
      <c r="F17" s="29">
        <v>600</v>
      </c>
      <c r="G17" s="21">
        <f t="shared" si="1"/>
        <v>600</v>
      </c>
      <c r="H17" s="51">
        <v>600</v>
      </c>
      <c r="I17" s="25"/>
      <c r="J17" s="25"/>
      <c r="K17" s="25"/>
      <c r="L17" s="1" t="s">
        <v>177</v>
      </c>
      <c r="M17" s="1">
        <v>600</v>
      </c>
    </row>
    <row r="18" spans="1:13" x14ac:dyDescent="0.25">
      <c r="A18" s="73">
        <v>302</v>
      </c>
      <c r="B18" s="74">
        <v>0.38</v>
      </c>
      <c r="C18" s="30">
        <v>0.38</v>
      </c>
      <c r="D18" s="29">
        <f t="shared" si="0"/>
        <v>0</v>
      </c>
      <c r="E18" s="50">
        <f>ROUND(D18*D23,0)</f>
        <v>0</v>
      </c>
      <c r="F18" s="29">
        <v>600</v>
      </c>
      <c r="G18" s="21">
        <f t="shared" si="1"/>
        <v>600</v>
      </c>
      <c r="H18" s="51">
        <v>600</v>
      </c>
      <c r="I18" s="25"/>
      <c r="J18" s="25"/>
      <c r="K18" s="25"/>
      <c r="L18" s="1" t="s">
        <v>178</v>
      </c>
      <c r="M18" s="1">
        <v>400</v>
      </c>
    </row>
    <row r="19" spans="1:13" x14ac:dyDescent="0.25">
      <c r="A19" s="32">
        <v>303</v>
      </c>
      <c r="B19" s="33">
        <v>216.19</v>
      </c>
      <c r="C19" s="30">
        <v>230.41</v>
      </c>
      <c r="D19" s="29">
        <f t="shared" si="0"/>
        <v>14219.999999999998</v>
      </c>
      <c r="E19" s="50">
        <f>ROUND(D19*D23,0)</f>
        <v>1174</v>
      </c>
      <c r="F19" s="29">
        <v>1000</v>
      </c>
      <c r="G19" s="21">
        <f t="shared" si="1"/>
        <v>2174</v>
      </c>
      <c r="H19" s="51">
        <v>2174</v>
      </c>
      <c r="I19" s="25"/>
      <c r="J19" s="25"/>
      <c r="K19" s="25"/>
      <c r="L19" s="1" t="s">
        <v>169</v>
      </c>
      <c r="M19" s="1">
        <v>5000</v>
      </c>
    </row>
    <row r="20" spans="1:13" x14ac:dyDescent="0.25">
      <c r="A20" s="73">
        <v>304</v>
      </c>
      <c r="B20" s="74">
        <v>0.68</v>
      </c>
      <c r="C20" s="30">
        <v>0.68</v>
      </c>
      <c r="D20" s="29">
        <f t="shared" si="0"/>
        <v>0</v>
      </c>
      <c r="E20" s="50">
        <f>ROUND(D20*D23,0)</f>
        <v>0</v>
      </c>
      <c r="F20" s="29">
        <v>600</v>
      </c>
      <c r="G20" s="21">
        <f t="shared" si="1"/>
        <v>600</v>
      </c>
      <c r="H20" s="51">
        <f>600+700</f>
        <v>1300</v>
      </c>
      <c r="I20" s="25" t="s">
        <v>179</v>
      </c>
      <c r="J20" s="25"/>
      <c r="K20" s="25"/>
      <c r="L20" s="55" t="s">
        <v>20</v>
      </c>
      <c r="M20" s="55">
        <f>SUM(M11:M19)</f>
        <v>21812</v>
      </c>
    </row>
    <row r="21" spans="1:13" ht="15.75" customHeight="1" x14ac:dyDescent="0.25">
      <c r="A21" s="29"/>
      <c r="B21" s="29"/>
      <c r="C21" s="29"/>
      <c r="D21" s="29"/>
      <c r="E21" s="80">
        <f>SUM(E5:E20)</f>
        <v>7044</v>
      </c>
      <c r="F21" s="49">
        <f>SUM(F3:F20)</f>
        <v>14200</v>
      </c>
      <c r="G21" s="29">
        <f t="shared" si="1"/>
        <v>21244</v>
      </c>
      <c r="H21" s="25">
        <f>SUM(H3:H20)</f>
        <v>21944</v>
      </c>
      <c r="I21" s="81" t="s">
        <v>171</v>
      </c>
      <c r="J21" s="81">
        <v>7831</v>
      </c>
      <c r="K21" s="25"/>
    </row>
    <row r="22" spans="1:13" ht="15.75" customHeight="1" x14ac:dyDescent="0.25">
      <c r="A22" s="29"/>
      <c r="B22" s="29" t="s">
        <v>75</v>
      </c>
      <c r="C22" s="29"/>
      <c r="D22" s="30">
        <f>SUM(D5:D21)</f>
        <v>85290</v>
      </c>
      <c r="E22" s="21"/>
      <c r="F22" s="29"/>
      <c r="G22" s="29"/>
      <c r="H22" s="25"/>
      <c r="I22" s="25"/>
      <c r="J22" s="25"/>
      <c r="K22" s="25"/>
      <c r="L22" s="69" t="s">
        <v>180</v>
      </c>
      <c r="M22" s="70">
        <f>M8-M20</f>
        <v>7963</v>
      </c>
    </row>
    <row r="23" spans="1:13" ht="17.25" customHeight="1" x14ac:dyDescent="0.25">
      <c r="A23" s="29"/>
      <c r="B23" s="29" t="s">
        <v>84</v>
      </c>
      <c r="C23" s="29"/>
      <c r="D23" s="29">
        <f>B26/D22</f>
        <v>8.2588814632430535E-2</v>
      </c>
      <c r="E23" s="21"/>
      <c r="F23" s="29"/>
      <c r="G23" s="29"/>
      <c r="H23" s="25"/>
      <c r="I23" s="25"/>
      <c r="J23" s="25"/>
      <c r="K23" s="25"/>
      <c r="L23" s="82"/>
      <c r="M23" s="83"/>
    </row>
    <row r="24" spans="1:13" ht="15.75" customHeight="1" x14ac:dyDescent="0.25">
      <c r="A24" s="29"/>
      <c r="B24" s="29"/>
      <c r="C24" s="29"/>
      <c r="D24" s="29"/>
      <c r="E24" s="21"/>
      <c r="F24" s="29"/>
      <c r="G24" s="29"/>
      <c r="H24" s="25"/>
      <c r="I24" s="25"/>
      <c r="J24" s="25"/>
      <c r="K24" s="25"/>
      <c r="L24" s="29"/>
      <c r="M24" s="29"/>
    </row>
    <row r="25" spans="1:13" ht="15.75" customHeight="1" x14ac:dyDescent="0.25">
      <c r="A25" s="29"/>
      <c r="B25" s="29"/>
      <c r="C25" s="29"/>
      <c r="D25" s="29"/>
      <c r="E25" s="21"/>
      <c r="F25" s="29"/>
      <c r="G25" s="29"/>
      <c r="H25" s="25"/>
      <c r="I25" s="25"/>
      <c r="J25" s="25"/>
      <c r="K25" s="25"/>
      <c r="L25" s="29"/>
      <c r="M25" s="29"/>
    </row>
    <row r="26" spans="1:13" ht="15.75" customHeight="1" x14ac:dyDescent="0.25">
      <c r="A26" s="29" t="s">
        <v>85</v>
      </c>
      <c r="B26" s="30">
        <f>5000+2044</f>
        <v>7044</v>
      </c>
      <c r="C26" s="30"/>
      <c r="D26" s="29"/>
      <c r="E26" s="21"/>
      <c r="F26" s="29"/>
      <c r="G26" s="29"/>
      <c r="H26" s="25"/>
      <c r="I26" s="25"/>
      <c r="J26" s="25"/>
      <c r="K26" s="25"/>
      <c r="L26" s="25"/>
      <c r="M26" s="25"/>
    </row>
    <row r="27" spans="1:13" ht="30" customHeight="1" x14ac:dyDescent="0.25">
      <c r="A27" s="84" t="s">
        <v>181</v>
      </c>
      <c r="B27" s="25"/>
      <c r="C27" s="25">
        <v>5000</v>
      </c>
      <c r="D27" s="25"/>
      <c r="E27" s="25"/>
      <c r="F27" s="25"/>
      <c r="G27" s="25"/>
      <c r="H27" s="25"/>
      <c r="I27" s="25"/>
      <c r="J27" s="25"/>
      <c r="K27" s="25"/>
      <c r="L27" s="25"/>
      <c r="M27" s="25"/>
    </row>
    <row r="75" spans="4:5" ht="15.75" customHeight="1" x14ac:dyDescent="0.25">
      <c r="D75" s="338"/>
      <c r="E75" s="339"/>
    </row>
    <row r="76" spans="4:5" ht="15.75" customHeight="1" x14ac:dyDescent="0.25">
      <c r="D76" s="338"/>
      <c r="E76" s="339"/>
    </row>
  </sheetData>
  <mergeCells count="2">
    <mergeCell ref="D75:E75"/>
    <mergeCell ref="D76:E76"/>
  </mergeCell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Q74"/>
  <sheetViews>
    <sheetView workbookViewId="0">
      <selection activeCell="B13" sqref="B13:C13"/>
    </sheetView>
  </sheetViews>
  <sheetFormatPr defaultColWidth="14.42578125" defaultRowHeight="15" customHeight="1" x14ac:dyDescent="0.25"/>
  <cols>
    <col min="1" max="1" width="10.7109375" customWidth="1"/>
    <col min="2" max="2" width="13.28515625" customWidth="1"/>
    <col min="3" max="3" width="12.28515625" customWidth="1"/>
    <col min="4" max="5" width="9.28515625" customWidth="1"/>
    <col min="6" max="6" width="9.85546875" customWidth="1"/>
    <col min="7" max="7" width="11.7109375" customWidth="1"/>
    <col min="8" max="8" width="13.140625" customWidth="1"/>
    <col min="9" max="9" width="25.140625" customWidth="1"/>
    <col min="10" max="10" width="15.42578125" customWidth="1"/>
    <col min="11" max="11" width="7.5703125" customWidth="1"/>
    <col min="12" max="12" width="14.28515625" customWidth="1"/>
    <col min="13" max="13" width="7.85546875" customWidth="1"/>
    <col min="14" max="14" width="14.140625" customWidth="1"/>
    <col min="15" max="15" width="7.85546875" customWidth="1"/>
    <col min="16" max="16" width="9.5703125" customWidth="1"/>
    <col min="17" max="17" width="31.42578125" customWidth="1"/>
    <col min="18" max="37" width="7.85546875" customWidth="1"/>
  </cols>
  <sheetData>
    <row r="2" spans="1:13" x14ac:dyDescent="0.25">
      <c r="A2" s="49" t="s">
        <v>64</v>
      </c>
      <c r="B2" s="49" t="s">
        <v>80</v>
      </c>
      <c r="C2" s="49" t="s">
        <v>65</v>
      </c>
      <c r="D2" s="49" t="s">
        <v>66</v>
      </c>
      <c r="E2" s="71" t="s">
        <v>52</v>
      </c>
      <c r="F2" s="29" t="s">
        <v>81</v>
      </c>
      <c r="G2" s="21" t="s">
        <v>82</v>
      </c>
      <c r="H2" s="49" t="s">
        <v>128</v>
      </c>
      <c r="I2" s="25"/>
      <c r="J2" s="25"/>
      <c r="K2" s="25"/>
      <c r="L2" s="63" t="s">
        <v>154</v>
      </c>
      <c r="M2" s="63" t="s">
        <v>134</v>
      </c>
    </row>
    <row r="3" spans="1:13" ht="16.5" customHeight="1" x14ac:dyDescent="0.25">
      <c r="A3" s="72" t="s">
        <v>130</v>
      </c>
      <c r="B3" s="29" t="s">
        <v>131</v>
      </c>
      <c r="C3" s="29" t="s">
        <v>131</v>
      </c>
      <c r="D3" s="29" t="s">
        <v>131</v>
      </c>
      <c r="E3" s="50" t="s">
        <v>131</v>
      </c>
      <c r="F3" s="29">
        <v>300</v>
      </c>
      <c r="G3" s="21">
        <v>300</v>
      </c>
      <c r="H3" s="51">
        <v>300</v>
      </c>
      <c r="I3" s="25"/>
      <c r="J3" s="25"/>
      <c r="K3" s="25"/>
      <c r="L3" s="47"/>
    </row>
    <row r="4" spans="1:13" x14ac:dyDescent="0.25">
      <c r="A4" s="72" t="s">
        <v>132</v>
      </c>
      <c r="B4" s="29" t="s">
        <v>131</v>
      </c>
      <c r="C4" s="29" t="s">
        <v>131</v>
      </c>
      <c r="D4" s="29" t="s">
        <v>131</v>
      </c>
      <c r="E4" s="50" t="s">
        <v>131</v>
      </c>
      <c r="F4" s="29">
        <v>300</v>
      </c>
      <c r="G4" s="21">
        <v>300</v>
      </c>
      <c r="H4" s="51">
        <v>300</v>
      </c>
      <c r="I4" s="25"/>
      <c r="J4" s="25"/>
      <c r="K4" s="25"/>
      <c r="L4" s="1" t="s">
        <v>156</v>
      </c>
      <c r="M4" s="1">
        <f>H21</f>
        <v>21366</v>
      </c>
    </row>
    <row r="5" spans="1:13" x14ac:dyDescent="0.25">
      <c r="A5" s="73" t="s">
        <v>68</v>
      </c>
      <c r="B5" s="30">
        <v>1.0900000000000001</v>
      </c>
      <c r="C5" s="30">
        <v>1.0900000000000001</v>
      </c>
      <c r="D5" s="30">
        <f t="shared" ref="D5:D20" si="0">(C5-B5)*1000</f>
        <v>0</v>
      </c>
      <c r="E5" s="50">
        <f>ROUND(D5*D23,0)</f>
        <v>0</v>
      </c>
      <c r="F5" s="29">
        <v>600</v>
      </c>
      <c r="G5" s="21">
        <f t="shared" ref="G5:G21" si="1">SUM(E5:F5)</f>
        <v>600</v>
      </c>
      <c r="H5" s="51">
        <v>739</v>
      </c>
      <c r="I5" s="25" t="s">
        <v>182</v>
      </c>
      <c r="J5" s="25"/>
      <c r="K5" s="25"/>
    </row>
    <row r="6" spans="1:13" x14ac:dyDescent="0.25">
      <c r="A6" s="32" t="s">
        <v>70</v>
      </c>
      <c r="B6" s="30">
        <v>35.15</v>
      </c>
      <c r="C6" s="30">
        <v>41.45</v>
      </c>
      <c r="D6" s="29">
        <f t="shared" si="0"/>
        <v>6300.0000000000045</v>
      </c>
      <c r="E6" s="50">
        <f>ROUND(D6*D23,0)</f>
        <v>514</v>
      </c>
      <c r="F6" s="29">
        <v>1000</v>
      </c>
      <c r="G6" s="21">
        <f t="shared" si="1"/>
        <v>1514</v>
      </c>
      <c r="H6" s="51">
        <v>1514</v>
      </c>
      <c r="I6" s="25"/>
      <c r="J6" s="25"/>
      <c r="K6" s="25"/>
      <c r="L6" s="66" t="s">
        <v>158</v>
      </c>
      <c r="M6" s="66">
        <f>SUM(M3:M5)</f>
        <v>21366</v>
      </c>
    </row>
    <row r="7" spans="1:13" x14ac:dyDescent="0.25">
      <c r="A7" s="32" t="s">
        <v>16</v>
      </c>
      <c r="B7" s="30">
        <v>93.87</v>
      </c>
      <c r="C7" s="30">
        <v>103.54</v>
      </c>
      <c r="D7" s="29">
        <f t="shared" si="0"/>
        <v>9670.0000000000018</v>
      </c>
      <c r="E7" s="50">
        <f>ROUND(D7*D23,0)</f>
        <v>789</v>
      </c>
      <c r="F7" s="29">
        <v>1000</v>
      </c>
      <c r="G7" s="21">
        <f t="shared" si="1"/>
        <v>1789</v>
      </c>
      <c r="H7" s="51">
        <v>1789</v>
      </c>
      <c r="I7" s="25"/>
      <c r="J7" s="25"/>
      <c r="K7" s="25"/>
      <c r="L7" s="1" t="s">
        <v>183</v>
      </c>
      <c r="M7" s="1">
        <v>7963</v>
      </c>
    </row>
    <row r="8" spans="1:13" x14ac:dyDescent="0.25">
      <c r="A8" s="32" t="s">
        <v>13</v>
      </c>
      <c r="B8" s="30">
        <v>90.74</v>
      </c>
      <c r="C8" s="30">
        <v>94.8</v>
      </c>
      <c r="D8" s="29">
        <f t="shared" si="0"/>
        <v>4060.0000000000023</v>
      </c>
      <c r="E8" s="50">
        <f>ROUND(D8*D23,0)</f>
        <v>331</v>
      </c>
      <c r="F8" s="29">
        <v>1000</v>
      </c>
      <c r="G8" s="21">
        <f t="shared" si="1"/>
        <v>1331</v>
      </c>
      <c r="H8" s="51">
        <v>1331</v>
      </c>
      <c r="I8" s="25"/>
      <c r="J8" s="25"/>
      <c r="K8" s="25"/>
      <c r="L8" s="55" t="s">
        <v>20</v>
      </c>
      <c r="M8" s="55">
        <f>SUM(M6:M7)</f>
        <v>29329</v>
      </c>
    </row>
    <row r="9" spans="1:13" x14ac:dyDescent="0.25">
      <c r="A9" s="73">
        <v>101</v>
      </c>
      <c r="B9" s="30">
        <v>0.38</v>
      </c>
      <c r="C9" s="30">
        <v>0.38</v>
      </c>
      <c r="D9" s="29">
        <f t="shared" si="0"/>
        <v>0</v>
      </c>
      <c r="E9" s="50">
        <f>ROUND(D9*D23,0)</f>
        <v>0</v>
      </c>
      <c r="F9" s="29">
        <v>600</v>
      </c>
      <c r="G9" s="21">
        <f t="shared" si="1"/>
        <v>600</v>
      </c>
      <c r="H9" s="51">
        <v>600</v>
      </c>
      <c r="I9" s="25"/>
      <c r="J9" s="25"/>
      <c r="K9" s="25"/>
    </row>
    <row r="10" spans="1:13" x14ac:dyDescent="0.25">
      <c r="A10" s="32">
        <v>102</v>
      </c>
      <c r="B10" s="30">
        <v>146.85</v>
      </c>
      <c r="C10" s="30">
        <v>157.11000000000001</v>
      </c>
      <c r="D10" s="29">
        <f t="shared" si="0"/>
        <v>10260.00000000002</v>
      </c>
      <c r="E10" s="50">
        <f>ROUND(D10*D23,0)</f>
        <v>837</v>
      </c>
      <c r="F10" s="29">
        <v>1000</v>
      </c>
      <c r="G10" s="21">
        <f t="shared" si="1"/>
        <v>1837</v>
      </c>
      <c r="H10" s="51">
        <v>1837</v>
      </c>
      <c r="I10" s="25"/>
      <c r="J10" s="25"/>
      <c r="K10" s="25"/>
      <c r="L10" s="68" t="s">
        <v>160</v>
      </c>
    </row>
    <row r="11" spans="1:13" x14ac:dyDescent="0.25">
      <c r="A11" s="75">
        <v>103</v>
      </c>
      <c r="B11" s="30">
        <v>0.83</v>
      </c>
      <c r="C11" s="30">
        <v>0.83</v>
      </c>
      <c r="D11" s="29">
        <f t="shared" si="0"/>
        <v>0</v>
      </c>
      <c r="E11" s="50">
        <f>ROUND(D11*D23,0)</f>
        <v>0</v>
      </c>
      <c r="F11" s="29">
        <v>1000</v>
      </c>
      <c r="G11" s="21">
        <f t="shared" si="1"/>
        <v>1000</v>
      </c>
      <c r="H11" s="51">
        <v>1000</v>
      </c>
      <c r="I11" s="25"/>
      <c r="J11" s="25"/>
      <c r="K11" s="25"/>
      <c r="L11" s="1" t="s">
        <v>161</v>
      </c>
      <c r="M11" s="1">
        <v>6500</v>
      </c>
    </row>
    <row r="12" spans="1:13" x14ac:dyDescent="0.25">
      <c r="A12" s="32">
        <v>104</v>
      </c>
      <c r="B12" s="77">
        <v>61.12</v>
      </c>
      <c r="C12" s="77">
        <v>72.430000000000007</v>
      </c>
      <c r="D12" s="29">
        <f t="shared" si="0"/>
        <v>11310.000000000009</v>
      </c>
      <c r="E12" s="50">
        <f>ROUND(D12*D23,0)</f>
        <v>923</v>
      </c>
      <c r="F12" s="29">
        <v>1000</v>
      </c>
      <c r="G12" s="21">
        <f t="shared" si="1"/>
        <v>1923</v>
      </c>
      <c r="H12" s="51">
        <v>1923</v>
      </c>
      <c r="I12" s="25"/>
      <c r="J12" s="25"/>
      <c r="K12" s="25"/>
      <c r="L12" s="1" t="s">
        <v>163</v>
      </c>
      <c r="M12" s="1">
        <v>1543</v>
      </c>
    </row>
    <row r="13" spans="1:13" x14ac:dyDescent="0.25">
      <c r="A13" s="78">
        <v>201</v>
      </c>
      <c r="B13" s="268">
        <v>1.59</v>
      </c>
      <c r="C13" s="268">
        <v>1.59</v>
      </c>
      <c r="D13" s="29">
        <f t="shared" si="0"/>
        <v>0</v>
      </c>
      <c r="E13" s="50">
        <f>ROUND(D13*D23,0)</f>
        <v>0</v>
      </c>
      <c r="F13" s="29">
        <v>600</v>
      </c>
      <c r="G13" s="21">
        <f t="shared" si="1"/>
        <v>600</v>
      </c>
      <c r="H13" s="51">
        <v>600</v>
      </c>
      <c r="I13" s="25"/>
      <c r="J13" s="25"/>
      <c r="K13" s="25"/>
      <c r="L13" s="1" t="s">
        <v>165</v>
      </c>
      <c r="M13" s="1">
        <v>2044</v>
      </c>
    </row>
    <row r="14" spans="1:13" x14ac:dyDescent="0.25">
      <c r="A14" s="32">
        <v>202</v>
      </c>
      <c r="B14" s="30">
        <v>103.08</v>
      </c>
      <c r="C14" s="30">
        <v>109.33</v>
      </c>
      <c r="D14" s="29">
        <f t="shared" si="0"/>
        <v>6250</v>
      </c>
      <c r="E14" s="50">
        <f>ROUND(D14*D23,0)</f>
        <v>510</v>
      </c>
      <c r="F14" s="29">
        <v>1000</v>
      </c>
      <c r="G14" s="21">
        <f t="shared" si="1"/>
        <v>1510</v>
      </c>
      <c r="H14" s="51">
        <v>1510</v>
      </c>
      <c r="I14" s="25"/>
      <c r="J14" s="25"/>
      <c r="K14" s="25"/>
      <c r="L14" s="1" t="s">
        <v>175</v>
      </c>
      <c r="M14" s="1">
        <v>575</v>
      </c>
    </row>
    <row r="15" spans="1:13" x14ac:dyDescent="0.25">
      <c r="A15" s="32">
        <v>203</v>
      </c>
      <c r="B15" s="30">
        <v>53.9</v>
      </c>
      <c r="C15" s="30">
        <v>62.6</v>
      </c>
      <c r="D15" s="29">
        <f t="shared" si="0"/>
        <v>8700.0000000000036</v>
      </c>
      <c r="E15" s="50">
        <f>ROUND(D15*D23,0)</f>
        <v>710</v>
      </c>
      <c r="F15" s="29">
        <v>1000</v>
      </c>
      <c r="G15" s="21">
        <f t="shared" si="1"/>
        <v>1710</v>
      </c>
      <c r="H15" s="51">
        <v>1710</v>
      </c>
      <c r="I15" s="25"/>
      <c r="J15" s="25"/>
      <c r="K15" s="25"/>
      <c r="L15" s="1" t="s">
        <v>184</v>
      </c>
      <c r="M15" s="1">
        <v>300</v>
      </c>
    </row>
    <row r="16" spans="1:13" x14ac:dyDescent="0.25">
      <c r="A16" s="32">
        <v>204</v>
      </c>
      <c r="B16" s="30">
        <v>36.9</v>
      </c>
      <c r="C16" s="30">
        <v>42.5</v>
      </c>
      <c r="D16" s="29">
        <f t="shared" si="0"/>
        <v>5600.0000000000018</v>
      </c>
      <c r="E16" s="50">
        <f>ROUND(D16*D23,0)</f>
        <v>457</v>
      </c>
      <c r="F16" s="29">
        <v>1000</v>
      </c>
      <c r="G16" s="21">
        <f t="shared" si="1"/>
        <v>1457</v>
      </c>
      <c r="H16" s="51">
        <v>1457</v>
      </c>
      <c r="I16" s="25"/>
      <c r="J16" s="25"/>
      <c r="K16" s="25"/>
    </row>
    <row r="17" spans="1:17" x14ac:dyDescent="0.25">
      <c r="A17" s="73">
        <v>301</v>
      </c>
      <c r="B17" s="30">
        <v>0.38</v>
      </c>
      <c r="C17" s="30">
        <v>0.38</v>
      </c>
      <c r="D17" s="29">
        <f t="shared" si="0"/>
        <v>0</v>
      </c>
      <c r="E17" s="50">
        <f>ROUND(D17*D23,0)</f>
        <v>0</v>
      </c>
      <c r="F17" s="29">
        <v>600</v>
      </c>
      <c r="G17" s="21">
        <f t="shared" si="1"/>
        <v>600</v>
      </c>
      <c r="H17" s="51">
        <v>600</v>
      </c>
      <c r="I17" s="25"/>
      <c r="J17" s="25"/>
      <c r="K17" s="25"/>
      <c r="N17" s="29"/>
      <c r="O17" s="25"/>
      <c r="P17" s="25"/>
      <c r="Q17" s="25"/>
    </row>
    <row r="18" spans="1:17" x14ac:dyDescent="0.25">
      <c r="A18" s="73">
        <v>302</v>
      </c>
      <c r="B18" s="30">
        <v>0.38</v>
      </c>
      <c r="C18" s="30">
        <v>0.38</v>
      </c>
      <c r="D18" s="29">
        <f t="shared" si="0"/>
        <v>0</v>
      </c>
      <c r="E18" s="50">
        <f>ROUND(D18*D23,0)</f>
        <v>0</v>
      </c>
      <c r="F18" s="29">
        <v>600</v>
      </c>
      <c r="G18" s="21">
        <f t="shared" si="1"/>
        <v>600</v>
      </c>
      <c r="H18" s="51">
        <v>600</v>
      </c>
      <c r="I18" s="25"/>
      <c r="J18" s="25"/>
      <c r="K18" s="25"/>
      <c r="N18" s="29"/>
      <c r="O18" s="25"/>
      <c r="P18" s="25"/>
      <c r="Q18" s="25"/>
    </row>
    <row r="19" spans="1:17" x14ac:dyDescent="0.25">
      <c r="A19" s="32">
        <v>303</v>
      </c>
      <c r="B19" s="30">
        <v>230.41</v>
      </c>
      <c r="C19" s="30">
        <v>254.39</v>
      </c>
      <c r="D19" s="29">
        <f t="shared" si="0"/>
        <v>23979.999999999989</v>
      </c>
      <c r="E19" s="50">
        <f>ROUND(D19*D23,0)</f>
        <v>1956</v>
      </c>
      <c r="F19" s="29">
        <v>1000</v>
      </c>
      <c r="G19" s="21">
        <f t="shared" si="1"/>
        <v>2956</v>
      </c>
      <c r="H19" s="51">
        <v>2956</v>
      </c>
      <c r="I19" s="25"/>
      <c r="J19" s="25"/>
      <c r="K19" s="25"/>
      <c r="L19" s="1" t="s">
        <v>169</v>
      </c>
      <c r="M19" s="1">
        <v>5000</v>
      </c>
      <c r="N19" s="29"/>
      <c r="O19" s="25"/>
      <c r="P19" s="25"/>
      <c r="Q19" s="25"/>
    </row>
    <row r="20" spans="1:17" x14ac:dyDescent="0.25">
      <c r="A20" s="73">
        <v>304</v>
      </c>
      <c r="B20" s="30">
        <v>0.68</v>
      </c>
      <c r="C20" s="30">
        <v>0.91</v>
      </c>
      <c r="D20" s="29">
        <f t="shared" si="0"/>
        <v>229.99999999999997</v>
      </c>
      <c r="E20" s="50">
        <f>ROUND(D20*D23,0)</f>
        <v>19</v>
      </c>
      <c r="F20" s="29">
        <v>600</v>
      </c>
      <c r="G20" s="21">
        <f t="shared" si="1"/>
        <v>619</v>
      </c>
      <c r="H20" s="51">
        <v>600</v>
      </c>
      <c r="I20" s="25"/>
      <c r="J20" s="25"/>
      <c r="K20" s="25"/>
      <c r="L20" s="55" t="s">
        <v>20</v>
      </c>
      <c r="M20" s="55">
        <f>SUM(M11:M19)</f>
        <v>15962</v>
      </c>
      <c r="N20" s="29"/>
      <c r="O20" s="25"/>
      <c r="P20" s="25"/>
      <c r="Q20" s="25"/>
    </row>
    <row r="21" spans="1:17" ht="15.75" customHeight="1" x14ac:dyDescent="0.25">
      <c r="A21" s="29"/>
      <c r="B21" s="29"/>
      <c r="C21" s="29"/>
      <c r="D21" s="29"/>
      <c r="E21" s="80">
        <f>SUM(E5:E20)</f>
        <v>7046</v>
      </c>
      <c r="F21" s="49">
        <f>SUM(F3:F20)</f>
        <v>14200</v>
      </c>
      <c r="G21" s="29">
        <f t="shared" si="1"/>
        <v>21246</v>
      </c>
      <c r="H21" s="25">
        <f>SUM(H3:H20)</f>
        <v>21366</v>
      </c>
      <c r="I21" s="81" t="s">
        <v>183</v>
      </c>
      <c r="J21" s="81">
        <v>7963</v>
      </c>
      <c r="K21" s="25"/>
      <c r="N21" s="29"/>
      <c r="O21" s="25"/>
      <c r="P21" s="25"/>
      <c r="Q21" s="25"/>
    </row>
    <row r="22" spans="1:17" ht="15.75" customHeight="1" x14ac:dyDescent="0.25">
      <c r="A22" s="29"/>
      <c r="B22" s="29" t="s">
        <v>75</v>
      </c>
      <c r="C22" s="29"/>
      <c r="D22" s="30">
        <f>SUM(D5:D21)</f>
        <v>86360.000000000029</v>
      </c>
      <c r="E22" s="21"/>
      <c r="F22" s="29"/>
      <c r="G22" s="29"/>
      <c r="H22" s="25"/>
      <c r="I22" s="25"/>
      <c r="J22" s="25"/>
      <c r="K22" s="25"/>
      <c r="L22" s="69" t="s">
        <v>185</v>
      </c>
      <c r="M22" s="70">
        <f>M8-M20</f>
        <v>13367</v>
      </c>
      <c r="N22" s="29"/>
      <c r="O22" s="25"/>
      <c r="P22" s="25"/>
      <c r="Q22" s="25"/>
    </row>
    <row r="23" spans="1:17" ht="17.25" customHeight="1" x14ac:dyDescent="0.25">
      <c r="A23" s="29"/>
      <c r="B23" s="29" t="s">
        <v>84</v>
      </c>
      <c r="C23" s="29"/>
      <c r="D23" s="29">
        <f>B24/D22</f>
        <v>8.1565539601667417E-2</v>
      </c>
      <c r="E23" s="21"/>
      <c r="F23" s="29"/>
      <c r="G23" s="29"/>
      <c r="H23" s="25"/>
      <c r="I23" s="25"/>
      <c r="J23" s="25"/>
      <c r="K23" s="25"/>
      <c r="L23" s="87"/>
      <c r="M23" s="88"/>
      <c r="N23" s="89"/>
      <c r="O23" s="25"/>
      <c r="P23" s="25"/>
      <c r="Q23" s="25"/>
    </row>
    <row r="24" spans="1:17" ht="45" customHeight="1" x14ac:dyDescent="0.25">
      <c r="A24" s="29" t="s">
        <v>85</v>
      </c>
      <c r="B24" s="30">
        <f>5000+2044</f>
        <v>7044</v>
      </c>
      <c r="C24" s="84" t="s">
        <v>181</v>
      </c>
      <c r="D24" s="25"/>
      <c r="E24" s="25">
        <v>5000</v>
      </c>
      <c r="F24" s="29"/>
      <c r="G24" s="29"/>
      <c r="H24" s="25"/>
      <c r="I24" s="25"/>
      <c r="J24" s="25"/>
      <c r="K24" s="25"/>
      <c r="L24" s="90" t="s">
        <v>64</v>
      </c>
      <c r="M24" s="91" t="s">
        <v>186</v>
      </c>
      <c r="N24" s="341" t="s">
        <v>187</v>
      </c>
      <c r="O24" s="342"/>
      <c r="P24" s="25"/>
      <c r="Q24" s="92" t="s">
        <v>188</v>
      </c>
    </row>
    <row r="25" spans="1:17" ht="15.75" customHeight="1" x14ac:dyDescent="0.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93" t="s">
        <v>70</v>
      </c>
      <c r="M25" s="94">
        <v>1500</v>
      </c>
      <c r="N25" s="93" t="s">
        <v>189</v>
      </c>
      <c r="O25" s="94">
        <v>4300</v>
      </c>
      <c r="P25" s="25"/>
      <c r="Q25" s="95" t="s">
        <v>190</v>
      </c>
    </row>
    <row r="26" spans="1:17" ht="15.75" customHeight="1" x14ac:dyDescent="0.25">
      <c r="A26" s="85"/>
      <c r="B26" s="85"/>
      <c r="C26" s="85"/>
      <c r="D26" s="85"/>
      <c r="E26" s="85"/>
      <c r="F26" s="85"/>
      <c r="G26" s="85"/>
      <c r="H26" s="85"/>
      <c r="I26" s="25"/>
      <c r="J26" s="25"/>
      <c r="K26" s="25"/>
      <c r="L26" s="93" t="s">
        <v>16</v>
      </c>
      <c r="M26" s="94" t="s">
        <v>191</v>
      </c>
      <c r="N26" s="93" t="s">
        <v>192</v>
      </c>
      <c r="O26" s="94">
        <v>4000</v>
      </c>
      <c r="P26" s="25"/>
      <c r="Q26" s="95" t="s">
        <v>193</v>
      </c>
    </row>
    <row r="27" spans="1:17" ht="15.75" customHeight="1" x14ac:dyDescent="0.25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93" t="s">
        <v>13</v>
      </c>
      <c r="M27" s="94">
        <v>1500</v>
      </c>
      <c r="N27" s="93" t="s">
        <v>194</v>
      </c>
      <c r="O27" s="94">
        <v>270</v>
      </c>
      <c r="P27" s="25"/>
      <c r="Q27" s="95" t="s">
        <v>195</v>
      </c>
    </row>
    <row r="28" spans="1:17" ht="15.75" customHeight="1" x14ac:dyDescent="0.25">
      <c r="A28" s="49"/>
      <c r="B28" s="49"/>
      <c r="C28" s="49"/>
      <c r="D28" s="49"/>
      <c r="E28" s="80"/>
      <c r="F28" s="29"/>
      <c r="G28" s="21"/>
      <c r="H28" s="49"/>
      <c r="I28" s="86"/>
      <c r="J28" s="86"/>
      <c r="K28" s="86"/>
      <c r="L28" s="93">
        <v>102</v>
      </c>
      <c r="M28" s="94">
        <v>1500</v>
      </c>
      <c r="N28" s="96" t="s">
        <v>196</v>
      </c>
      <c r="O28" s="97">
        <v>380</v>
      </c>
      <c r="P28" s="86"/>
      <c r="Q28" s="98" t="s">
        <v>197</v>
      </c>
    </row>
    <row r="29" spans="1:17" ht="15.75" customHeight="1" x14ac:dyDescent="0.25">
      <c r="A29" s="49"/>
      <c r="B29" s="29"/>
      <c r="C29" s="29"/>
      <c r="D29" s="29"/>
      <c r="E29" s="21"/>
      <c r="F29" s="29"/>
      <c r="G29" s="21"/>
      <c r="H29" s="51"/>
      <c r="I29" s="25"/>
      <c r="J29" s="25"/>
      <c r="K29" s="25"/>
      <c r="L29" s="93">
        <v>104</v>
      </c>
      <c r="M29" s="94">
        <v>1500</v>
      </c>
      <c r="N29" s="93" t="s">
        <v>198</v>
      </c>
      <c r="O29" s="94">
        <v>1840</v>
      </c>
      <c r="P29" s="25"/>
      <c r="Q29" s="25"/>
    </row>
    <row r="30" spans="1:17" ht="15.75" customHeight="1" x14ac:dyDescent="0.25">
      <c r="A30" s="49"/>
      <c r="B30" s="29"/>
      <c r="C30" s="29"/>
      <c r="D30" s="29"/>
      <c r="E30" s="21"/>
      <c r="F30" s="29"/>
      <c r="G30" s="21"/>
      <c r="H30" s="51"/>
      <c r="I30" s="25"/>
      <c r="J30" s="25"/>
      <c r="K30" s="25"/>
      <c r="L30" s="93">
        <v>202</v>
      </c>
      <c r="M30" s="94">
        <v>1500</v>
      </c>
      <c r="N30" s="93" t="s">
        <v>199</v>
      </c>
      <c r="O30" s="94">
        <v>100</v>
      </c>
      <c r="P30" s="25"/>
      <c r="Q30" s="25"/>
    </row>
    <row r="31" spans="1:17" ht="15.75" customHeight="1" x14ac:dyDescent="0.25">
      <c r="A31" s="29"/>
      <c r="B31" s="30"/>
      <c r="C31" s="30"/>
      <c r="D31" s="30"/>
      <c r="E31" s="21"/>
      <c r="F31" s="29"/>
      <c r="G31" s="21"/>
      <c r="H31" s="51"/>
      <c r="I31" s="25"/>
      <c r="J31" s="25"/>
      <c r="K31" s="25"/>
      <c r="L31" s="93">
        <v>203</v>
      </c>
      <c r="M31" s="94">
        <v>1500</v>
      </c>
      <c r="N31" s="93" t="s">
        <v>200</v>
      </c>
      <c r="O31" s="94">
        <v>315</v>
      </c>
      <c r="P31" s="25"/>
      <c r="Q31" s="25"/>
    </row>
    <row r="32" spans="1:17" ht="30.75" customHeight="1" x14ac:dyDescent="0.25">
      <c r="A32" s="29"/>
      <c r="B32" s="30"/>
      <c r="C32" s="30"/>
      <c r="D32" s="29"/>
      <c r="E32" s="21"/>
      <c r="F32" s="29"/>
      <c r="G32" s="21"/>
      <c r="H32" s="51"/>
      <c r="I32" s="25"/>
      <c r="J32" s="25"/>
      <c r="K32" s="25"/>
      <c r="L32" s="93">
        <v>204</v>
      </c>
      <c r="M32" s="94">
        <v>1111</v>
      </c>
      <c r="N32" s="99" t="s">
        <v>201</v>
      </c>
      <c r="O32" s="94">
        <f>120+50+40+70+40+55+31+25+55+200</f>
        <v>686</v>
      </c>
      <c r="P32" s="25"/>
      <c r="Q32" s="25"/>
    </row>
    <row r="33" spans="12:15" ht="23.25" customHeight="1" x14ac:dyDescent="0.25">
      <c r="L33" s="93">
        <v>303</v>
      </c>
      <c r="M33" s="94">
        <v>1500</v>
      </c>
      <c r="N33" s="99" t="s">
        <v>202</v>
      </c>
      <c r="O33" s="94">
        <v>220</v>
      </c>
    </row>
    <row r="34" spans="12:15" ht="15.75" customHeight="1" x14ac:dyDescent="0.25">
      <c r="L34" s="100" t="s">
        <v>20</v>
      </c>
      <c r="M34" s="101">
        <f>SUM(M25:M33)</f>
        <v>11611</v>
      </c>
      <c r="N34" s="93" t="s">
        <v>203</v>
      </c>
      <c r="O34" s="94">
        <v>200</v>
      </c>
    </row>
    <row r="35" spans="12:15" ht="15.75" customHeight="1" x14ac:dyDescent="0.25">
      <c r="L35" s="102"/>
      <c r="M35" s="103"/>
      <c r="N35" s="93"/>
      <c r="O35" s="94"/>
    </row>
    <row r="36" spans="12:15" ht="15.75" customHeight="1" x14ac:dyDescent="0.25">
      <c r="L36" s="25"/>
      <c r="M36" s="25"/>
      <c r="N36" s="100" t="s">
        <v>204</v>
      </c>
      <c r="O36" s="94">
        <f>SUM(O25:O34)</f>
        <v>12311</v>
      </c>
    </row>
    <row r="37" spans="12:15" ht="15.75" customHeight="1" x14ac:dyDescent="0.25">
      <c r="L37" s="25"/>
      <c r="M37" s="25"/>
      <c r="N37" s="104" t="s">
        <v>205</v>
      </c>
      <c r="O37" s="105">
        <f>M34-O36</f>
        <v>-700</v>
      </c>
    </row>
    <row r="38" spans="12:15" ht="15.75" customHeight="1" x14ac:dyDescent="0.25">
      <c r="L38" s="25"/>
      <c r="M38" s="25"/>
      <c r="N38" s="25" t="s">
        <v>206</v>
      </c>
      <c r="O38" s="25"/>
    </row>
    <row r="73" spans="4:5" ht="15.75" customHeight="1" x14ac:dyDescent="0.25">
      <c r="D73" s="335"/>
      <c r="E73" s="337"/>
    </row>
    <row r="74" spans="4:5" ht="15.75" customHeight="1" x14ac:dyDescent="0.25">
      <c r="D74" s="335"/>
      <c r="E74" s="337"/>
    </row>
  </sheetData>
  <mergeCells count="3">
    <mergeCell ref="N24:O24"/>
    <mergeCell ref="D73:E73"/>
    <mergeCell ref="D74:E74"/>
  </mergeCell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O74"/>
  <sheetViews>
    <sheetView workbookViewId="0">
      <selection activeCell="B13" sqref="B13:C13"/>
    </sheetView>
  </sheetViews>
  <sheetFormatPr defaultColWidth="14.42578125" defaultRowHeight="15" customHeight="1" x14ac:dyDescent="0.25"/>
  <cols>
    <col min="1" max="1" width="10.7109375" customWidth="1"/>
    <col min="2" max="2" width="13.28515625" customWidth="1"/>
    <col min="3" max="3" width="12.28515625" customWidth="1"/>
    <col min="4" max="5" width="9.28515625" customWidth="1"/>
    <col min="6" max="6" width="9.85546875" customWidth="1"/>
    <col min="7" max="7" width="11.7109375" customWidth="1"/>
    <col min="8" max="8" width="13.140625" customWidth="1"/>
    <col min="9" max="9" width="25.140625" customWidth="1"/>
    <col min="10" max="10" width="15.42578125" customWidth="1"/>
    <col min="11" max="11" width="7.5703125" customWidth="1"/>
    <col min="12" max="12" width="14.28515625" customWidth="1"/>
    <col min="13" max="13" width="7.85546875" customWidth="1"/>
    <col min="14" max="14" width="14.140625" customWidth="1"/>
    <col min="15" max="15" width="7.85546875" customWidth="1"/>
    <col min="16" max="16" width="9.5703125" customWidth="1"/>
    <col min="17" max="17" width="31.42578125" customWidth="1"/>
    <col min="18" max="33" width="7.85546875" customWidth="1"/>
  </cols>
  <sheetData>
    <row r="2" spans="1:13" x14ac:dyDescent="0.25">
      <c r="A2" s="49" t="s">
        <v>64</v>
      </c>
      <c r="B2" s="49" t="s">
        <v>80</v>
      </c>
      <c r="C2" s="49" t="s">
        <v>65</v>
      </c>
      <c r="D2" s="49" t="s">
        <v>66</v>
      </c>
      <c r="E2" s="71" t="s">
        <v>52</v>
      </c>
      <c r="F2" s="29" t="s">
        <v>81</v>
      </c>
      <c r="G2" s="21" t="s">
        <v>82</v>
      </c>
      <c r="H2" s="49" t="s">
        <v>128</v>
      </c>
      <c r="I2" s="25"/>
      <c r="J2" s="25"/>
      <c r="K2" s="25"/>
      <c r="L2" s="63" t="s">
        <v>154</v>
      </c>
      <c r="M2" s="63" t="s">
        <v>134</v>
      </c>
    </row>
    <row r="3" spans="1:13" ht="16.5" customHeight="1" x14ac:dyDescent="0.25">
      <c r="A3" s="72" t="s">
        <v>130</v>
      </c>
      <c r="B3" s="29" t="s">
        <v>131</v>
      </c>
      <c r="C3" s="29" t="s">
        <v>131</v>
      </c>
      <c r="D3" s="29" t="s">
        <v>131</v>
      </c>
      <c r="E3" s="50" t="s">
        <v>131</v>
      </c>
      <c r="F3" s="29">
        <v>300</v>
      </c>
      <c r="G3" s="21">
        <v>300</v>
      </c>
      <c r="H3" s="51">
        <v>300</v>
      </c>
      <c r="I3" s="25"/>
      <c r="J3" s="25"/>
      <c r="K3" s="25"/>
      <c r="L3" s="47"/>
    </row>
    <row r="4" spans="1:13" x14ac:dyDescent="0.25">
      <c r="A4" s="72" t="s">
        <v>132</v>
      </c>
      <c r="B4" s="29" t="s">
        <v>131</v>
      </c>
      <c r="C4" s="29" t="s">
        <v>131</v>
      </c>
      <c r="D4" s="29" t="s">
        <v>131</v>
      </c>
      <c r="E4" s="50" t="s">
        <v>131</v>
      </c>
      <c r="F4" s="29">
        <v>300</v>
      </c>
      <c r="G4" s="21">
        <v>300</v>
      </c>
      <c r="H4" s="51">
        <v>300</v>
      </c>
      <c r="I4" s="25"/>
      <c r="J4" s="25"/>
      <c r="K4" s="25"/>
      <c r="L4" s="1" t="s">
        <v>156</v>
      </c>
      <c r="M4" s="1">
        <f>H21</f>
        <v>18222</v>
      </c>
    </row>
    <row r="5" spans="1:13" x14ac:dyDescent="0.25">
      <c r="A5" s="73" t="s">
        <v>68</v>
      </c>
      <c r="B5" s="30">
        <v>1.0900000000000001</v>
      </c>
      <c r="C5" s="30">
        <v>1.0900000000000001</v>
      </c>
      <c r="D5" s="30">
        <f t="shared" ref="D5:D20" si="0">(C5-B5)*1000</f>
        <v>0</v>
      </c>
      <c r="E5" s="50">
        <f>ROUND(D5*D23,0)</f>
        <v>0</v>
      </c>
      <c r="F5" s="29">
        <v>600</v>
      </c>
      <c r="G5" s="21">
        <f t="shared" ref="G5:G21" si="1">SUM(E5:F5)</f>
        <v>600</v>
      </c>
      <c r="H5" s="51">
        <v>600</v>
      </c>
      <c r="I5" s="25"/>
      <c r="J5" s="25"/>
      <c r="K5" s="25"/>
    </row>
    <row r="6" spans="1:13" x14ac:dyDescent="0.25">
      <c r="A6" s="32" t="s">
        <v>70</v>
      </c>
      <c r="B6" s="30">
        <v>41.45</v>
      </c>
      <c r="C6" s="30">
        <v>48.84</v>
      </c>
      <c r="D6" s="29">
        <f t="shared" si="0"/>
        <v>7390.0000000000009</v>
      </c>
      <c r="E6" s="50">
        <f>ROUND(D6*D23,0)</f>
        <v>662</v>
      </c>
      <c r="F6" s="29">
        <v>1000</v>
      </c>
      <c r="G6" s="21">
        <f t="shared" si="1"/>
        <v>1662</v>
      </c>
      <c r="H6" s="51">
        <v>1662</v>
      </c>
      <c r="I6" s="25"/>
      <c r="J6" s="25"/>
      <c r="K6" s="25"/>
      <c r="L6" s="66" t="s">
        <v>158</v>
      </c>
      <c r="M6" s="66">
        <f>SUM(M3:M5)</f>
        <v>18222</v>
      </c>
    </row>
    <row r="7" spans="1:13" x14ac:dyDescent="0.25">
      <c r="A7" s="32" t="s">
        <v>16</v>
      </c>
      <c r="B7" s="30">
        <v>103.54</v>
      </c>
      <c r="C7" s="30">
        <v>113.9</v>
      </c>
      <c r="D7" s="29">
        <f t="shared" si="0"/>
        <v>10360</v>
      </c>
      <c r="E7" s="50">
        <f>ROUND(D7*D23,0)</f>
        <v>929</v>
      </c>
      <c r="F7" s="29">
        <v>1000</v>
      </c>
      <c r="G7" s="21">
        <f t="shared" si="1"/>
        <v>1929</v>
      </c>
      <c r="H7" s="51">
        <v>1929</v>
      </c>
      <c r="I7" s="25"/>
      <c r="J7" s="25"/>
      <c r="K7" s="25"/>
      <c r="L7" s="1" t="s">
        <v>207</v>
      </c>
      <c r="M7" s="1">
        <v>13367</v>
      </c>
    </row>
    <row r="8" spans="1:13" x14ac:dyDescent="0.25">
      <c r="A8" s="32" t="s">
        <v>13</v>
      </c>
      <c r="B8" s="30">
        <v>94.8</v>
      </c>
      <c r="C8" s="30">
        <v>100.58</v>
      </c>
      <c r="D8" s="29">
        <f t="shared" si="0"/>
        <v>5780.0000000000009</v>
      </c>
      <c r="E8" s="50">
        <f>ROUND(D8*D23,0)</f>
        <v>518</v>
      </c>
      <c r="F8" s="29">
        <v>1000</v>
      </c>
      <c r="G8" s="21">
        <f t="shared" si="1"/>
        <v>1518</v>
      </c>
      <c r="H8" s="51">
        <v>1518</v>
      </c>
      <c r="I8" s="25"/>
      <c r="J8" s="25"/>
      <c r="K8" s="25"/>
      <c r="L8" s="55" t="s">
        <v>20</v>
      </c>
      <c r="M8" s="55">
        <f>SUM(M6:M7)</f>
        <v>31589</v>
      </c>
    </row>
    <row r="9" spans="1:13" x14ac:dyDescent="0.25">
      <c r="A9" s="73">
        <v>101</v>
      </c>
      <c r="B9" s="30">
        <v>0.38</v>
      </c>
      <c r="C9" s="30">
        <v>0.38</v>
      </c>
      <c r="D9" s="29">
        <f t="shared" si="0"/>
        <v>0</v>
      </c>
      <c r="E9" s="50">
        <f>ROUND(D9*D23,0)</f>
        <v>0</v>
      </c>
      <c r="F9" s="29">
        <v>600</v>
      </c>
      <c r="G9" s="21">
        <f t="shared" si="1"/>
        <v>600</v>
      </c>
      <c r="H9" s="51"/>
      <c r="I9" s="25"/>
      <c r="J9" s="25"/>
      <c r="K9" s="25"/>
      <c r="L9" s="68" t="s">
        <v>160</v>
      </c>
    </row>
    <row r="10" spans="1:13" x14ac:dyDescent="0.25">
      <c r="A10" s="32">
        <v>102</v>
      </c>
      <c r="B10" s="30">
        <v>157.11000000000001</v>
      </c>
      <c r="C10" s="30">
        <v>168.59</v>
      </c>
      <c r="D10" s="29">
        <f t="shared" si="0"/>
        <v>11479.999999999989</v>
      </c>
      <c r="E10" s="50">
        <f>ROUND(D10*D23,0)</f>
        <v>1029</v>
      </c>
      <c r="F10" s="29">
        <v>1000</v>
      </c>
      <c r="G10" s="21">
        <f t="shared" si="1"/>
        <v>2029</v>
      </c>
      <c r="H10" s="51">
        <v>2029</v>
      </c>
      <c r="I10" s="25"/>
      <c r="J10" s="25"/>
      <c r="K10" s="25"/>
      <c r="L10" s="1" t="s">
        <v>161</v>
      </c>
      <c r="M10" s="1">
        <v>6500</v>
      </c>
    </row>
    <row r="11" spans="1:13" x14ac:dyDescent="0.25">
      <c r="A11" s="75">
        <v>103</v>
      </c>
      <c r="B11" s="30">
        <v>0.83</v>
      </c>
      <c r="C11" s="30">
        <v>0.83</v>
      </c>
      <c r="D11" s="29">
        <f t="shared" si="0"/>
        <v>0</v>
      </c>
      <c r="E11" s="50">
        <f>ROUND(D11*D23,0)</f>
        <v>0</v>
      </c>
      <c r="F11" s="29">
        <v>1000</v>
      </c>
      <c r="G11" s="21">
        <f t="shared" si="1"/>
        <v>1000</v>
      </c>
      <c r="H11" s="51">
        <v>1000</v>
      </c>
      <c r="I11" s="25"/>
      <c r="J11" s="25"/>
      <c r="K11" s="25"/>
      <c r="L11" s="1" t="s">
        <v>208</v>
      </c>
      <c r="M11" s="1">
        <v>2044</v>
      </c>
    </row>
    <row r="12" spans="1:13" x14ac:dyDescent="0.25">
      <c r="A12" s="32">
        <v>104</v>
      </c>
      <c r="B12" s="77">
        <v>72.430000000000007</v>
      </c>
      <c r="C12" s="77">
        <v>80</v>
      </c>
      <c r="D12" s="29">
        <f t="shared" si="0"/>
        <v>7569.9999999999927</v>
      </c>
      <c r="E12" s="50">
        <f>ROUND(D12*D23,0)</f>
        <v>678</v>
      </c>
      <c r="F12" s="29">
        <v>1000</v>
      </c>
      <c r="G12" s="21">
        <f t="shared" si="1"/>
        <v>1678</v>
      </c>
      <c r="H12" s="51">
        <v>1678</v>
      </c>
      <c r="I12" s="25"/>
      <c r="J12" s="25"/>
      <c r="K12" s="25"/>
      <c r="L12" s="1" t="s">
        <v>209</v>
      </c>
      <c r="M12" s="1">
        <v>400</v>
      </c>
    </row>
    <row r="13" spans="1:13" x14ac:dyDescent="0.25">
      <c r="A13" s="78">
        <v>201</v>
      </c>
      <c r="B13" s="268">
        <v>1.59</v>
      </c>
      <c r="C13" s="268">
        <v>1.59</v>
      </c>
      <c r="D13" s="29">
        <f t="shared" si="0"/>
        <v>0</v>
      </c>
      <c r="E13" s="50">
        <f>ROUND(D13*D23,0)</f>
        <v>0</v>
      </c>
      <c r="F13" s="29">
        <v>600</v>
      </c>
      <c r="G13" s="21">
        <f t="shared" si="1"/>
        <v>600</v>
      </c>
      <c r="H13" s="51"/>
      <c r="I13" s="25"/>
      <c r="J13" s="25"/>
      <c r="K13" s="25"/>
      <c r="L13" s="1" t="s">
        <v>210</v>
      </c>
      <c r="M13" s="1">
        <v>300</v>
      </c>
    </row>
    <row r="14" spans="1:13" x14ac:dyDescent="0.25">
      <c r="A14" s="32">
        <v>202</v>
      </c>
      <c r="B14" s="30">
        <v>109.33</v>
      </c>
      <c r="C14" s="30">
        <v>117.11</v>
      </c>
      <c r="D14" s="29">
        <f t="shared" si="0"/>
        <v>7780.0000000000009</v>
      </c>
      <c r="E14" s="50">
        <f>ROUND(D14*D23,0)</f>
        <v>697</v>
      </c>
      <c r="F14" s="29">
        <v>1000</v>
      </c>
      <c r="G14" s="21">
        <f t="shared" si="1"/>
        <v>1697</v>
      </c>
      <c r="H14" s="51">
        <v>1697</v>
      </c>
      <c r="I14" s="25"/>
      <c r="J14" s="25"/>
      <c r="K14" s="25"/>
      <c r="L14" s="1" t="s">
        <v>211</v>
      </c>
      <c r="M14" s="1">
        <v>1000</v>
      </c>
    </row>
    <row r="15" spans="1:13" x14ac:dyDescent="0.25">
      <c r="A15" s="32">
        <v>203</v>
      </c>
      <c r="B15" s="30">
        <v>62.6</v>
      </c>
      <c r="C15" s="30">
        <v>72.39</v>
      </c>
      <c r="D15" s="29">
        <f t="shared" si="0"/>
        <v>9790</v>
      </c>
      <c r="E15" s="50">
        <f>ROUND(D15*D23,0)</f>
        <v>877</v>
      </c>
      <c r="F15" s="29">
        <v>1000</v>
      </c>
      <c r="G15" s="21">
        <f t="shared" si="1"/>
        <v>1877</v>
      </c>
      <c r="H15" s="51">
        <v>1877</v>
      </c>
      <c r="I15" s="25"/>
      <c r="J15" s="25"/>
      <c r="K15" s="25"/>
      <c r="L15" s="25" t="s">
        <v>212</v>
      </c>
      <c r="M15" s="106">
        <v>300</v>
      </c>
    </row>
    <row r="16" spans="1:13" x14ac:dyDescent="0.25">
      <c r="A16" s="32">
        <v>204</v>
      </c>
      <c r="B16" s="30">
        <v>42.5</v>
      </c>
      <c r="C16" s="30">
        <v>49.26</v>
      </c>
      <c r="D16" s="29">
        <f t="shared" si="0"/>
        <v>6759.9999999999982</v>
      </c>
      <c r="E16" s="50">
        <f>ROUND(D16*D23,0)</f>
        <v>606</v>
      </c>
      <c r="F16" s="29">
        <v>1000</v>
      </c>
      <c r="G16" s="21">
        <f t="shared" si="1"/>
        <v>1606</v>
      </c>
      <c r="H16" s="51">
        <v>1606</v>
      </c>
      <c r="I16" s="25"/>
      <c r="J16" s="25"/>
      <c r="K16" s="25"/>
      <c r="L16" s="1" t="s">
        <v>213</v>
      </c>
      <c r="M16" s="1">
        <v>325</v>
      </c>
    </row>
    <row r="17" spans="1:15" x14ac:dyDescent="0.25">
      <c r="A17" s="73">
        <v>301</v>
      </c>
      <c r="B17" s="30">
        <v>0.38</v>
      </c>
      <c r="C17" s="30">
        <v>0.38</v>
      </c>
      <c r="D17" s="29">
        <f t="shared" si="0"/>
        <v>0</v>
      </c>
      <c r="E17" s="50">
        <f>ROUND(D17*D23,0)</f>
        <v>0</v>
      </c>
      <c r="F17" s="29">
        <v>600</v>
      </c>
      <c r="G17" s="21">
        <f t="shared" si="1"/>
        <v>600</v>
      </c>
      <c r="H17" s="51"/>
      <c r="I17" s="25"/>
      <c r="J17" s="25"/>
      <c r="K17" s="25"/>
      <c r="L17" s="1" t="s">
        <v>214</v>
      </c>
      <c r="M17" s="1">
        <v>1400</v>
      </c>
      <c r="N17" s="29"/>
      <c r="O17" s="25"/>
    </row>
    <row r="18" spans="1:15" ht="19.5" customHeight="1" x14ac:dyDescent="0.25">
      <c r="A18" s="73">
        <v>302</v>
      </c>
      <c r="B18" s="30">
        <v>0.38</v>
      </c>
      <c r="C18" s="30">
        <v>0.38</v>
      </c>
      <c r="D18" s="29">
        <f t="shared" si="0"/>
        <v>0</v>
      </c>
      <c r="E18" s="50">
        <f>ROUND(D18*D23,0)</f>
        <v>0</v>
      </c>
      <c r="F18" s="29">
        <v>600</v>
      </c>
      <c r="G18" s="21">
        <f t="shared" si="1"/>
        <v>600</v>
      </c>
      <c r="H18" s="51"/>
      <c r="I18" s="25"/>
      <c r="J18" s="25"/>
      <c r="K18" s="25"/>
      <c r="L18" s="47" t="s">
        <v>215</v>
      </c>
      <c r="M18" s="1">
        <v>159</v>
      </c>
      <c r="N18" s="29"/>
      <c r="O18" s="25"/>
    </row>
    <row r="19" spans="1:15" x14ac:dyDescent="0.25">
      <c r="A19" s="32">
        <v>303</v>
      </c>
      <c r="B19" s="30">
        <v>254.39</v>
      </c>
      <c r="C19" s="30">
        <v>265.83999999999997</v>
      </c>
      <c r="D19" s="29">
        <f t="shared" si="0"/>
        <v>11449.999999999989</v>
      </c>
      <c r="E19" s="50">
        <f>ROUND(D19*D23,0)</f>
        <v>1026</v>
      </c>
      <c r="F19" s="29">
        <v>1000</v>
      </c>
      <c r="G19" s="21">
        <f t="shared" si="1"/>
        <v>2026</v>
      </c>
      <c r="H19" s="51">
        <v>2026</v>
      </c>
      <c r="I19" s="25"/>
      <c r="J19" s="25"/>
      <c r="K19" s="25"/>
      <c r="L19" s="1" t="s">
        <v>216</v>
      </c>
      <c r="M19" s="1">
        <v>5000</v>
      </c>
      <c r="N19" s="29"/>
      <c r="O19" s="25"/>
    </row>
    <row r="20" spans="1:15" x14ac:dyDescent="0.25">
      <c r="A20" s="73">
        <v>304</v>
      </c>
      <c r="B20" s="30">
        <v>0.91</v>
      </c>
      <c r="C20" s="30">
        <v>1.1399999999999999</v>
      </c>
      <c r="D20" s="29">
        <f t="shared" si="0"/>
        <v>229.99999999999986</v>
      </c>
      <c r="E20" s="50">
        <f>ROUND(D20*D23,0)</f>
        <v>21</v>
      </c>
      <c r="F20" s="29">
        <v>600</v>
      </c>
      <c r="G20" s="21">
        <f t="shared" si="1"/>
        <v>621</v>
      </c>
      <c r="H20" s="51"/>
      <c r="I20" s="25"/>
      <c r="J20" s="25"/>
      <c r="K20" s="25"/>
      <c r="L20" s="107" t="s">
        <v>217</v>
      </c>
      <c r="M20" s="25">
        <v>1870</v>
      </c>
      <c r="N20" s="29"/>
      <c r="O20" s="25"/>
    </row>
    <row r="21" spans="1:15" ht="15.75" customHeight="1" x14ac:dyDescent="0.25">
      <c r="A21" s="29"/>
      <c r="B21" s="29"/>
      <c r="C21" s="29"/>
      <c r="D21" s="29"/>
      <c r="E21" s="80">
        <f>SUM(E5:E20)</f>
        <v>7043</v>
      </c>
      <c r="F21" s="49">
        <f>SUM(F3:F20)</f>
        <v>14200</v>
      </c>
      <c r="G21" s="29">
        <f t="shared" si="1"/>
        <v>21243</v>
      </c>
      <c r="H21" s="25">
        <f>SUM(H3:H20)</f>
        <v>18222</v>
      </c>
      <c r="I21" s="81" t="s">
        <v>207</v>
      </c>
      <c r="J21" s="81">
        <v>13367</v>
      </c>
      <c r="K21" s="25"/>
      <c r="L21" s="25" t="s">
        <v>218</v>
      </c>
      <c r="M21" s="25">
        <v>280</v>
      </c>
      <c r="N21" s="29"/>
      <c r="O21" s="25"/>
    </row>
    <row r="22" spans="1:15" ht="15.75" customHeight="1" x14ac:dyDescent="0.25">
      <c r="A22" s="29"/>
      <c r="B22" s="29" t="s">
        <v>75</v>
      </c>
      <c r="C22" s="29"/>
      <c r="D22" s="30">
        <f>SUM(D5:D21)</f>
        <v>78589.999999999956</v>
      </c>
      <c r="E22" s="21"/>
      <c r="F22" s="29"/>
      <c r="G22" s="29"/>
      <c r="H22" s="25"/>
      <c r="I22" s="25"/>
      <c r="J22" s="25"/>
      <c r="K22" s="25"/>
      <c r="L22" s="25" t="s">
        <v>219</v>
      </c>
      <c r="M22" s="25">
        <v>20</v>
      </c>
      <c r="N22" s="29"/>
      <c r="O22" s="25"/>
    </row>
    <row r="23" spans="1:15" ht="17.25" customHeight="1" x14ac:dyDescent="0.25">
      <c r="A23" s="29"/>
      <c r="B23" s="29" t="s">
        <v>84</v>
      </c>
      <c r="C23" s="29"/>
      <c r="D23" s="29">
        <f>B24/D22</f>
        <v>8.9629723883445783E-2</v>
      </c>
      <c r="E23" s="21"/>
      <c r="F23" s="29"/>
      <c r="G23" s="29"/>
      <c r="H23" s="25"/>
      <c r="I23" s="25"/>
      <c r="J23" s="25"/>
      <c r="K23" s="25"/>
      <c r="L23" s="55" t="s">
        <v>20</v>
      </c>
      <c r="M23" s="55">
        <f>SUM(M10:M22)</f>
        <v>19598</v>
      </c>
      <c r="N23" s="89"/>
      <c r="O23" s="25"/>
    </row>
    <row r="24" spans="1:15" ht="30.75" customHeight="1" x14ac:dyDescent="0.25">
      <c r="A24" s="29" t="s">
        <v>85</v>
      </c>
      <c r="B24" s="30">
        <f>5000+2044</f>
        <v>7044</v>
      </c>
      <c r="C24" s="84" t="s">
        <v>181</v>
      </c>
      <c r="D24" s="25"/>
      <c r="E24" s="25">
        <v>5000</v>
      </c>
      <c r="F24" s="29"/>
      <c r="G24" s="29"/>
      <c r="H24" s="25"/>
      <c r="I24" s="25"/>
      <c r="J24" s="25"/>
      <c r="K24" s="25"/>
      <c r="N24" s="343"/>
      <c r="O24" s="339"/>
    </row>
    <row r="25" spans="1:15" ht="15.75" customHeight="1" x14ac:dyDescent="0.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69" t="s">
        <v>220</v>
      </c>
      <c r="M25" s="70">
        <f>M8-M23</f>
        <v>11991</v>
      </c>
      <c r="N25" s="25"/>
      <c r="O25" s="25"/>
    </row>
    <row r="73" spans="4:5" ht="15.75" customHeight="1" x14ac:dyDescent="0.25">
      <c r="D73" s="335"/>
      <c r="E73" s="337"/>
    </row>
    <row r="74" spans="4:5" ht="15.75" customHeight="1" x14ac:dyDescent="0.25">
      <c r="D74" s="335"/>
      <c r="E74" s="337"/>
    </row>
  </sheetData>
  <mergeCells count="3">
    <mergeCell ref="N24:O24"/>
    <mergeCell ref="D73:E73"/>
    <mergeCell ref="D74:E74"/>
  </mergeCell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O74"/>
  <sheetViews>
    <sheetView workbookViewId="0">
      <selection activeCell="B13" sqref="B13"/>
    </sheetView>
  </sheetViews>
  <sheetFormatPr defaultColWidth="14.42578125" defaultRowHeight="15" customHeight="1" x14ac:dyDescent="0.25"/>
  <cols>
    <col min="1" max="1" width="10.7109375" customWidth="1"/>
    <col min="2" max="2" width="13.28515625" customWidth="1"/>
    <col min="3" max="3" width="12.28515625" customWidth="1"/>
    <col min="4" max="5" width="9.28515625" customWidth="1"/>
    <col min="6" max="6" width="9.85546875" customWidth="1"/>
    <col min="7" max="7" width="11.7109375" customWidth="1"/>
    <col min="8" max="8" width="13.140625" customWidth="1"/>
    <col min="9" max="9" width="25.140625" customWidth="1"/>
    <col min="10" max="10" width="15.42578125" customWidth="1"/>
    <col min="11" max="11" width="7.5703125" customWidth="1"/>
    <col min="12" max="12" width="14.28515625" customWidth="1"/>
    <col min="13" max="13" width="7.85546875" customWidth="1"/>
    <col min="14" max="14" width="14.140625" customWidth="1"/>
    <col min="15" max="15" width="7.85546875" customWidth="1"/>
    <col min="16" max="16" width="9.5703125" customWidth="1"/>
    <col min="17" max="17" width="31.42578125" customWidth="1"/>
    <col min="18" max="33" width="7.85546875" customWidth="1"/>
  </cols>
  <sheetData>
    <row r="2" spans="1:13" x14ac:dyDescent="0.25">
      <c r="A2" s="49" t="s">
        <v>64</v>
      </c>
      <c r="B2" s="49" t="s">
        <v>80</v>
      </c>
      <c r="C2" s="49" t="s">
        <v>65</v>
      </c>
      <c r="D2" s="49" t="s">
        <v>66</v>
      </c>
      <c r="E2" s="71" t="s">
        <v>52</v>
      </c>
      <c r="F2" s="29" t="s">
        <v>81</v>
      </c>
      <c r="G2" s="21" t="s">
        <v>82</v>
      </c>
      <c r="H2" s="49" t="s">
        <v>128</v>
      </c>
      <c r="I2" s="25"/>
      <c r="J2" s="25"/>
      <c r="K2" s="25"/>
      <c r="L2" s="63" t="s">
        <v>154</v>
      </c>
      <c r="M2" s="63" t="s">
        <v>134</v>
      </c>
    </row>
    <row r="3" spans="1:13" ht="16.5" customHeight="1" x14ac:dyDescent="0.25">
      <c r="A3" s="72" t="s">
        <v>130</v>
      </c>
      <c r="B3" s="29" t="s">
        <v>131</v>
      </c>
      <c r="C3" s="29" t="s">
        <v>131</v>
      </c>
      <c r="D3" s="29" t="s">
        <v>131</v>
      </c>
      <c r="E3" s="50" t="s">
        <v>131</v>
      </c>
      <c r="F3" s="29">
        <v>300</v>
      </c>
      <c r="G3" s="21">
        <f t="shared" ref="G3:G21" si="0">SUM(E3:F3)</f>
        <v>300</v>
      </c>
      <c r="H3" s="51"/>
      <c r="I3" s="25"/>
      <c r="J3" s="25"/>
      <c r="K3" s="25"/>
      <c r="L3" s="47"/>
    </row>
    <row r="4" spans="1:13" x14ac:dyDescent="0.25">
      <c r="A4" s="72" t="s">
        <v>132</v>
      </c>
      <c r="B4" s="29" t="s">
        <v>131</v>
      </c>
      <c r="C4" s="29" t="s">
        <v>131</v>
      </c>
      <c r="D4" s="29" t="s">
        <v>131</v>
      </c>
      <c r="E4" s="50" t="s">
        <v>131</v>
      </c>
      <c r="F4" s="29">
        <v>300</v>
      </c>
      <c r="G4" s="21">
        <f t="shared" si="0"/>
        <v>300</v>
      </c>
      <c r="H4" s="51"/>
      <c r="I4" s="25"/>
      <c r="J4" s="25"/>
      <c r="K4" s="25"/>
      <c r="L4" s="1" t="s">
        <v>156</v>
      </c>
      <c r="M4" s="1">
        <f>H21</f>
        <v>22630</v>
      </c>
    </row>
    <row r="5" spans="1:13" x14ac:dyDescent="0.25">
      <c r="A5" s="73" t="s">
        <v>68</v>
      </c>
      <c r="B5" s="30">
        <v>1.0900000000000001</v>
      </c>
      <c r="C5" s="30">
        <v>1.0900000000000001</v>
      </c>
      <c r="D5" s="29">
        <f t="shared" ref="D5:D20" si="1">(C5-B5)*1000</f>
        <v>0</v>
      </c>
      <c r="E5" s="50">
        <f>ROUND(D5*D23,0)</f>
        <v>0</v>
      </c>
      <c r="F5" s="29">
        <v>600</v>
      </c>
      <c r="G5" s="21">
        <f t="shared" si="0"/>
        <v>600</v>
      </c>
      <c r="H5" s="51">
        <v>600</v>
      </c>
      <c r="I5" s="25"/>
      <c r="J5" s="25"/>
      <c r="K5" s="25"/>
    </row>
    <row r="6" spans="1:13" x14ac:dyDescent="0.25">
      <c r="A6" s="32" t="s">
        <v>70</v>
      </c>
      <c r="B6" s="30">
        <v>48.84</v>
      </c>
      <c r="C6" s="29">
        <v>56.09</v>
      </c>
      <c r="D6" s="29">
        <f t="shared" si="1"/>
        <v>7250</v>
      </c>
      <c r="E6" s="50">
        <f>ROUND(D6*D23,0)</f>
        <v>658</v>
      </c>
      <c r="F6" s="29">
        <v>1000</v>
      </c>
      <c r="G6" s="21">
        <f t="shared" si="0"/>
        <v>1658</v>
      </c>
      <c r="H6" s="51">
        <v>1658</v>
      </c>
      <c r="I6" s="25"/>
      <c r="J6" s="25"/>
      <c r="K6" s="25"/>
      <c r="L6" s="66" t="s">
        <v>158</v>
      </c>
      <c r="M6" s="66">
        <f>SUM(M3:M5)</f>
        <v>22630</v>
      </c>
    </row>
    <row r="7" spans="1:13" x14ac:dyDescent="0.25">
      <c r="A7" s="32" t="s">
        <v>16</v>
      </c>
      <c r="B7" s="30">
        <v>113.9</v>
      </c>
      <c r="C7" s="29">
        <v>123.68</v>
      </c>
      <c r="D7" s="29">
        <f t="shared" si="1"/>
        <v>9780.0000000000018</v>
      </c>
      <c r="E7" s="50">
        <f>ROUND(D7*D23,0)</f>
        <v>887</v>
      </c>
      <c r="F7" s="29">
        <v>1000</v>
      </c>
      <c r="G7" s="21">
        <f t="shared" si="0"/>
        <v>1887</v>
      </c>
      <c r="H7" s="51">
        <v>1887</v>
      </c>
      <c r="I7" s="25"/>
      <c r="J7" s="25"/>
      <c r="K7" s="25"/>
      <c r="L7" s="1" t="s">
        <v>220</v>
      </c>
      <c r="M7" s="1">
        <v>11991</v>
      </c>
    </row>
    <row r="8" spans="1:13" x14ac:dyDescent="0.25">
      <c r="A8" s="32" t="s">
        <v>13</v>
      </c>
      <c r="B8" s="30">
        <v>100.58</v>
      </c>
      <c r="C8" s="29">
        <v>100.58</v>
      </c>
      <c r="D8" s="29">
        <f t="shared" si="1"/>
        <v>0</v>
      </c>
      <c r="E8" s="50">
        <f>ROUND(D8*D23,0)</f>
        <v>0</v>
      </c>
      <c r="F8" s="29">
        <v>1000</v>
      </c>
      <c r="G8" s="21">
        <f t="shared" si="0"/>
        <v>1000</v>
      </c>
      <c r="H8" s="51">
        <v>1000</v>
      </c>
      <c r="I8" s="25"/>
      <c r="J8" s="25"/>
      <c r="K8" s="25"/>
      <c r="L8" s="55" t="s">
        <v>20</v>
      </c>
      <c r="M8" s="55">
        <f>SUM(M6:M7)</f>
        <v>34621</v>
      </c>
    </row>
    <row r="9" spans="1:13" x14ac:dyDescent="0.25">
      <c r="A9" s="73">
        <v>101</v>
      </c>
      <c r="B9" s="30">
        <v>0.38</v>
      </c>
      <c r="C9" s="29">
        <v>0.38</v>
      </c>
      <c r="D9" s="29">
        <f t="shared" si="1"/>
        <v>0</v>
      </c>
      <c r="E9" s="50">
        <f>ROUND(D9*D23,0)</f>
        <v>0</v>
      </c>
      <c r="F9" s="29">
        <v>600</v>
      </c>
      <c r="G9" s="21">
        <f t="shared" si="0"/>
        <v>600</v>
      </c>
      <c r="H9" s="51">
        <v>1200</v>
      </c>
      <c r="I9" s="25" t="s">
        <v>221</v>
      </c>
      <c r="J9" s="25"/>
      <c r="K9" s="25"/>
      <c r="L9" s="68" t="s">
        <v>160</v>
      </c>
    </row>
    <row r="10" spans="1:13" x14ac:dyDescent="0.25">
      <c r="A10" s="32">
        <v>102</v>
      </c>
      <c r="B10" s="30">
        <v>168.59</v>
      </c>
      <c r="C10" s="29">
        <v>174.68</v>
      </c>
      <c r="D10" s="29">
        <f t="shared" si="1"/>
        <v>6090.0000000000036</v>
      </c>
      <c r="E10" s="50">
        <f>ROUND(D10*D23,0)</f>
        <v>552</v>
      </c>
      <c r="F10" s="29">
        <v>1000</v>
      </c>
      <c r="G10" s="21">
        <f t="shared" si="0"/>
        <v>1552</v>
      </c>
      <c r="H10" s="51">
        <v>1552</v>
      </c>
      <c r="I10" s="25"/>
      <c r="J10" s="25"/>
      <c r="K10" s="25"/>
      <c r="L10" s="1" t="s">
        <v>161</v>
      </c>
      <c r="M10" s="1">
        <v>6500</v>
      </c>
    </row>
    <row r="11" spans="1:13" x14ac:dyDescent="0.25">
      <c r="A11" s="75">
        <v>103</v>
      </c>
      <c r="B11" s="30">
        <v>0.83</v>
      </c>
      <c r="C11" s="29">
        <v>0.83</v>
      </c>
      <c r="D11" s="29">
        <f t="shared" si="1"/>
        <v>0</v>
      </c>
      <c r="E11" s="50">
        <f>ROUND(D11*D23,0)</f>
        <v>0</v>
      </c>
      <c r="F11" s="29">
        <v>1000</v>
      </c>
      <c r="G11" s="21">
        <f t="shared" si="0"/>
        <v>1000</v>
      </c>
      <c r="H11" s="51"/>
      <c r="I11" s="25"/>
      <c r="J11" s="25"/>
      <c r="K11" s="25"/>
      <c r="L11" s="1" t="s">
        <v>208</v>
      </c>
      <c r="M11" s="1">
        <v>2044</v>
      </c>
    </row>
    <row r="12" spans="1:13" x14ac:dyDescent="0.25">
      <c r="A12" s="32">
        <v>104</v>
      </c>
      <c r="B12" s="77">
        <v>80</v>
      </c>
      <c r="C12" s="29">
        <v>92.61</v>
      </c>
      <c r="D12" s="29">
        <f t="shared" si="1"/>
        <v>12610</v>
      </c>
      <c r="E12" s="50">
        <f>ROUND(D12*D23,0)</f>
        <v>1144</v>
      </c>
      <c r="F12" s="29">
        <v>1000</v>
      </c>
      <c r="G12" s="21">
        <f t="shared" si="0"/>
        <v>2144</v>
      </c>
      <c r="H12" s="51">
        <v>2144</v>
      </c>
      <c r="I12" s="25"/>
      <c r="J12" s="25"/>
      <c r="K12" s="25"/>
      <c r="L12" s="107" t="s">
        <v>217</v>
      </c>
      <c r="M12" s="1">
        <v>2940</v>
      </c>
    </row>
    <row r="13" spans="1:13" x14ac:dyDescent="0.25">
      <c r="A13" s="78">
        <v>201</v>
      </c>
      <c r="B13" s="268">
        <v>1.59</v>
      </c>
      <c r="C13" s="29">
        <v>1.59</v>
      </c>
      <c r="D13" s="29">
        <f t="shared" si="1"/>
        <v>0</v>
      </c>
      <c r="E13" s="50">
        <f>ROUND(D13*D23,0)</f>
        <v>0</v>
      </c>
      <c r="F13" s="29">
        <v>600</v>
      </c>
      <c r="G13" s="21">
        <f t="shared" si="0"/>
        <v>600</v>
      </c>
      <c r="H13" s="51">
        <v>1200</v>
      </c>
      <c r="I13" s="25" t="s">
        <v>221</v>
      </c>
      <c r="J13" s="25"/>
      <c r="K13" s="25"/>
      <c r="L13" s="1" t="s">
        <v>196</v>
      </c>
      <c r="M13" s="1">
        <v>400</v>
      </c>
    </row>
    <row r="14" spans="1:13" x14ac:dyDescent="0.25">
      <c r="A14" s="32">
        <v>202</v>
      </c>
      <c r="B14" s="30">
        <v>117.11</v>
      </c>
      <c r="C14" s="29">
        <v>124.02</v>
      </c>
      <c r="D14" s="29">
        <f t="shared" si="1"/>
        <v>6909.9999999999964</v>
      </c>
      <c r="E14" s="50">
        <f>ROUND(D14*D23,0)</f>
        <v>627</v>
      </c>
      <c r="F14" s="29">
        <v>1000</v>
      </c>
      <c r="G14" s="21">
        <f t="shared" si="0"/>
        <v>1627</v>
      </c>
      <c r="H14" s="51">
        <v>1627</v>
      </c>
      <c r="I14" s="25"/>
      <c r="J14" s="25"/>
      <c r="K14" s="25"/>
      <c r="L14" s="1" t="s">
        <v>222</v>
      </c>
      <c r="M14" s="1">
        <v>160</v>
      </c>
    </row>
    <row r="15" spans="1:13" x14ac:dyDescent="0.25">
      <c r="A15" s="32">
        <v>203</v>
      </c>
      <c r="B15" s="30">
        <v>72.39</v>
      </c>
      <c r="C15" s="29">
        <v>82.9</v>
      </c>
      <c r="D15" s="29">
        <f t="shared" si="1"/>
        <v>10510.000000000005</v>
      </c>
      <c r="E15" s="50">
        <f>ROUND(D15*D23,0)</f>
        <v>953</v>
      </c>
      <c r="F15" s="29">
        <v>1000</v>
      </c>
      <c r="G15" s="21">
        <f t="shared" si="0"/>
        <v>1953</v>
      </c>
      <c r="H15" s="51">
        <v>1953</v>
      </c>
      <c r="I15" s="25"/>
      <c r="J15" s="25"/>
      <c r="K15" s="25"/>
      <c r="L15" s="107" t="s">
        <v>176</v>
      </c>
      <c r="M15" s="106">
        <v>100</v>
      </c>
    </row>
    <row r="16" spans="1:13" x14ac:dyDescent="0.25">
      <c r="A16" s="32">
        <v>204</v>
      </c>
      <c r="B16" s="30">
        <v>49.26</v>
      </c>
      <c r="C16" s="29">
        <v>56.16</v>
      </c>
      <c r="D16" s="29">
        <f t="shared" si="1"/>
        <v>6899.9999999999982</v>
      </c>
      <c r="E16" s="50">
        <f>ROUND(D16*D23,0)</f>
        <v>626</v>
      </c>
      <c r="F16" s="29">
        <v>1000</v>
      </c>
      <c r="G16" s="21">
        <f t="shared" si="0"/>
        <v>1626</v>
      </c>
      <c r="H16" s="51">
        <v>1626</v>
      </c>
      <c r="I16" s="25"/>
      <c r="J16" s="25"/>
      <c r="K16" s="25"/>
      <c r="L16" s="1" t="s">
        <v>223</v>
      </c>
      <c r="M16" s="1">
        <v>6000</v>
      </c>
    </row>
    <row r="17" spans="1:15" x14ac:dyDescent="0.25">
      <c r="A17" s="73">
        <v>301</v>
      </c>
      <c r="B17" s="30">
        <v>0.38</v>
      </c>
      <c r="C17" s="29">
        <v>0.38</v>
      </c>
      <c r="D17" s="29">
        <f t="shared" si="1"/>
        <v>0</v>
      </c>
      <c r="E17" s="50">
        <f>ROUND(D17*D23,0)</f>
        <v>0</v>
      </c>
      <c r="F17" s="29">
        <v>600</v>
      </c>
      <c r="G17" s="21">
        <f t="shared" si="0"/>
        <v>600</v>
      </c>
      <c r="H17" s="51">
        <v>1200</v>
      </c>
      <c r="I17" s="25" t="s">
        <v>221</v>
      </c>
      <c r="J17" s="25"/>
      <c r="K17" s="25"/>
      <c r="L17" s="1" t="s">
        <v>224</v>
      </c>
      <c r="M17" s="1">
        <v>6600</v>
      </c>
      <c r="N17" s="29"/>
      <c r="O17" s="25"/>
    </row>
    <row r="18" spans="1:15" ht="19.5" customHeight="1" x14ac:dyDescent="0.25">
      <c r="A18" s="73">
        <v>302</v>
      </c>
      <c r="B18" s="30">
        <v>0.38</v>
      </c>
      <c r="C18" s="29">
        <v>0.38</v>
      </c>
      <c r="D18" s="29">
        <f t="shared" si="1"/>
        <v>0</v>
      </c>
      <c r="E18" s="50">
        <f>ROUND(D18*D23,0)</f>
        <v>0</v>
      </c>
      <c r="F18" s="29">
        <v>600</v>
      </c>
      <c r="G18" s="21">
        <f t="shared" si="0"/>
        <v>600</v>
      </c>
      <c r="H18" s="51">
        <v>1200</v>
      </c>
      <c r="I18" s="25" t="s">
        <v>221</v>
      </c>
      <c r="J18" s="25"/>
      <c r="K18" s="25"/>
      <c r="L18" s="47"/>
      <c r="N18" s="29"/>
      <c r="O18" s="25"/>
    </row>
    <row r="19" spans="1:15" x14ac:dyDescent="0.25">
      <c r="A19" s="32">
        <v>303</v>
      </c>
      <c r="B19" s="30">
        <v>265.83999999999997</v>
      </c>
      <c r="C19" s="29">
        <v>283.29000000000002</v>
      </c>
      <c r="D19" s="29">
        <f t="shared" si="1"/>
        <v>17450.000000000044</v>
      </c>
      <c r="E19" s="50">
        <f>ROUND(D19*D23,0)</f>
        <v>1583</v>
      </c>
      <c r="F19" s="29">
        <v>1000</v>
      </c>
      <c r="G19" s="21">
        <f t="shared" si="0"/>
        <v>2583</v>
      </c>
      <c r="H19" s="51">
        <v>2583</v>
      </c>
      <c r="I19" s="25"/>
      <c r="J19" s="25"/>
      <c r="K19" s="25"/>
      <c r="N19" s="29"/>
      <c r="O19" s="25"/>
    </row>
    <row r="20" spans="1:15" x14ac:dyDescent="0.25">
      <c r="A20" s="73">
        <v>304</v>
      </c>
      <c r="B20" s="30">
        <v>1.1399999999999999</v>
      </c>
      <c r="C20" s="30">
        <v>1.3</v>
      </c>
      <c r="D20" s="29">
        <f t="shared" si="1"/>
        <v>160.00000000000014</v>
      </c>
      <c r="E20" s="50">
        <f>ROUND(D20*D23,0)</f>
        <v>15</v>
      </c>
      <c r="F20" s="29">
        <v>600</v>
      </c>
      <c r="G20" s="21">
        <f t="shared" si="0"/>
        <v>615</v>
      </c>
      <c r="H20" s="51">
        <v>1200</v>
      </c>
      <c r="I20" s="25" t="s">
        <v>221</v>
      </c>
      <c r="J20" s="25"/>
      <c r="K20" s="25"/>
      <c r="L20" s="107"/>
      <c r="M20" s="25"/>
      <c r="N20" s="29"/>
      <c r="O20" s="25"/>
    </row>
    <row r="21" spans="1:15" ht="15.75" customHeight="1" x14ac:dyDescent="0.25">
      <c r="A21" s="29"/>
      <c r="B21" s="29"/>
      <c r="C21" s="29"/>
      <c r="D21" s="29"/>
      <c r="E21" s="80">
        <f>SUM(E5:E20)</f>
        <v>7045</v>
      </c>
      <c r="F21" s="49">
        <f>SUM(F3:F20)</f>
        <v>14200</v>
      </c>
      <c r="G21" s="29">
        <f t="shared" si="0"/>
        <v>21245</v>
      </c>
      <c r="H21" s="25">
        <f>SUM(H3:H20)</f>
        <v>22630</v>
      </c>
      <c r="I21" s="81" t="s">
        <v>220</v>
      </c>
      <c r="J21" s="81">
        <v>11991</v>
      </c>
      <c r="K21" s="25"/>
      <c r="L21" s="25"/>
      <c r="M21" s="25"/>
      <c r="N21" s="29"/>
      <c r="O21" s="25"/>
    </row>
    <row r="22" spans="1:15" ht="15.75" customHeight="1" x14ac:dyDescent="0.25">
      <c r="A22" s="29"/>
      <c r="B22" s="29" t="s">
        <v>75</v>
      </c>
      <c r="C22" s="29"/>
      <c r="D22" s="30">
        <f>SUM(D5:D21)</f>
        <v>77660.000000000058</v>
      </c>
      <c r="E22" s="21"/>
      <c r="F22" s="29"/>
      <c r="G22" s="29"/>
      <c r="H22" s="25"/>
      <c r="I22" s="25"/>
      <c r="J22" s="25"/>
      <c r="K22" s="25"/>
      <c r="L22" s="25"/>
      <c r="M22" s="25"/>
      <c r="N22" s="29"/>
      <c r="O22" s="25"/>
    </row>
    <row r="23" spans="1:15" ht="17.25" customHeight="1" x14ac:dyDescent="0.25">
      <c r="A23" s="29"/>
      <c r="B23" s="29" t="s">
        <v>84</v>
      </c>
      <c r="C23" s="29"/>
      <c r="D23" s="29">
        <f>B24/D22</f>
        <v>9.0703064640741626E-2</v>
      </c>
      <c r="E23" s="21"/>
      <c r="F23" s="29"/>
      <c r="G23" s="29"/>
      <c r="H23" s="25"/>
      <c r="I23" s="25"/>
      <c r="J23" s="25"/>
      <c r="K23" s="25"/>
      <c r="L23" s="55" t="s">
        <v>20</v>
      </c>
      <c r="M23" s="55">
        <f>SUM(M10:M22)</f>
        <v>24744</v>
      </c>
      <c r="N23" s="89"/>
      <c r="O23" s="25"/>
    </row>
    <row r="24" spans="1:15" ht="30.75" customHeight="1" x14ac:dyDescent="0.25">
      <c r="A24" s="29" t="s">
        <v>85</v>
      </c>
      <c r="B24" s="30">
        <f>5000+2044</f>
        <v>7044</v>
      </c>
      <c r="C24" s="84" t="s">
        <v>181</v>
      </c>
      <c r="D24" s="25"/>
      <c r="E24" s="25">
        <v>5000</v>
      </c>
      <c r="F24" s="29"/>
      <c r="G24" s="29"/>
      <c r="H24" s="25"/>
      <c r="I24" s="25"/>
      <c r="J24" s="25"/>
      <c r="K24" s="25"/>
      <c r="N24" s="343"/>
      <c r="O24" s="339"/>
    </row>
    <row r="25" spans="1:15" ht="15.75" customHeight="1" x14ac:dyDescent="0.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69" t="s">
        <v>225</v>
      </c>
      <c r="M25" s="70">
        <f>M8-M23</f>
        <v>9877</v>
      </c>
      <c r="N25" s="25"/>
      <c r="O25" s="25"/>
    </row>
    <row r="73" spans="4:5" ht="15.75" customHeight="1" x14ac:dyDescent="0.25">
      <c r="D73" s="335"/>
      <c r="E73" s="337"/>
    </row>
    <row r="74" spans="4:5" ht="15.75" customHeight="1" x14ac:dyDescent="0.25">
      <c r="D74" s="335"/>
      <c r="E74" s="337"/>
    </row>
  </sheetData>
  <mergeCells count="3">
    <mergeCell ref="N24:O24"/>
    <mergeCell ref="D73:E73"/>
    <mergeCell ref="D74:E74"/>
  </mergeCell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O74"/>
  <sheetViews>
    <sheetView workbookViewId="0"/>
  </sheetViews>
  <sheetFormatPr defaultColWidth="14.42578125" defaultRowHeight="15" customHeight="1" x14ac:dyDescent="0.25"/>
  <cols>
    <col min="1" max="1" width="10.7109375" customWidth="1"/>
    <col min="2" max="2" width="13.28515625" customWidth="1"/>
    <col min="3" max="3" width="12.28515625" customWidth="1"/>
    <col min="4" max="5" width="9.28515625" customWidth="1"/>
    <col min="6" max="6" width="9.85546875" customWidth="1"/>
    <col min="7" max="7" width="11.7109375" customWidth="1"/>
    <col min="8" max="8" width="13.140625" customWidth="1"/>
    <col min="9" max="9" width="25.140625" customWidth="1"/>
    <col min="10" max="10" width="15.42578125" customWidth="1"/>
    <col min="11" max="11" width="7.5703125" customWidth="1"/>
    <col min="12" max="12" width="14.28515625" customWidth="1"/>
    <col min="13" max="13" width="7.85546875" customWidth="1"/>
    <col min="14" max="14" width="14.140625" customWidth="1"/>
    <col min="15" max="15" width="7.85546875" customWidth="1"/>
    <col min="16" max="16" width="9.5703125" customWidth="1"/>
    <col min="17" max="17" width="31.42578125" customWidth="1"/>
    <col min="18" max="33" width="7.85546875" customWidth="1"/>
  </cols>
  <sheetData>
    <row r="2" spans="1:13" x14ac:dyDescent="0.25">
      <c r="A2" s="49" t="s">
        <v>64</v>
      </c>
      <c r="B2" s="49" t="s">
        <v>80</v>
      </c>
      <c r="C2" s="49" t="s">
        <v>65</v>
      </c>
      <c r="D2" s="49" t="s">
        <v>66</v>
      </c>
      <c r="E2" s="71" t="s">
        <v>52</v>
      </c>
      <c r="F2" s="29" t="s">
        <v>81</v>
      </c>
      <c r="G2" s="21" t="s">
        <v>82</v>
      </c>
      <c r="H2" s="49" t="s">
        <v>128</v>
      </c>
      <c r="I2" s="25"/>
      <c r="J2" s="25"/>
      <c r="K2" s="25"/>
      <c r="L2" s="63" t="s">
        <v>154</v>
      </c>
      <c r="M2" s="63" t="s">
        <v>134</v>
      </c>
    </row>
    <row r="3" spans="1:13" ht="16.5" customHeight="1" x14ac:dyDescent="0.25">
      <c r="A3" s="72" t="s">
        <v>130</v>
      </c>
      <c r="B3" s="29" t="s">
        <v>131</v>
      </c>
      <c r="C3" s="29" t="s">
        <v>131</v>
      </c>
      <c r="D3" s="29" t="s">
        <v>131</v>
      </c>
      <c r="E3" s="50" t="s">
        <v>131</v>
      </c>
      <c r="F3" s="29">
        <v>300</v>
      </c>
      <c r="G3" s="21">
        <f t="shared" ref="G3:G21" si="0">SUM(E3:F3)</f>
        <v>300</v>
      </c>
      <c r="H3" s="51"/>
      <c r="I3" s="25"/>
      <c r="J3" s="25"/>
      <c r="K3" s="25"/>
      <c r="L3" s="47"/>
    </row>
    <row r="4" spans="1:13" x14ac:dyDescent="0.25">
      <c r="A4" s="72" t="s">
        <v>132</v>
      </c>
      <c r="B4" s="29" t="s">
        <v>131</v>
      </c>
      <c r="C4" s="29" t="s">
        <v>131</v>
      </c>
      <c r="D4" s="29" t="s">
        <v>131</v>
      </c>
      <c r="E4" s="50" t="s">
        <v>131</v>
      </c>
      <c r="F4" s="29">
        <v>300</v>
      </c>
      <c r="G4" s="21">
        <f t="shared" si="0"/>
        <v>300</v>
      </c>
      <c r="H4" s="51"/>
      <c r="I4" s="25"/>
      <c r="J4" s="25"/>
      <c r="K4" s="25"/>
      <c r="L4" s="1" t="s">
        <v>156</v>
      </c>
      <c r="M4" s="1">
        <f>H21</f>
        <v>19887</v>
      </c>
    </row>
    <row r="5" spans="1:13" x14ac:dyDescent="0.25">
      <c r="A5" s="73" t="s">
        <v>68</v>
      </c>
      <c r="B5" s="30">
        <v>1.0900000000000001</v>
      </c>
      <c r="C5" s="30">
        <v>1.0900000000000001</v>
      </c>
      <c r="D5" s="29">
        <f t="shared" ref="D5:D20" si="1">(C5-B5)*1000</f>
        <v>0</v>
      </c>
      <c r="E5" s="50">
        <f>ROUND(D5*D23,0)</f>
        <v>0</v>
      </c>
      <c r="F5" s="29">
        <v>600</v>
      </c>
      <c r="G5" s="21">
        <f t="shared" si="0"/>
        <v>600</v>
      </c>
      <c r="H5" s="51">
        <v>600</v>
      </c>
      <c r="I5" s="25"/>
      <c r="J5" s="25"/>
      <c r="K5" s="25"/>
    </row>
    <row r="6" spans="1:13" x14ac:dyDescent="0.25">
      <c r="A6" s="32" t="s">
        <v>70</v>
      </c>
      <c r="B6" s="29">
        <v>56.09</v>
      </c>
      <c r="C6" s="29">
        <v>63.08</v>
      </c>
      <c r="D6" s="29">
        <f t="shared" si="1"/>
        <v>6989.9999999999945</v>
      </c>
      <c r="E6" s="50">
        <f>ROUND(D6*D23,0)</f>
        <v>696</v>
      </c>
      <c r="F6" s="29">
        <v>1000</v>
      </c>
      <c r="G6" s="21">
        <f t="shared" si="0"/>
        <v>1696</v>
      </c>
      <c r="H6" s="51">
        <v>1696</v>
      </c>
      <c r="I6" s="25"/>
      <c r="J6" s="25"/>
      <c r="K6" s="25"/>
      <c r="L6" s="66" t="s">
        <v>158</v>
      </c>
      <c r="M6" s="66">
        <f>SUM(M3:M5)</f>
        <v>19887</v>
      </c>
    </row>
    <row r="7" spans="1:13" x14ac:dyDescent="0.25">
      <c r="A7" s="32" t="s">
        <v>16</v>
      </c>
      <c r="B7" s="29">
        <v>123.68</v>
      </c>
      <c r="C7" s="29">
        <v>133</v>
      </c>
      <c r="D7" s="29">
        <f t="shared" si="1"/>
        <v>9319.9999999999927</v>
      </c>
      <c r="E7" s="50">
        <f>ROUND(D7*D23,0)</f>
        <v>928</v>
      </c>
      <c r="F7" s="29">
        <v>1000</v>
      </c>
      <c r="G7" s="21">
        <f t="shared" si="0"/>
        <v>1928</v>
      </c>
      <c r="H7" s="51">
        <v>1928</v>
      </c>
      <c r="I7" s="25"/>
      <c r="J7" s="25"/>
      <c r="K7" s="25"/>
      <c r="L7" s="1" t="s">
        <v>225</v>
      </c>
      <c r="M7" s="1">
        <f>J21</f>
        <v>9877</v>
      </c>
    </row>
    <row r="8" spans="1:13" x14ac:dyDescent="0.25">
      <c r="A8" s="32" t="s">
        <v>13</v>
      </c>
      <c r="B8" s="29">
        <v>100.58</v>
      </c>
      <c r="C8" s="29">
        <v>100.59</v>
      </c>
      <c r="D8" s="29">
        <f t="shared" si="1"/>
        <v>10.000000000005116</v>
      </c>
      <c r="E8" s="50">
        <f>ROUND(D8*D23,0)</f>
        <v>1</v>
      </c>
      <c r="F8" s="29">
        <v>1000</v>
      </c>
      <c r="G8" s="21">
        <f t="shared" si="0"/>
        <v>1001</v>
      </c>
      <c r="H8" s="51">
        <v>1001</v>
      </c>
      <c r="I8" s="25"/>
      <c r="J8" s="25"/>
      <c r="K8" s="25"/>
      <c r="L8" s="55" t="s">
        <v>20</v>
      </c>
      <c r="M8" s="55">
        <f>SUM(M6:M7)</f>
        <v>29764</v>
      </c>
    </row>
    <row r="9" spans="1:13" x14ac:dyDescent="0.25">
      <c r="A9" s="73">
        <v>101</v>
      </c>
      <c r="B9" s="29">
        <v>0.38</v>
      </c>
      <c r="C9" s="29">
        <v>0.38</v>
      </c>
      <c r="D9" s="29">
        <f t="shared" si="1"/>
        <v>0</v>
      </c>
      <c r="E9" s="50">
        <f>ROUND(D9*D23,0)</f>
        <v>0</v>
      </c>
      <c r="F9" s="29">
        <v>600</v>
      </c>
      <c r="G9" s="21">
        <f t="shared" si="0"/>
        <v>600</v>
      </c>
      <c r="H9" s="51">
        <v>600</v>
      </c>
      <c r="I9" s="25"/>
      <c r="J9" s="25"/>
      <c r="K9" s="25"/>
      <c r="L9" s="68" t="s">
        <v>160</v>
      </c>
    </row>
    <row r="10" spans="1:13" x14ac:dyDescent="0.25">
      <c r="A10" s="32">
        <v>102</v>
      </c>
      <c r="B10" s="29">
        <v>174.68</v>
      </c>
      <c r="C10" s="29">
        <v>182.07</v>
      </c>
      <c r="D10" s="29">
        <f t="shared" si="1"/>
        <v>7389.9999999999864</v>
      </c>
      <c r="E10" s="50">
        <f>ROUND(D10*D23,0)</f>
        <v>736</v>
      </c>
      <c r="F10" s="29">
        <v>1000</v>
      </c>
      <c r="G10" s="21">
        <f t="shared" si="0"/>
        <v>1736</v>
      </c>
      <c r="H10" s="51"/>
      <c r="I10" s="25"/>
      <c r="J10" s="25"/>
      <c r="K10" s="25"/>
      <c r="L10" s="1" t="s">
        <v>161</v>
      </c>
      <c r="M10" s="1">
        <v>6500</v>
      </c>
    </row>
    <row r="11" spans="1:13" x14ac:dyDescent="0.25">
      <c r="A11" s="75">
        <v>103</v>
      </c>
      <c r="B11" s="29">
        <v>0.83</v>
      </c>
      <c r="C11" s="29">
        <v>0.83</v>
      </c>
      <c r="D11" s="29">
        <f t="shared" si="1"/>
        <v>0</v>
      </c>
      <c r="E11" s="50">
        <f>ROUND(D11*D23,0)</f>
        <v>0</v>
      </c>
      <c r="F11" s="29">
        <v>1000</v>
      </c>
      <c r="G11" s="21">
        <f t="shared" si="0"/>
        <v>1000</v>
      </c>
      <c r="H11" s="51">
        <v>1000</v>
      </c>
      <c r="I11" s="25" t="s">
        <v>226</v>
      </c>
      <c r="J11" s="25"/>
      <c r="K11" s="25"/>
      <c r="L11" s="1" t="s">
        <v>208</v>
      </c>
      <c r="M11" s="1">
        <v>2044</v>
      </c>
    </row>
    <row r="12" spans="1:13" x14ac:dyDescent="0.25">
      <c r="A12" s="32">
        <v>104</v>
      </c>
      <c r="B12" s="29">
        <v>92.61</v>
      </c>
      <c r="C12" s="29">
        <v>105.34</v>
      </c>
      <c r="D12" s="29">
        <f t="shared" si="1"/>
        <v>12730.000000000004</v>
      </c>
      <c r="E12" s="50">
        <f>ROUND(D12*D23,0)</f>
        <v>1267</v>
      </c>
      <c r="F12" s="29">
        <v>1000</v>
      </c>
      <c r="G12" s="21">
        <f t="shared" si="0"/>
        <v>2267</v>
      </c>
      <c r="H12" s="51">
        <v>2267</v>
      </c>
      <c r="I12" s="25"/>
      <c r="J12" s="25"/>
      <c r="K12" s="25"/>
      <c r="L12" s="107" t="s">
        <v>217</v>
      </c>
      <c r="M12" s="1">
        <v>1783</v>
      </c>
    </row>
    <row r="13" spans="1:13" x14ac:dyDescent="0.25">
      <c r="A13" s="78">
        <v>201</v>
      </c>
      <c r="B13" s="29">
        <v>1.59</v>
      </c>
      <c r="C13" s="29">
        <v>1.59</v>
      </c>
      <c r="D13" s="29">
        <f t="shared" si="1"/>
        <v>0</v>
      </c>
      <c r="E13" s="50">
        <f>ROUND(D13*D23,0)</f>
        <v>0</v>
      </c>
      <c r="F13" s="29">
        <v>600</v>
      </c>
      <c r="G13" s="21">
        <f t="shared" si="0"/>
        <v>600</v>
      </c>
      <c r="H13" s="51">
        <v>600</v>
      </c>
      <c r="I13" s="25"/>
      <c r="J13" s="25"/>
      <c r="K13" s="25"/>
      <c r="L13" s="1" t="s">
        <v>164</v>
      </c>
      <c r="M13" s="1">
        <v>3000</v>
      </c>
    </row>
    <row r="14" spans="1:13" x14ac:dyDescent="0.25">
      <c r="A14" s="32">
        <v>202</v>
      </c>
      <c r="B14" s="29">
        <v>124.02</v>
      </c>
      <c r="C14" s="29">
        <v>132</v>
      </c>
      <c r="D14" s="29">
        <f t="shared" si="1"/>
        <v>7980.0000000000036</v>
      </c>
      <c r="E14" s="50">
        <f>ROUND(D14*D23,0)</f>
        <v>794</v>
      </c>
      <c r="F14" s="29">
        <v>1000</v>
      </c>
      <c r="G14" s="21">
        <f t="shared" si="0"/>
        <v>1794</v>
      </c>
      <c r="H14" s="51">
        <v>1794</v>
      </c>
      <c r="I14" s="25"/>
      <c r="J14" s="25"/>
      <c r="K14" s="25"/>
      <c r="L14" s="1" t="s">
        <v>227</v>
      </c>
      <c r="M14" s="1">
        <v>380</v>
      </c>
    </row>
    <row r="15" spans="1:13" x14ac:dyDescent="0.25">
      <c r="A15" s="32">
        <v>203</v>
      </c>
      <c r="B15" s="29">
        <v>82.9</v>
      </c>
      <c r="C15" s="29">
        <v>93.05</v>
      </c>
      <c r="D15" s="29">
        <f t="shared" si="1"/>
        <v>10149.999999999991</v>
      </c>
      <c r="E15" s="50">
        <f>ROUND(D15*D23,0)</f>
        <v>1010</v>
      </c>
      <c r="F15" s="29">
        <v>1000</v>
      </c>
      <c r="G15" s="21">
        <f t="shared" si="0"/>
        <v>2010</v>
      </c>
      <c r="H15" s="51">
        <v>2010</v>
      </c>
      <c r="I15" s="25"/>
      <c r="J15" s="25"/>
      <c r="K15" s="25"/>
      <c r="L15" s="25" t="s">
        <v>228</v>
      </c>
      <c r="M15" s="106">
        <v>418</v>
      </c>
    </row>
    <row r="16" spans="1:13" x14ac:dyDescent="0.25">
      <c r="A16" s="32">
        <v>204</v>
      </c>
      <c r="B16" s="29">
        <v>56.16</v>
      </c>
      <c r="C16" s="29">
        <v>64.78</v>
      </c>
      <c r="D16" s="29">
        <f t="shared" si="1"/>
        <v>8620.0000000000036</v>
      </c>
      <c r="E16" s="50">
        <f>ROUND(D16*D23,0)</f>
        <v>858</v>
      </c>
      <c r="F16" s="29">
        <v>1000</v>
      </c>
      <c r="G16" s="21">
        <f t="shared" si="0"/>
        <v>1858</v>
      </c>
      <c r="H16" s="51">
        <v>1858</v>
      </c>
      <c r="I16" s="25"/>
      <c r="J16" s="25"/>
      <c r="K16" s="25"/>
      <c r="L16" s="1" t="s">
        <v>229</v>
      </c>
      <c r="M16" s="1">
        <v>500</v>
      </c>
    </row>
    <row r="17" spans="1:15" x14ac:dyDescent="0.25">
      <c r="A17" s="73">
        <v>301</v>
      </c>
      <c r="B17" s="29">
        <v>0.38</v>
      </c>
      <c r="C17" s="29">
        <v>0.38</v>
      </c>
      <c r="D17" s="29">
        <f t="shared" si="1"/>
        <v>0</v>
      </c>
      <c r="E17" s="50">
        <f>ROUND(D17*D23,0)</f>
        <v>0</v>
      </c>
      <c r="F17" s="29">
        <v>600</v>
      </c>
      <c r="G17" s="21">
        <f t="shared" si="0"/>
        <v>600</v>
      </c>
      <c r="H17" s="51">
        <v>600</v>
      </c>
      <c r="I17" s="25"/>
      <c r="J17" s="25"/>
      <c r="K17" s="25"/>
      <c r="L17" s="1" t="s">
        <v>230</v>
      </c>
      <c r="M17" s="1">
        <v>6000</v>
      </c>
      <c r="N17" s="29"/>
      <c r="O17" s="25"/>
    </row>
    <row r="18" spans="1:15" ht="19.5" customHeight="1" x14ac:dyDescent="0.25">
      <c r="A18" s="73">
        <v>302</v>
      </c>
      <c r="B18" s="29">
        <v>0.38</v>
      </c>
      <c r="C18" s="29">
        <v>0.39</v>
      </c>
      <c r="D18" s="29">
        <f t="shared" si="1"/>
        <v>10.000000000000009</v>
      </c>
      <c r="E18" s="50">
        <f>ROUND(D18*D23,0)</f>
        <v>1</v>
      </c>
      <c r="F18" s="29">
        <v>600</v>
      </c>
      <c r="G18" s="21">
        <f t="shared" si="0"/>
        <v>601</v>
      </c>
      <c r="H18" s="51">
        <v>600</v>
      </c>
      <c r="I18" s="25"/>
      <c r="J18" s="25"/>
      <c r="K18" s="25"/>
      <c r="L18" s="47" t="s">
        <v>231</v>
      </c>
      <c r="M18" s="1">
        <v>2200</v>
      </c>
      <c r="N18" s="29"/>
      <c r="O18" s="25"/>
    </row>
    <row r="19" spans="1:15" x14ac:dyDescent="0.25">
      <c r="A19" s="32">
        <v>303</v>
      </c>
      <c r="B19" s="29">
        <v>283.29000000000002</v>
      </c>
      <c r="C19" s="29">
        <v>300.7</v>
      </c>
      <c r="D19" s="29">
        <f t="shared" si="1"/>
        <v>17409.999999999967</v>
      </c>
      <c r="E19" s="50">
        <f>ROUND(D19*D23,0)</f>
        <v>1733</v>
      </c>
      <c r="F19" s="29">
        <v>1000</v>
      </c>
      <c r="G19" s="21">
        <f t="shared" si="0"/>
        <v>2733</v>
      </c>
      <c r="H19" s="51">
        <v>2733</v>
      </c>
      <c r="I19" s="25"/>
      <c r="J19" s="25"/>
      <c r="K19" s="25"/>
      <c r="N19" s="29"/>
      <c r="O19" s="25"/>
    </row>
    <row r="20" spans="1:15" x14ac:dyDescent="0.25">
      <c r="A20" s="73">
        <v>304</v>
      </c>
      <c r="B20" s="30">
        <v>1.3</v>
      </c>
      <c r="C20" s="30">
        <v>1.49</v>
      </c>
      <c r="D20" s="29">
        <f t="shared" si="1"/>
        <v>189.99999999999994</v>
      </c>
      <c r="E20" s="50">
        <f>ROUND(D20*D23,0)</f>
        <v>19</v>
      </c>
      <c r="F20" s="29">
        <v>600</v>
      </c>
      <c r="G20" s="21">
        <f t="shared" si="0"/>
        <v>619</v>
      </c>
      <c r="H20" s="51">
        <v>600</v>
      </c>
      <c r="I20" s="25"/>
      <c r="J20" s="25"/>
      <c r="K20" s="25"/>
      <c r="L20" s="107"/>
      <c r="M20" s="25"/>
      <c r="N20" s="29"/>
      <c r="O20" s="25"/>
    </row>
    <row r="21" spans="1:15" ht="15.75" customHeight="1" x14ac:dyDescent="0.25">
      <c r="A21" s="29"/>
      <c r="B21" s="29"/>
      <c r="C21" s="29"/>
      <c r="D21" s="29"/>
      <c r="E21" s="80">
        <f>SUM(E5:E20)</f>
        <v>8043</v>
      </c>
      <c r="F21" s="49">
        <f>SUM(F3:F20)</f>
        <v>14200</v>
      </c>
      <c r="G21" s="29">
        <f t="shared" si="0"/>
        <v>22243</v>
      </c>
      <c r="H21" s="25">
        <f>SUM(H3:H20)</f>
        <v>19887</v>
      </c>
      <c r="I21" s="81" t="s">
        <v>225</v>
      </c>
      <c r="J21" s="81">
        <v>9877</v>
      </c>
      <c r="K21" s="25"/>
      <c r="L21" s="25"/>
      <c r="M21" s="25"/>
      <c r="N21" s="29"/>
      <c r="O21" s="25"/>
    </row>
    <row r="22" spans="1:15" ht="15.75" customHeight="1" x14ac:dyDescent="0.25">
      <c r="A22" s="29"/>
      <c r="B22" s="29" t="s">
        <v>75</v>
      </c>
      <c r="C22" s="29"/>
      <c r="D22" s="30">
        <f>SUM(D5:D21)</f>
        <v>80799.999999999956</v>
      </c>
      <c r="E22" s="21"/>
      <c r="F22" s="29"/>
      <c r="G22" s="29"/>
      <c r="H22" s="25"/>
      <c r="I22" s="25"/>
      <c r="J22" s="25"/>
      <c r="K22" s="25"/>
      <c r="L22" s="25"/>
      <c r="M22" s="25"/>
      <c r="N22" s="29"/>
      <c r="O22" s="25"/>
    </row>
    <row r="23" spans="1:15" ht="17.25" customHeight="1" x14ac:dyDescent="0.25">
      <c r="A23" s="29"/>
      <c r="B23" s="29" t="s">
        <v>84</v>
      </c>
      <c r="C23" s="29"/>
      <c r="D23" s="29">
        <f>B24/D22</f>
        <v>9.9554455445544615E-2</v>
      </c>
      <c r="E23" s="21"/>
      <c r="F23" s="29"/>
      <c r="G23" s="29"/>
      <c r="H23" s="25"/>
      <c r="I23" s="25"/>
      <c r="J23" s="25"/>
      <c r="K23" s="25"/>
      <c r="L23" s="55" t="s">
        <v>20</v>
      </c>
      <c r="M23" s="55">
        <f>SUM(M10:M22)</f>
        <v>22825</v>
      </c>
      <c r="N23" s="89"/>
      <c r="O23" s="25"/>
    </row>
    <row r="24" spans="1:15" ht="30.75" customHeight="1" x14ac:dyDescent="0.25">
      <c r="A24" s="29" t="s">
        <v>85</v>
      </c>
      <c r="B24" s="30">
        <f>6000+2044</f>
        <v>8044</v>
      </c>
      <c r="C24" s="84" t="s">
        <v>181</v>
      </c>
      <c r="D24" s="25"/>
      <c r="E24" s="25">
        <v>6000</v>
      </c>
      <c r="F24" s="29"/>
      <c r="G24" s="29"/>
      <c r="H24" s="25"/>
      <c r="I24" s="25"/>
      <c r="J24" s="25"/>
      <c r="K24" s="25"/>
      <c r="N24" s="343"/>
      <c r="O24" s="339"/>
    </row>
    <row r="25" spans="1:15" ht="15.75" customHeight="1" x14ac:dyDescent="0.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69" t="s">
        <v>225</v>
      </c>
      <c r="M25" s="70">
        <f>M8-M23</f>
        <v>6939</v>
      </c>
      <c r="N25" s="25"/>
      <c r="O25" s="25"/>
    </row>
    <row r="73" spans="4:5" ht="15.75" customHeight="1" x14ac:dyDescent="0.25">
      <c r="D73" s="335"/>
      <c r="E73" s="337"/>
    </row>
    <row r="74" spans="4:5" ht="15.75" customHeight="1" x14ac:dyDescent="0.25">
      <c r="D74" s="335"/>
      <c r="E74" s="337"/>
    </row>
  </sheetData>
  <mergeCells count="3">
    <mergeCell ref="N24:O24"/>
    <mergeCell ref="D73:E73"/>
    <mergeCell ref="D74:E74"/>
  </mergeCell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O74"/>
  <sheetViews>
    <sheetView workbookViewId="0"/>
  </sheetViews>
  <sheetFormatPr defaultColWidth="14.42578125" defaultRowHeight="15" customHeight="1" x14ac:dyDescent="0.25"/>
  <cols>
    <col min="1" max="1" width="10.7109375" customWidth="1"/>
    <col min="2" max="2" width="13.28515625" customWidth="1"/>
    <col min="3" max="3" width="12.28515625" customWidth="1"/>
    <col min="4" max="5" width="9.28515625" customWidth="1"/>
    <col min="6" max="6" width="9.85546875" customWidth="1"/>
    <col min="7" max="7" width="11.7109375" customWidth="1"/>
    <col min="8" max="8" width="14.28515625" customWidth="1"/>
    <col min="9" max="9" width="25.140625" customWidth="1"/>
    <col min="10" max="10" width="15.42578125" customWidth="1"/>
    <col min="11" max="11" width="7.5703125" customWidth="1"/>
    <col min="12" max="12" width="14.28515625" customWidth="1"/>
    <col min="13" max="13" width="7.85546875" customWidth="1"/>
    <col min="14" max="14" width="14.140625" customWidth="1"/>
    <col min="15" max="15" width="7.85546875" customWidth="1"/>
    <col min="16" max="16" width="9.5703125" customWidth="1"/>
    <col min="17" max="17" width="31.42578125" customWidth="1"/>
    <col min="18" max="33" width="7.85546875" customWidth="1"/>
  </cols>
  <sheetData>
    <row r="2" spans="1:13" x14ac:dyDescent="0.25">
      <c r="A2" s="49" t="s">
        <v>64</v>
      </c>
      <c r="B2" s="49" t="s">
        <v>80</v>
      </c>
      <c r="C2" s="49" t="s">
        <v>65</v>
      </c>
      <c r="D2" s="49" t="s">
        <v>66</v>
      </c>
      <c r="E2" s="71" t="s">
        <v>52</v>
      </c>
      <c r="F2" s="29" t="s">
        <v>81</v>
      </c>
      <c r="G2" s="21" t="s">
        <v>82</v>
      </c>
      <c r="H2" s="49" t="s">
        <v>128</v>
      </c>
      <c r="I2" s="25"/>
      <c r="J2" s="25"/>
      <c r="K2" s="25"/>
      <c r="L2" s="63" t="s">
        <v>154</v>
      </c>
      <c r="M2" s="63" t="s">
        <v>134</v>
      </c>
    </row>
    <row r="3" spans="1:13" ht="16.5" customHeight="1" x14ac:dyDescent="0.25">
      <c r="A3" s="72" t="s">
        <v>130</v>
      </c>
      <c r="B3" s="29" t="s">
        <v>131</v>
      </c>
      <c r="C3" s="29" t="s">
        <v>131</v>
      </c>
      <c r="D3" s="29" t="s">
        <v>131</v>
      </c>
      <c r="E3" s="50" t="s">
        <v>131</v>
      </c>
      <c r="F3" s="29">
        <v>300</v>
      </c>
      <c r="G3" s="21">
        <f t="shared" ref="G3:G21" si="0">SUM(E3:F3)</f>
        <v>300</v>
      </c>
      <c r="H3" s="51">
        <v>300</v>
      </c>
      <c r="I3" s="25"/>
      <c r="J3" s="25"/>
      <c r="K3" s="25"/>
      <c r="L3" s="47"/>
    </row>
    <row r="4" spans="1:13" x14ac:dyDescent="0.25">
      <c r="A4" s="72" t="s">
        <v>132</v>
      </c>
      <c r="B4" s="29" t="s">
        <v>131</v>
      </c>
      <c r="C4" s="29" t="s">
        <v>131</v>
      </c>
      <c r="D4" s="29" t="s">
        <v>131</v>
      </c>
      <c r="E4" s="50" t="s">
        <v>131</v>
      </c>
      <c r="F4" s="29">
        <v>300</v>
      </c>
      <c r="G4" s="21">
        <f t="shared" si="0"/>
        <v>300</v>
      </c>
      <c r="H4" s="51">
        <v>450</v>
      </c>
      <c r="I4" s="25"/>
      <c r="J4" s="25"/>
      <c r="K4" s="25"/>
      <c r="L4" s="1" t="s">
        <v>156</v>
      </c>
      <c r="M4" s="1">
        <f>H21</f>
        <v>19476</v>
      </c>
    </row>
    <row r="5" spans="1:13" x14ac:dyDescent="0.25">
      <c r="A5" s="73" t="s">
        <v>68</v>
      </c>
      <c r="B5" s="30">
        <v>1.0900000000000001</v>
      </c>
      <c r="C5" s="30">
        <v>1.4</v>
      </c>
      <c r="D5" s="29">
        <f t="shared" ref="D5:D20" si="1">(C5-B5)*1000</f>
        <v>309.99999999999983</v>
      </c>
      <c r="E5" s="50">
        <f>ROUND(D5*D23,0)</f>
        <v>36</v>
      </c>
      <c r="F5" s="29">
        <v>600</v>
      </c>
      <c r="G5" s="21">
        <f t="shared" si="0"/>
        <v>636</v>
      </c>
      <c r="H5" s="51"/>
      <c r="I5" s="25"/>
      <c r="J5" s="25"/>
      <c r="K5" s="25"/>
    </row>
    <row r="6" spans="1:13" x14ac:dyDescent="0.25">
      <c r="A6" s="32" t="s">
        <v>70</v>
      </c>
      <c r="B6" s="29">
        <v>63.08</v>
      </c>
      <c r="C6" s="29">
        <v>68.680000000000007</v>
      </c>
      <c r="D6" s="29">
        <f t="shared" si="1"/>
        <v>5600.0000000000082</v>
      </c>
      <c r="E6" s="50">
        <f>ROUND(D6*D23,0)</f>
        <v>657</v>
      </c>
      <c r="F6" s="29">
        <v>1000</v>
      </c>
      <c r="G6" s="21">
        <f t="shared" si="0"/>
        <v>1657</v>
      </c>
      <c r="H6" s="51">
        <v>1657</v>
      </c>
      <c r="I6" s="25"/>
      <c r="J6" s="25"/>
      <c r="K6" s="25"/>
      <c r="L6" s="66" t="s">
        <v>158</v>
      </c>
      <c r="M6" s="66">
        <f>SUM(M3:M5)</f>
        <v>19476</v>
      </c>
    </row>
    <row r="7" spans="1:13" x14ac:dyDescent="0.25">
      <c r="A7" s="32" t="s">
        <v>16</v>
      </c>
      <c r="B7" s="29">
        <v>133</v>
      </c>
      <c r="C7" s="29">
        <v>139.63</v>
      </c>
      <c r="D7" s="29">
        <f t="shared" si="1"/>
        <v>6629.9999999999955</v>
      </c>
      <c r="E7" s="50">
        <f>ROUND(D7*D23,0)</f>
        <v>778</v>
      </c>
      <c r="F7" s="29">
        <v>1000</v>
      </c>
      <c r="G7" s="21">
        <f t="shared" si="0"/>
        <v>1778</v>
      </c>
      <c r="H7" s="51">
        <v>1778</v>
      </c>
      <c r="I7" s="25"/>
      <c r="J7" s="25"/>
      <c r="K7" s="25"/>
      <c r="L7" s="1" t="s">
        <v>232</v>
      </c>
      <c r="M7" s="1">
        <f>J21</f>
        <v>6939</v>
      </c>
    </row>
    <row r="8" spans="1:13" x14ac:dyDescent="0.25">
      <c r="A8" s="32" t="s">
        <v>13</v>
      </c>
      <c r="B8" s="29">
        <v>100.59</v>
      </c>
      <c r="C8" s="29">
        <v>108.54</v>
      </c>
      <c r="D8" s="29">
        <f t="shared" si="1"/>
        <v>7950.0000000000027</v>
      </c>
      <c r="E8" s="50">
        <f>ROUND(D8*D23,0)</f>
        <v>933</v>
      </c>
      <c r="F8" s="29">
        <v>1000</v>
      </c>
      <c r="G8" s="21">
        <f t="shared" si="0"/>
        <v>1933</v>
      </c>
      <c r="H8" s="51">
        <v>1933</v>
      </c>
      <c r="I8" s="25"/>
      <c r="J8" s="25"/>
      <c r="K8" s="25"/>
      <c r="L8" s="55" t="s">
        <v>20</v>
      </c>
      <c r="M8" s="55">
        <f>SUM(M6:M7)</f>
        <v>26415</v>
      </c>
    </row>
    <row r="9" spans="1:13" x14ac:dyDescent="0.25">
      <c r="A9" s="73">
        <v>101</v>
      </c>
      <c r="B9" s="29">
        <v>0.38</v>
      </c>
      <c r="C9" s="29">
        <v>0.38</v>
      </c>
      <c r="D9" s="29">
        <f t="shared" si="1"/>
        <v>0</v>
      </c>
      <c r="E9" s="50">
        <f>ROUND(D9*D23,0)</f>
        <v>0</v>
      </c>
      <c r="F9" s="29">
        <v>600</v>
      </c>
      <c r="G9" s="21">
        <f t="shared" si="0"/>
        <v>600</v>
      </c>
      <c r="H9" s="51"/>
      <c r="I9" s="25"/>
      <c r="J9" s="25"/>
      <c r="K9" s="25"/>
      <c r="L9" s="68" t="s">
        <v>160</v>
      </c>
    </row>
    <row r="10" spans="1:13" x14ac:dyDescent="0.25">
      <c r="A10" s="32">
        <v>102</v>
      </c>
      <c r="B10" s="29">
        <v>182.07</v>
      </c>
      <c r="C10" s="29">
        <v>182.22</v>
      </c>
      <c r="D10" s="29">
        <f t="shared" si="1"/>
        <v>150.00000000000568</v>
      </c>
      <c r="E10" s="50">
        <f>ROUND(D10*D23,0)</f>
        <v>18</v>
      </c>
      <c r="F10" s="29">
        <v>1000</v>
      </c>
      <c r="G10" s="21">
        <f t="shared" si="0"/>
        <v>1018</v>
      </c>
      <c r="H10" s="51">
        <v>1736</v>
      </c>
      <c r="I10" s="25"/>
      <c r="J10" s="25"/>
      <c r="K10" s="25"/>
      <c r="L10" s="1" t="s">
        <v>161</v>
      </c>
      <c r="M10" s="1">
        <v>6500</v>
      </c>
    </row>
    <row r="11" spans="1:13" x14ac:dyDescent="0.25">
      <c r="A11" s="75">
        <v>103</v>
      </c>
      <c r="B11" s="29">
        <v>0.83</v>
      </c>
      <c r="C11" s="29">
        <v>0.83</v>
      </c>
      <c r="D11" s="29">
        <f t="shared" si="1"/>
        <v>0</v>
      </c>
      <c r="E11" s="50">
        <f>ROUND(D11*D23,0)</f>
        <v>0</v>
      </c>
      <c r="F11" s="29">
        <v>1000</v>
      </c>
      <c r="G11" s="21">
        <f t="shared" si="0"/>
        <v>1000</v>
      </c>
      <c r="H11" s="51">
        <v>1000</v>
      </c>
      <c r="I11" s="25"/>
      <c r="J11" s="25"/>
      <c r="K11" s="25"/>
      <c r="L11" s="1" t="s">
        <v>208</v>
      </c>
      <c r="M11" s="1">
        <v>2044</v>
      </c>
    </row>
    <row r="12" spans="1:13" x14ac:dyDescent="0.25">
      <c r="A12" s="32">
        <v>104</v>
      </c>
      <c r="B12" s="29">
        <v>105.34</v>
      </c>
      <c r="C12" s="29">
        <v>109.06</v>
      </c>
      <c r="D12" s="29">
        <f t="shared" si="1"/>
        <v>3719.9999999999991</v>
      </c>
      <c r="E12" s="50">
        <f>ROUND(D12*D23,0)</f>
        <v>436</v>
      </c>
      <c r="F12" s="29">
        <v>1000</v>
      </c>
      <c r="G12" s="21">
        <f t="shared" si="0"/>
        <v>1436</v>
      </c>
      <c r="H12" s="51">
        <v>1436</v>
      </c>
      <c r="I12" s="25"/>
      <c r="J12" s="25"/>
      <c r="K12" s="25"/>
      <c r="L12" s="107" t="s">
        <v>217</v>
      </c>
      <c r="M12" s="1">
        <v>1419</v>
      </c>
    </row>
    <row r="13" spans="1:13" x14ac:dyDescent="0.25">
      <c r="A13" s="78">
        <v>201</v>
      </c>
      <c r="B13" s="29">
        <v>1.59</v>
      </c>
      <c r="C13" s="29">
        <v>1.59</v>
      </c>
      <c r="D13" s="29">
        <f t="shared" si="1"/>
        <v>0</v>
      </c>
      <c r="E13" s="50">
        <f>ROUND(D13*D23,0)</f>
        <v>0</v>
      </c>
      <c r="F13" s="29">
        <v>600</v>
      </c>
      <c r="G13" s="21">
        <f t="shared" si="0"/>
        <v>600</v>
      </c>
      <c r="H13" s="51"/>
      <c r="I13" s="25"/>
      <c r="J13" s="25"/>
      <c r="K13" s="25"/>
      <c r="L13" s="1" t="s">
        <v>233</v>
      </c>
      <c r="M13" s="1">
        <v>360</v>
      </c>
    </row>
    <row r="14" spans="1:13" x14ac:dyDescent="0.25">
      <c r="A14" s="32">
        <v>202</v>
      </c>
      <c r="B14" s="29">
        <v>132</v>
      </c>
      <c r="C14" s="29">
        <v>137.32</v>
      </c>
      <c r="D14" s="29">
        <f t="shared" si="1"/>
        <v>5319.9999999999927</v>
      </c>
      <c r="E14" s="50">
        <f>ROUND(D14*D23,0)</f>
        <v>624</v>
      </c>
      <c r="F14" s="29">
        <v>1000</v>
      </c>
      <c r="G14" s="21">
        <f t="shared" si="0"/>
        <v>1624</v>
      </c>
      <c r="H14" s="51">
        <v>1624</v>
      </c>
      <c r="I14" s="25"/>
      <c r="J14" s="25"/>
      <c r="K14" s="25"/>
      <c r="L14" s="1" t="s">
        <v>234</v>
      </c>
      <c r="M14" s="1">
        <v>5000</v>
      </c>
    </row>
    <row r="15" spans="1:13" x14ac:dyDescent="0.25">
      <c r="A15" s="32">
        <v>203</v>
      </c>
      <c r="B15" s="29">
        <v>93.05</v>
      </c>
      <c r="C15" s="29">
        <v>101.51</v>
      </c>
      <c r="D15" s="29">
        <f t="shared" si="1"/>
        <v>8460.0000000000073</v>
      </c>
      <c r="E15" s="50">
        <f>ROUND(D15*D23,0)</f>
        <v>993</v>
      </c>
      <c r="F15" s="29">
        <v>1000</v>
      </c>
      <c r="G15" s="21">
        <f t="shared" si="0"/>
        <v>1993</v>
      </c>
      <c r="H15" s="51">
        <v>1993</v>
      </c>
      <c r="I15" s="25"/>
      <c r="J15" s="25"/>
      <c r="K15" s="25"/>
      <c r="L15" s="25"/>
      <c r="M15" s="106"/>
    </row>
    <row r="16" spans="1:13" x14ac:dyDescent="0.25">
      <c r="A16" s="32">
        <v>204</v>
      </c>
      <c r="B16" s="29">
        <v>64.78</v>
      </c>
      <c r="C16" s="29">
        <v>73.02</v>
      </c>
      <c r="D16" s="29">
        <f t="shared" si="1"/>
        <v>8239.9999999999945</v>
      </c>
      <c r="E16" s="50">
        <f>ROUND(D16*D23,0)</f>
        <v>967</v>
      </c>
      <c r="F16" s="29">
        <v>1000</v>
      </c>
      <c r="G16" s="21">
        <f t="shared" si="0"/>
        <v>1967</v>
      </c>
      <c r="H16" s="51">
        <v>1967</v>
      </c>
      <c r="I16" s="25"/>
      <c r="J16" s="25"/>
      <c r="K16" s="25"/>
    </row>
    <row r="17" spans="1:15" x14ac:dyDescent="0.25">
      <c r="A17" s="73">
        <v>301</v>
      </c>
      <c r="B17" s="29">
        <v>0.38</v>
      </c>
      <c r="C17" s="29">
        <v>0.38</v>
      </c>
      <c r="D17" s="29">
        <f t="shared" si="1"/>
        <v>0</v>
      </c>
      <c r="E17" s="50">
        <f>ROUND(D17*D23,0)</f>
        <v>0</v>
      </c>
      <c r="F17" s="29">
        <v>600</v>
      </c>
      <c r="G17" s="21">
        <f t="shared" si="0"/>
        <v>600</v>
      </c>
      <c r="H17" s="51"/>
      <c r="I17" s="25"/>
      <c r="J17" s="25"/>
      <c r="K17" s="25"/>
      <c r="N17" s="29"/>
      <c r="O17" s="25"/>
    </row>
    <row r="18" spans="1:15" ht="19.5" customHeight="1" x14ac:dyDescent="0.25">
      <c r="A18" s="73">
        <v>302</v>
      </c>
      <c r="B18" s="29">
        <v>0.39</v>
      </c>
      <c r="C18" s="29">
        <v>0.39</v>
      </c>
      <c r="D18" s="29">
        <f t="shared" si="1"/>
        <v>0</v>
      </c>
      <c r="E18" s="50">
        <f>ROUND(D18*D23,0)</f>
        <v>0</v>
      </c>
      <c r="F18" s="29">
        <v>600</v>
      </c>
      <c r="G18" s="21">
        <f t="shared" si="0"/>
        <v>600</v>
      </c>
      <c r="H18" s="51"/>
      <c r="I18" s="25"/>
      <c r="J18" s="25"/>
      <c r="K18" s="25"/>
      <c r="L18" s="47"/>
      <c r="N18" s="29"/>
      <c r="O18" s="25"/>
    </row>
    <row r="19" spans="1:15" x14ac:dyDescent="0.25">
      <c r="A19" s="32">
        <v>303</v>
      </c>
      <c r="B19" s="29">
        <v>300.7</v>
      </c>
      <c r="C19" s="29">
        <v>322.88</v>
      </c>
      <c r="D19" s="29">
        <f t="shared" si="1"/>
        <v>22180.000000000007</v>
      </c>
      <c r="E19" s="50">
        <f>ROUND(D19*D23,0)</f>
        <v>2602</v>
      </c>
      <c r="F19" s="29">
        <v>1000</v>
      </c>
      <c r="G19" s="21">
        <f t="shared" si="0"/>
        <v>3602</v>
      </c>
      <c r="H19" s="51">
        <v>3602</v>
      </c>
      <c r="I19" s="25"/>
      <c r="J19" s="25"/>
      <c r="K19" s="25"/>
      <c r="N19" s="29"/>
      <c r="O19" s="25"/>
    </row>
    <row r="20" spans="1:15" x14ac:dyDescent="0.25">
      <c r="A20" s="73">
        <v>304</v>
      </c>
      <c r="B20" s="30">
        <v>1.49</v>
      </c>
      <c r="C20" s="30">
        <v>1.49</v>
      </c>
      <c r="D20" s="29">
        <f t="shared" si="1"/>
        <v>0</v>
      </c>
      <c r="E20" s="50">
        <f>ROUND(D20*D23,0)</f>
        <v>0</v>
      </c>
      <c r="F20" s="29">
        <v>600</v>
      </c>
      <c r="G20" s="21">
        <f t="shared" si="0"/>
        <v>600</v>
      </c>
      <c r="H20" s="51"/>
      <c r="I20" s="25"/>
      <c r="J20" s="25"/>
      <c r="K20" s="25"/>
      <c r="L20" s="107"/>
      <c r="M20" s="25"/>
      <c r="N20" s="29"/>
      <c r="O20" s="25"/>
    </row>
    <row r="21" spans="1:15" ht="15.75" customHeight="1" x14ac:dyDescent="0.25">
      <c r="A21" s="29"/>
      <c r="B21" s="29"/>
      <c r="C21" s="29"/>
      <c r="D21" s="29"/>
      <c r="E21" s="80">
        <f>SUM(E5:E20)</f>
        <v>8044</v>
      </c>
      <c r="F21" s="49">
        <f>SUM(F3:F20)</f>
        <v>14200</v>
      </c>
      <c r="G21" s="29">
        <f t="shared" si="0"/>
        <v>22244</v>
      </c>
      <c r="H21" s="25">
        <f>SUM(H3:H20)</f>
        <v>19476</v>
      </c>
      <c r="I21" s="81" t="s">
        <v>225</v>
      </c>
      <c r="J21" s="81">
        <v>6939</v>
      </c>
      <c r="K21" s="25"/>
      <c r="L21" s="25"/>
      <c r="M21" s="25"/>
      <c r="N21" s="29"/>
      <c r="O21" s="25"/>
    </row>
    <row r="22" spans="1:15" ht="15.75" customHeight="1" x14ac:dyDescent="0.25">
      <c r="A22" s="29"/>
      <c r="B22" s="29" t="s">
        <v>75</v>
      </c>
      <c r="C22" s="29"/>
      <c r="D22" s="30">
        <f>SUM(D5:D21)</f>
        <v>68560.000000000015</v>
      </c>
      <c r="E22" s="21"/>
      <c r="F22" s="29"/>
      <c r="G22" s="29"/>
      <c r="H22" s="25"/>
      <c r="I22" s="25"/>
      <c r="J22" s="25"/>
      <c r="K22" s="25"/>
      <c r="L22" s="25"/>
      <c r="M22" s="25"/>
      <c r="N22" s="29"/>
      <c r="O22" s="25"/>
    </row>
    <row r="23" spans="1:15" ht="17.25" customHeight="1" x14ac:dyDescent="0.25">
      <c r="A23" s="29"/>
      <c r="B23" s="29" t="s">
        <v>84</v>
      </c>
      <c r="C23" s="29"/>
      <c r="D23" s="29">
        <f>B24/D22</f>
        <v>0.1173278879813302</v>
      </c>
      <c r="E23" s="21"/>
      <c r="F23" s="29"/>
      <c r="G23" s="29"/>
      <c r="H23" s="25"/>
      <c r="I23" s="25"/>
      <c r="J23" s="25"/>
      <c r="K23" s="25"/>
      <c r="L23" s="55" t="s">
        <v>20</v>
      </c>
      <c r="M23" s="55">
        <f>SUM(M10:M22)</f>
        <v>15323</v>
      </c>
      <c r="N23" s="89"/>
      <c r="O23" s="25"/>
    </row>
    <row r="24" spans="1:15" ht="30.75" customHeight="1" x14ac:dyDescent="0.25">
      <c r="A24" s="29" t="s">
        <v>85</v>
      </c>
      <c r="B24" s="30">
        <f>6000+2044</f>
        <v>8044</v>
      </c>
      <c r="C24" s="84" t="s">
        <v>181</v>
      </c>
      <c r="D24" s="25"/>
      <c r="E24" s="25">
        <v>6000</v>
      </c>
      <c r="F24" s="29"/>
      <c r="G24" s="29"/>
      <c r="H24" s="25"/>
      <c r="I24" s="25"/>
      <c r="J24" s="25"/>
      <c r="K24" s="25"/>
      <c r="N24" s="343"/>
      <c r="O24" s="339"/>
    </row>
    <row r="25" spans="1:15" ht="15.75" customHeight="1" x14ac:dyDescent="0.25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69" t="s">
        <v>235</v>
      </c>
      <c r="M25" s="70">
        <f>M8-M23</f>
        <v>11092</v>
      </c>
      <c r="N25" s="25"/>
      <c r="O25" s="25"/>
    </row>
    <row r="73" spans="4:5" ht="15.75" customHeight="1" x14ac:dyDescent="0.25">
      <c r="D73" s="335"/>
      <c r="E73" s="337"/>
    </row>
    <row r="74" spans="4:5" ht="15.75" customHeight="1" x14ac:dyDescent="0.25">
      <c r="D74" s="335"/>
      <c r="E74" s="337"/>
    </row>
  </sheetData>
  <mergeCells count="3">
    <mergeCell ref="N24:O24"/>
    <mergeCell ref="D73:E73"/>
    <mergeCell ref="D74:E74"/>
  </mergeCell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L27"/>
  <sheetViews>
    <sheetView workbookViewId="0">
      <selection activeCell="C1" sqref="C1"/>
    </sheetView>
  </sheetViews>
  <sheetFormatPr defaultColWidth="14.42578125" defaultRowHeight="15" customHeight="1" x14ac:dyDescent="0.25"/>
  <cols>
    <col min="1" max="1" width="13.7109375" customWidth="1"/>
    <col min="2" max="2" width="21.28515625" customWidth="1"/>
    <col min="3" max="3" width="31.42578125" customWidth="1"/>
    <col min="4" max="4" width="12" customWidth="1"/>
    <col min="5" max="5" width="9" customWidth="1"/>
    <col min="6" max="6" width="19.28515625" customWidth="1"/>
    <col min="7" max="7" width="10.7109375" customWidth="1"/>
    <col min="8" max="8" width="14.28515625" customWidth="1"/>
    <col min="9" max="9" width="28.5703125" customWidth="1"/>
    <col min="10" max="10" width="9.85546875" customWidth="1"/>
    <col min="11" max="11" width="23.42578125" customWidth="1"/>
    <col min="12" max="12" width="7.85546875" customWidth="1"/>
  </cols>
  <sheetData>
    <row r="1" spans="1:12" ht="14.25" customHeight="1" x14ac:dyDescent="0.25">
      <c r="A1" s="49" t="s">
        <v>64</v>
      </c>
      <c r="B1" s="49" t="s">
        <v>80</v>
      </c>
      <c r="C1" s="49" t="s">
        <v>236</v>
      </c>
      <c r="D1" s="49" t="s">
        <v>66</v>
      </c>
      <c r="E1" s="71" t="s">
        <v>52</v>
      </c>
      <c r="F1" s="29" t="s">
        <v>81</v>
      </c>
      <c r="G1" s="21" t="s">
        <v>82</v>
      </c>
      <c r="H1" s="49" t="s">
        <v>128</v>
      </c>
    </row>
    <row r="2" spans="1:12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50" t="s">
        <v>131</v>
      </c>
      <c r="F2" s="29">
        <v>300</v>
      </c>
      <c r="G2" s="21">
        <f t="shared" ref="G2:G20" si="0">SUM(E2:F2)</f>
        <v>300</v>
      </c>
      <c r="H2" s="51">
        <v>300</v>
      </c>
    </row>
    <row r="3" spans="1:12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50" t="s">
        <v>131</v>
      </c>
      <c r="F3" s="29">
        <v>300</v>
      </c>
      <c r="G3" s="21">
        <f t="shared" si="0"/>
        <v>300</v>
      </c>
      <c r="H3" s="51">
        <v>300</v>
      </c>
    </row>
    <row r="4" spans="1:12" ht="14.25" customHeight="1" x14ac:dyDescent="0.25">
      <c r="A4" s="73" t="s">
        <v>68</v>
      </c>
      <c r="B4" s="30">
        <v>1.42</v>
      </c>
      <c r="C4" s="30">
        <v>1.48</v>
      </c>
      <c r="D4" s="29">
        <f t="shared" ref="D4:D19" si="1">(C4-B4)*1000</f>
        <v>60.000000000000057</v>
      </c>
      <c r="E4" s="50">
        <f>ROUND(D4*D22,0)</f>
        <v>4</v>
      </c>
      <c r="F4" s="29">
        <v>800</v>
      </c>
      <c r="G4" s="21">
        <f t="shared" si="0"/>
        <v>804</v>
      </c>
      <c r="H4" s="51">
        <v>804</v>
      </c>
    </row>
    <row r="5" spans="1:12" ht="14.25" customHeight="1" x14ac:dyDescent="0.25">
      <c r="A5" s="32" t="s">
        <v>70</v>
      </c>
      <c r="B5" s="29">
        <v>74.180000000000007</v>
      </c>
      <c r="C5" s="29">
        <v>79.7</v>
      </c>
      <c r="D5" s="29">
        <f t="shared" si="1"/>
        <v>5519.9999999999964</v>
      </c>
      <c r="E5" s="50">
        <f>ROUND(D5*D22,0)</f>
        <v>413</v>
      </c>
      <c r="F5" s="29">
        <v>1000</v>
      </c>
      <c r="G5" s="21">
        <f t="shared" si="0"/>
        <v>1413</v>
      </c>
      <c r="H5" s="51">
        <v>1413</v>
      </c>
    </row>
    <row r="6" spans="1:12" ht="14.25" customHeight="1" x14ac:dyDescent="0.25">
      <c r="A6" s="32" t="s">
        <v>16</v>
      </c>
      <c r="B6" s="29">
        <v>146.63</v>
      </c>
      <c r="C6" s="29">
        <v>153.88</v>
      </c>
      <c r="D6" s="29">
        <f t="shared" si="1"/>
        <v>7250</v>
      </c>
      <c r="E6" s="50">
        <f>ROUND(D6*D22,0)</f>
        <v>542</v>
      </c>
      <c r="F6" s="29">
        <v>1000</v>
      </c>
      <c r="G6" s="21">
        <f t="shared" si="0"/>
        <v>1542</v>
      </c>
      <c r="H6" s="51">
        <v>1542</v>
      </c>
    </row>
    <row r="7" spans="1:12" ht="14.25" customHeight="1" x14ac:dyDescent="0.25">
      <c r="A7" s="32" t="s">
        <v>13</v>
      </c>
      <c r="B7" s="29">
        <v>115.41</v>
      </c>
      <c r="C7" s="29">
        <v>122.05</v>
      </c>
      <c r="D7" s="29">
        <f t="shared" si="1"/>
        <v>6640.0000000000009</v>
      </c>
      <c r="E7" s="50">
        <f>ROUND(D7*D22,0)</f>
        <v>496</v>
      </c>
      <c r="F7" s="29">
        <v>1000</v>
      </c>
      <c r="G7" s="21">
        <f t="shared" si="0"/>
        <v>1496</v>
      </c>
      <c r="H7" s="51">
        <v>1496</v>
      </c>
      <c r="K7" s="63" t="s">
        <v>154</v>
      </c>
      <c r="L7" s="63" t="s">
        <v>134</v>
      </c>
    </row>
    <row r="8" spans="1:12" ht="14.25" customHeight="1" x14ac:dyDescent="0.25">
      <c r="A8" s="73">
        <v>101</v>
      </c>
      <c r="B8" s="29">
        <v>0.38</v>
      </c>
      <c r="C8" s="29">
        <v>0.38</v>
      </c>
      <c r="D8" s="29">
        <f t="shared" si="1"/>
        <v>0</v>
      </c>
      <c r="E8" s="50">
        <f>ROUND(D8*D22,0)</f>
        <v>0</v>
      </c>
      <c r="F8" s="29">
        <v>800</v>
      </c>
      <c r="G8" s="21">
        <f t="shared" si="0"/>
        <v>800</v>
      </c>
      <c r="H8" s="51"/>
      <c r="K8" s="47"/>
      <c r="L8" s="26"/>
    </row>
    <row r="9" spans="1:12" ht="14.25" customHeight="1" x14ac:dyDescent="0.25">
      <c r="A9" s="32">
        <v>102</v>
      </c>
      <c r="B9" s="29">
        <v>197.69</v>
      </c>
      <c r="C9" s="29">
        <v>212.34</v>
      </c>
      <c r="D9" s="29">
        <f t="shared" si="1"/>
        <v>14650.000000000005</v>
      </c>
      <c r="E9" s="50">
        <f>ROUND(D9*D22,0)</f>
        <v>1095</v>
      </c>
      <c r="F9" s="29">
        <v>1000</v>
      </c>
      <c r="G9" s="21">
        <f t="shared" si="0"/>
        <v>2095</v>
      </c>
      <c r="H9" s="51">
        <v>2095</v>
      </c>
      <c r="K9" s="26" t="s">
        <v>156</v>
      </c>
      <c r="L9" s="26">
        <f>SUM(H2:H19)</f>
        <v>20839</v>
      </c>
    </row>
    <row r="10" spans="1:12" ht="14.25" customHeight="1" x14ac:dyDescent="0.25">
      <c r="A10" s="75">
        <v>103</v>
      </c>
      <c r="B10" s="29">
        <v>0.83</v>
      </c>
      <c r="C10" s="29">
        <v>2.71</v>
      </c>
      <c r="D10" s="29">
        <f t="shared" si="1"/>
        <v>1880</v>
      </c>
      <c r="E10" s="50">
        <f>ROUND(D10*D22,0)</f>
        <v>141</v>
      </c>
      <c r="F10" s="29">
        <v>1000</v>
      </c>
      <c r="G10" s="21">
        <f t="shared" si="0"/>
        <v>1141</v>
      </c>
      <c r="H10" s="51">
        <v>1141</v>
      </c>
      <c r="K10" s="26"/>
      <c r="L10" s="26"/>
    </row>
    <row r="11" spans="1:12" ht="14.25" customHeight="1" x14ac:dyDescent="0.25">
      <c r="A11" s="32">
        <v>104</v>
      </c>
      <c r="B11" s="29">
        <v>112.33</v>
      </c>
      <c r="C11" s="29">
        <v>120.48</v>
      </c>
      <c r="D11" s="29">
        <f t="shared" si="1"/>
        <v>8150.0000000000055</v>
      </c>
      <c r="E11" s="50">
        <f>ROUND(D11*D22,0)</f>
        <v>609</v>
      </c>
      <c r="F11" s="29">
        <v>1000</v>
      </c>
      <c r="G11" s="21">
        <f t="shared" si="0"/>
        <v>1609</v>
      </c>
      <c r="H11" s="51">
        <v>1609</v>
      </c>
      <c r="K11" s="66" t="s">
        <v>158</v>
      </c>
      <c r="L11" s="66" t="s">
        <v>237</v>
      </c>
    </row>
    <row r="12" spans="1:12" ht="14.25" customHeight="1" x14ac:dyDescent="0.25">
      <c r="A12" s="78">
        <v>201</v>
      </c>
      <c r="B12" s="29">
        <v>1.59</v>
      </c>
      <c r="C12" s="29">
        <v>1.59</v>
      </c>
      <c r="D12" s="29">
        <f t="shared" si="1"/>
        <v>0</v>
      </c>
      <c r="E12" s="50">
        <f>ROUND(D12*D22,0)</f>
        <v>0</v>
      </c>
      <c r="F12" s="29">
        <v>800</v>
      </c>
      <c r="G12" s="21">
        <f t="shared" si="0"/>
        <v>800</v>
      </c>
      <c r="H12" s="51">
        <v>800</v>
      </c>
      <c r="K12" s="26" t="s">
        <v>238</v>
      </c>
      <c r="L12" s="70">
        <v>12937</v>
      </c>
    </row>
    <row r="13" spans="1:12" ht="14.25" customHeight="1" x14ac:dyDescent="0.25">
      <c r="A13" s="32">
        <v>202</v>
      </c>
      <c r="B13" s="29">
        <v>144.66</v>
      </c>
      <c r="C13" s="29">
        <v>150.12</v>
      </c>
      <c r="D13" s="29">
        <f t="shared" si="1"/>
        <v>5460.0000000000082</v>
      </c>
      <c r="E13" s="50">
        <f>ROUND(D13*D22,0)</f>
        <v>408</v>
      </c>
      <c r="F13" s="29">
        <v>1000</v>
      </c>
      <c r="G13" s="21">
        <f t="shared" si="0"/>
        <v>1408</v>
      </c>
      <c r="H13" s="51">
        <v>1408</v>
      </c>
      <c r="K13" s="55" t="s">
        <v>20</v>
      </c>
      <c r="L13" s="55">
        <f>SUM(L9:L12)</f>
        <v>33776</v>
      </c>
    </row>
    <row r="14" spans="1:12" ht="14.25" customHeight="1" x14ac:dyDescent="0.25">
      <c r="A14" s="32">
        <v>203</v>
      </c>
      <c r="B14" s="29">
        <v>106.39</v>
      </c>
      <c r="C14" s="29">
        <v>115.09</v>
      </c>
      <c r="D14" s="29">
        <f t="shared" si="1"/>
        <v>8700.0000000000036</v>
      </c>
      <c r="E14" s="50">
        <f>ROUND(D14*D22,0)</f>
        <v>650</v>
      </c>
      <c r="F14" s="29">
        <v>1000</v>
      </c>
      <c r="G14" s="21">
        <f t="shared" si="0"/>
        <v>1650</v>
      </c>
      <c r="H14" s="51">
        <v>1650</v>
      </c>
      <c r="K14" s="68" t="s">
        <v>239</v>
      </c>
      <c r="L14" s="26"/>
    </row>
    <row r="15" spans="1:12" ht="14.25" customHeight="1" x14ac:dyDescent="0.25">
      <c r="A15" s="32">
        <v>204</v>
      </c>
      <c r="B15" s="29">
        <v>77.319999999999993</v>
      </c>
      <c r="C15" s="29">
        <v>82.59</v>
      </c>
      <c r="D15" s="29">
        <f t="shared" si="1"/>
        <v>5270.00000000001</v>
      </c>
      <c r="E15" s="50">
        <f>ROUND(D15*D22,0)</f>
        <v>394</v>
      </c>
      <c r="F15" s="29">
        <v>1000</v>
      </c>
      <c r="G15" s="21">
        <f t="shared" si="0"/>
        <v>1394</v>
      </c>
      <c r="H15" s="51">
        <v>1394</v>
      </c>
      <c r="K15" s="26" t="s">
        <v>161</v>
      </c>
      <c r="L15" s="26">
        <v>6500</v>
      </c>
    </row>
    <row r="16" spans="1:12" ht="14.25" customHeight="1" x14ac:dyDescent="0.25">
      <c r="A16" s="73">
        <v>301</v>
      </c>
      <c r="B16" s="29">
        <v>0.38</v>
      </c>
      <c r="C16" s="29">
        <v>0.38</v>
      </c>
      <c r="D16" s="29">
        <f t="shared" si="1"/>
        <v>0</v>
      </c>
      <c r="E16" s="50">
        <f>ROUND(D16*D22,0)</f>
        <v>0</v>
      </c>
      <c r="F16" s="29">
        <v>800</v>
      </c>
      <c r="G16" s="21">
        <f t="shared" si="0"/>
        <v>800</v>
      </c>
      <c r="H16" s="51">
        <v>800</v>
      </c>
      <c r="K16" s="26" t="s">
        <v>208</v>
      </c>
      <c r="L16" s="26"/>
    </row>
    <row r="17" spans="1:12" ht="14.25" customHeight="1" x14ac:dyDescent="0.25">
      <c r="A17" s="73">
        <v>302</v>
      </c>
      <c r="B17" s="29">
        <v>0.39</v>
      </c>
      <c r="C17" s="29">
        <v>0.39</v>
      </c>
      <c r="D17" s="29">
        <f t="shared" si="1"/>
        <v>0</v>
      </c>
      <c r="E17" s="50">
        <f>ROUND(D17*D22,0)</f>
        <v>0</v>
      </c>
      <c r="F17" s="29">
        <v>800</v>
      </c>
      <c r="G17" s="21">
        <f t="shared" si="0"/>
        <v>800</v>
      </c>
      <c r="H17" s="51">
        <v>800</v>
      </c>
      <c r="K17" s="107" t="s">
        <v>217</v>
      </c>
      <c r="L17" s="26">
        <v>1564</v>
      </c>
    </row>
    <row r="18" spans="1:12" ht="14.25" customHeight="1" x14ac:dyDescent="0.25">
      <c r="A18" s="32">
        <v>303</v>
      </c>
      <c r="B18" s="29">
        <v>338.3</v>
      </c>
      <c r="C18" s="29">
        <v>354.34</v>
      </c>
      <c r="D18" s="29">
        <f t="shared" si="1"/>
        <v>16039.999999999964</v>
      </c>
      <c r="E18" s="50">
        <f>ROUND(D18*D22,0)</f>
        <v>1199</v>
      </c>
      <c r="F18" s="29">
        <v>1000</v>
      </c>
      <c r="G18" s="21">
        <f t="shared" si="0"/>
        <v>2199</v>
      </c>
      <c r="H18" s="51">
        <v>2199</v>
      </c>
      <c r="K18" s="26" t="s">
        <v>240</v>
      </c>
      <c r="L18" s="26">
        <v>5000</v>
      </c>
    </row>
    <row r="19" spans="1:12" ht="14.25" customHeight="1" x14ac:dyDescent="0.25">
      <c r="A19" s="32">
        <v>304</v>
      </c>
      <c r="B19" s="30">
        <v>2.04</v>
      </c>
      <c r="C19" s="30">
        <v>2.69</v>
      </c>
      <c r="D19" s="29">
        <f t="shared" si="1"/>
        <v>649.99999999999989</v>
      </c>
      <c r="E19" s="50">
        <f>ROUND(D19*D22,0)</f>
        <v>49</v>
      </c>
      <c r="F19" s="29">
        <v>1000</v>
      </c>
      <c r="G19" s="21">
        <f t="shared" si="0"/>
        <v>1049</v>
      </c>
      <c r="H19" s="51">
        <v>1088</v>
      </c>
      <c r="K19" s="26" t="s">
        <v>241</v>
      </c>
      <c r="L19" s="26">
        <v>3000</v>
      </c>
    </row>
    <row r="20" spans="1:12" ht="14.25" customHeight="1" x14ac:dyDescent="0.25">
      <c r="A20" s="29"/>
      <c r="B20" s="29"/>
      <c r="C20" s="29"/>
      <c r="D20" s="29"/>
      <c r="E20" s="80">
        <f>SUM(E4:E19)</f>
        <v>6000</v>
      </c>
      <c r="F20" s="49">
        <f>SUM(F2:F19)</f>
        <v>15600</v>
      </c>
      <c r="G20" s="29">
        <f t="shared" si="0"/>
        <v>21600</v>
      </c>
      <c r="H20" s="26">
        <f>SUM(H2:H19)</f>
        <v>20839</v>
      </c>
      <c r="K20" s="26" t="s">
        <v>242</v>
      </c>
      <c r="L20" s="26">
        <v>195</v>
      </c>
    </row>
    <row r="21" spans="1:12" ht="14.25" customHeight="1" x14ac:dyDescent="0.25">
      <c r="A21" s="29"/>
      <c r="B21" s="29" t="s">
        <v>75</v>
      </c>
      <c r="C21" s="29"/>
      <c r="D21" s="30">
        <f>SUM(D4:D20)</f>
        <v>80269.999999999985</v>
      </c>
      <c r="E21" s="21"/>
      <c r="F21" s="29"/>
      <c r="G21" s="29"/>
      <c r="H21" s="25"/>
      <c r="K21" s="26" t="s">
        <v>176</v>
      </c>
      <c r="L21" s="26">
        <v>100</v>
      </c>
    </row>
    <row r="22" spans="1:12" ht="14.25" customHeight="1" x14ac:dyDescent="0.25">
      <c r="A22" s="29"/>
      <c r="B22" s="29" t="s">
        <v>243</v>
      </c>
      <c r="C22" s="29" t="s">
        <v>244</v>
      </c>
      <c r="D22" s="29">
        <f>B23/D21</f>
        <v>7.4747726423321309E-2</v>
      </c>
      <c r="E22" s="21"/>
      <c r="F22" s="29"/>
      <c r="G22" s="29" t="s">
        <v>205</v>
      </c>
      <c r="H22" s="25">
        <f>G20-H20</f>
        <v>761</v>
      </c>
      <c r="K22" s="26"/>
      <c r="L22" s="26"/>
    </row>
    <row r="23" spans="1:12" ht="14.25" customHeight="1" x14ac:dyDescent="0.25">
      <c r="A23" s="29" t="s">
        <v>85</v>
      </c>
      <c r="B23" s="30">
        <v>6000</v>
      </c>
      <c r="C23" s="84" t="s">
        <v>147</v>
      </c>
      <c r="D23" s="25"/>
      <c r="E23" s="25">
        <v>6000</v>
      </c>
      <c r="F23" s="29"/>
      <c r="G23" s="29"/>
      <c r="H23" s="25"/>
      <c r="K23" s="26"/>
      <c r="L23" s="26"/>
    </row>
    <row r="24" spans="1:12" ht="14.25" customHeight="1" x14ac:dyDescent="0.25">
      <c r="K24" s="26"/>
      <c r="L24" s="26"/>
    </row>
    <row r="25" spans="1:12" ht="14.25" customHeight="1" x14ac:dyDescent="0.25">
      <c r="K25" s="26" t="s">
        <v>245</v>
      </c>
      <c r="L25" s="26">
        <f>SUM(L15:L22)</f>
        <v>16359</v>
      </c>
    </row>
    <row r="26" spans="1:12" ht="14.25" customHeight="1" x14ac:dyDescent="0.25">
      <c r="K26" s="26"/>
      <c r="L26" s="26"/>
    </row>
    <row r="27" spans="1:12" ht="14.25" customHeight="1" x14ac:dyDescent="0.25">
      <c r="K27" s="26" t="s">
        <v>246</v>
      </c>
      <c r="L27" s="26">
        <f>L13-L25</f>
        <v>17417</v>
      </c>
    </row>
  </sheetData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O32"/>
  <sheetViews>
    <sheetView workbookViewId="0"/>
  </sheetViews>
  <sheetFormatPr defaultColWidth="14.42578125" defaultRowHeight="15" customHeight="1" x14ac:dyDescent="0.25"/>
  <cols>
    <col min="1" max="1" width="13.7109375" customWidth="1"/>
    <col min="2" max="2" width="21.28515625" customWidth="1"/>
    <col min="3" max="3" width="31.42578125" customWidth="1"/>
    <col min="4" max="4" width="12" customWidth="1"/>
    <col min="5" max="5" width="9" customWidth="1"/>
    <col min="6" max="6" width="19.28515625" customWidth="1"/>
    <col min="7" max="7" width="10.7109375" customWidth="1"/>
    <col min="8" max="8" width="14.28515625" customWidth="1"/>
    <col min="9" max="10" width="9.85546875" customWidth="1"/>
    <col min="11" max="11" width="15.5703125" customWidth="1"/>
    <col min="12" max="15" width="9.85546875" customWidth="1"/>
  </cols>
  <sheetData>
    <row r="1" spans="1:15" ht="14.25" customHeight="1" x14ac:dyDescent="0.25">
      <c r="A1" s="49" t="s">
        <v>64</v>
      </c>
      <c r="B1" s="49" t="s">
        <v>80</v>
      </c>
      <c r="C1" s="49" t="s">
        <v>236</v>
      </c>
      <c r="D1" s="49" t="s">
        <v>66</v>
      </c>
      <c r="E1" s="71" t="s">
        <v>52</v>
      </c>
      <c r="F1" s="29" t="s">
        <v>81</v>
      </c>
      <c r="G1" s="21" t="s">
        <v>82</v>
      </c>
      <c r="H1" s="49" t="s">
        <v>128</v>
      </c>
    </row>
    <row r="2" spans="1:15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50" t="s">
        <v>131</v>
      </c>
      <c r="F2" s="29">
        <v>300</v>
      </c>
      <c r="G2" s="21">
        <f t="shared" ref="G2:G20" si="0">SUM(E2:F2)</f>
        <v>300</v>
      </c>
      <c r="H2" s="51">
        <v>300</v>
      </c>
    </row>
    <row r="3" spans="1:15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50" t="s">
        <v>131</v>
      </c>
      <c r="F3" s="29">
        <v>300</v>
      </c>
      <c r="G3" s="21">
        <f t="shared" si="0"/>
        <v>300</v>
      </c>
      <c r="H3" s="51">
        <v>300</v>
      </c>
      <c r="K3" s="338"/>
      <c r="L3" s="339"/>
    </row>
    <row r="4" spans="1:15" ht="14.25" customHeight="1" x14ac:dyDescent="0.25">
      <c r="A4" s="73" t="s">
        <v>68</v>
      </c>
      <c r="B4" s="30">
        <v>1.4</v>
      </c>
      <c r="C4" s="30">
        <v>1.42</v>
      </c>
      <c r="D4" s="29">
        <f t="shared" ref="D4:D19" si="1">(C4-B4)*1000</f>
        <v>20.000000000000018</v>
      </c>
      <c r="E4" s="50">
        <f>ROUND(D4*D22,0)</f>
        <v>1</v>
      </c>
      <c r="F4" s="29">
        <v>800</v>
      </c>
      <c r="G4" s="21">
        <f t="shared" si="0"/>
        <v>801</v>
      </c>
      <c r="H4" s="51">
        <v>800</v>
      </c>
      <c r="K4" s="63" t="s">
        <v>154</v>
      </c>
      <c r="L4" s="63" t="s">
        <v>134</v>
      </c>
    </row>
    <row r="5" spans="1:15" ht="14.25" customHeight="1" x14ac:dyDescent="0.25">
      <c r="A5" s="32" t="s">
        <v>70</v>
      </c>
      <c r="B5" s="29">
        <v>68.680000000000007</v>
      </c>
      <c r="C5" s="29">
        <v>74.180000000000007</v>
      </c>
      <c r="D5" s="29">
        <f t="shared" si="1"/>
        <v>5500</v>
      </c>
      <c r="E5" s="50">
        <f>ROUND(D5*D22,0)</f>
        <v>389</v>
      </c>
      <c r="F5" s="29">
        <v>1000</v>
      </c>
      <c r="G5" s="21">
        <f t="shared" si="0"/>
        <v>1389</v>
      </c>
      <c r="H5" s="51">
        <v>1389</v>
      </c>
      <c r="K5" s="47"/>
    </row>
    <row r="6" spans="1:15" ht="14.25" customHeight="1" x14ac:dyDescent="0.25">
      <c r="A6" s="32" t="s">
        <v>16</v>
      </c>
      <c r="B6" s="29">
        <v>139.63</v>
      </c>
      <c r="C6" s="29">
        <v>146.63</v>
      </c>
      <c r="D6" s="29">
        <f t="shared" si="1"/>
        <v>7000</v>
      </c>
      <c r="E6" s="50">
        <f>ROUND(D6*D22,0)</f>
        <v>496</v>
      </c>
      <c r="F6" s="29">
        <v>1000</v>
      </c>
      <c r="G6" s="21">
        <f t="shared" si="0"/>
        <v>1496</v>
      </c>
      <c r="H6" s="51">
        <v>1496</v>
      </c>
      <c r="K6" s="1" t="s">
        <v>156</v>
      </c>
      <c r="L6" s="1">
        <f>SUM(H2:H19)</f>
        <v>19360</v>
      </c>
    </row>
    <row r="7" spans="1:15" ht="14.25" customHeight="1" x14ac:dyDescent="0.25">
      <c r="A7" s="32" t="s">
        <v>13</v>
      </c>
      <c r="B7" s="29">
        <v>108.54</v>
      </c>
      <c r="C7" s="29">
        <v>115.41</v>
      </c>
      <c r="D7" s="29">
        <f t="shared" si="1"/>
        <v>6869.99999999999</v>
      </c>
      <c r="E7" s="50">
        <f>ROUND(D7*D22,0)</f>
        <v>486</v>
      </c>
      <c r="F7" s="29">
        <v>1000</v>
      </c>
      <c r="G7" s="21">
        <f t="shared" si="0"/>
        <v>1486</v>
      </c>
      <c r="H7" s="51">
        <v>1486</v>
      </c>
    </row>
    <row r="8" spans="1:15" ht="14.25" customHeight="1" x14ac:dyDescent="0.25">
      <c r="A8" s="73">
        <v>101</v>
      </c>
      <c r="B8" s="29">
        <v>0.38</v>
      </c>
      <c r="C8" s="29">
        <v>0.38</v>
      </c>
      <c r="D8" s="29">
        <f t="shared" si="1"/>
        <v>0</v>
      </c>
      <c r="E8" s="50">
        <f>ROUND(D8*D22,0)</f>
        <v>0</v>
      </c>
      <c r="F8" s="29">
        <v>800</v>
      </c>
      <c r="G8" s="21">
        <f t="shared" si="0"/>
        <v>800</v>
      </c>
      <c r="H8" s="51">
        <v>600</v>
      </c>
      <c r="K8" s="66" t="s">
        <v>158</v>
      </c>
      <c r="L8" s="66" t="s">
        <v>237</v>
      </c>
    </row>
    <row r="9" spans="1:15" ht="14.25" customHeight="1" x14ac:dyDescent="0.25">
      <c r="A9" s="32">
        <v>102</v>
      </c>
      <c r="B9" s="29">
        <v>182.22</v>
      </c>
      <c r="C9" s="29">
        <v>197.69</v>
      </c>
      <c r="D9" s="29">
        <f t="shared" si="1"/>
        <v>15469.999999999998</v>
      </c>
      <c r="E9" s="50">
        <f>ROUND(D9*D22,0)</f>
        <v>1095</v>
      </c>
      <c r="F9" s="29">
        <v>1000</v>
      </c>
      <c r="G9" s="21">
        <f t="shared" si="0"/>
        <v>2095</v>
      </c>
      <c r="H9" s="51">
        <v>2095</v>
      </c>
      <c r="K9" s="1" t="s">
        <v>235</v>
      </c>
      <c r="L9" s="70">
        <v>11092</v>
      </c>
    </row>
    <row r="10" spans="1:15" ht="14.25" customHeight="1" x14ac:dyDescent="0.25">
      <c r="A10" s="75">
        <v>103</v>
      </c>
      <c r="B10" s="29">
        <v>0.83</v>
      </c>
      <c r="C10" s="29">
        <v>0.83</v>
      </c>
      <c r="D10" s="29">
        <f t="shared" si="1"/>
        <v>0</v>
      </c>
      <c r="E10" s="50">
        <f>ROUND(D10*D22,0)</f>
        <v>0</v>
      </c>
      <c r="F10" s="29">
        <v>1000</v>
      </c>
      <c r="G10" s="21">
        <f t="shared" si="0"/>
        <v>1000</v>
      </c>
      <c r="H10" s="51">
        <v>1000</v>
      </c>
      <c r="K10" s="55" t="s">
        <v>20</v>
      </c>
      <c r="L10" s="55">
        <f>SUM(L6:L9)</f>
        <v>30452</v>
      </c>
    </row>
    <row r="11" spans="1:15" ht="14.25" customHeight="1" x14ac:dyDescent="0.25">
      <c r="A11" s="32">
        <v>104</v>
      </c>
      <c r="B11" s="29">
        <v>109.06</v>
      </c>
      <c r="C11" s="29">
        <v>112.33</v>
      </c>
      <c r="D11" s="29">
        <f t="shared" si="1"/>
        <v>3269.9999999999959</v>
      </c>
      <c r="E11" s="50">
        <f>ROUND(D11*D22,0)</f>
        <v>232</v>
      </c>
      <c r="F11" s="29">
        <v>1000</v>
      </c>
      <c r="G11" s="21">
        <f t="shared" si="0"/>
        <v>1232</v>
      </c>
      <c r="H11" s="51">
        <v>1232</v>
      </c>
      <c r="K11" s="68" t="s">
        <v>239</v>
      </c>
    </row>
    <row r="12" spans="1:15" ht="14.25" customHeight="1" x14ac:dyDescent="0.25">
      <c r="A12" s="78">
        <v>201</v>
      </c>
      <c r="B12" s="29">
        <v>1.59</v>
      </c>
      <c r="C12" s="29">
        <v>1.59</v>
      </c>
      <c r="D12" s="29">
        <f t="shared" si="1"/>
        <v>0</v>
      </c>
      <c r="E12" s="50">
        <f>ROUND(D12*D22,0)</f>
        <v>0</v>
      </c>
      <c r="F12" s="29">
        <v>800</v>
      </c>
      <c r="G12" s="21">
        <f t="shared" si="0"/>
        <v>800</v>
      </c>
      <c r="H12" s="51">
        <v>600</v>
      </c>
      <c r="K12" s="1" t="s">
        <v>161</v>
      </c>
      <c r="L12" s="1">
        <v>6500</v>
      </c>
    </row>
    <row r="13" spans="1:15" ht="14.25" customHeight="1" x14ac:dyDescent="0.25">
      <c r="A13" s="32">
        <v>202</v>
      </c>
      <c r="B13" s="29">
        <v>137.32</v>
      </c>
      <c r="C13" s="29">
        <v>144.66</v>
      </c>
      <c r="D13" s="29">
        <f t="shared" si="1"/>
        <v>7340.0000000000036</v>
      </c>
      <c r="E13" s="50">
        <f>ROUND(D13*D22,0)</f>
        <v>520</v>
      </c>
      <c r="F13" s="29">
        <v>1000</v>
      </c>
      <c r="G13" s="21">
        <f t="shared" si="0"/>
        <v>1520</v>
      </c>
      <c r="H13" s="51">
        <v>1520</v>
      </c>
      <c r="K13" s="1" t="s">
        <v>208</v>
      </c>
      <c r="L13" s="1">
        <v>2044</v>
      </c>
    </row>
    <row r="14" spans="1:15" ht="14.25" customHeight="1" x14ac:dyDescent="0.25">
      <c r="A14" s="32">
        <v>203</v>
      </c>
      <c r="B14" s="29">
        <v>101.51</v>
      </c>
      <c r="C14" s="29">
        <v>106.39</v>
      </c>
      <c r="D14" s="29">
        <f t="shared" si="1"/>
        <v>4879.9999999999955</v>
      </c>
      <c r="E14" s="50">
        <f>ROUND(D14*D22,0)</f>
        <v>346</v>
      </c>
      <c r="F14" s="29">
        <v>1000</v>
      </c>
      <c r="G14" s="21">
        <f t="shared" si="0"/>
        <v>1346</v>
      </c>
      <c r="H14" s="51">
        <v>1346</v>
      </c>
      <c r="K14" s="107" t="s">
        <v>217</v>
      </c>
      <c r="L14" s="1">
        <v>1567</v>
      </c>
    </row>
    <row r="15" spans="1:15" ht="14.25" customHeight="1" x14ac:dyDescent="0.25">
      <c r="A15" s="32">
        <v>204</v>
      </c>
      <c r="B15" s="29">
        <v>73.02</v>
      </c>
      <c r="C15" s="29">
        <v>77.319999999999993</v>
      </c>
      <c r="D15" s="29">
        <f t="shared" si="1"/>
        <v>4299.9999999999973</v>
      </c>
      <c r="E15" s="50">
        <f>ROUND(D15*D22,0)</f>
        <v>304</v>
      </c>
      <c r="F15" s="29">
        <v>1000</v>
      </c>
      <c r="G15" s="21">
        <f t="shared" si="0"/>
        <v>1304</v>
      </c>
      <c r="H15" s="51">
        <v>1304</v>
      </c>
      <c r="K15" s="1" t="s">
        <v>247</v>
      </c>
      <c r="L15" s="1">
        <v>3500</v>
      </c>
    </row>
    <row r="16" spans="1:15" ht="14.25" customHeight="1" x14ac:dyDescent="0.25">
      <c r="A16" s="73">
        <v>301</v>
      </c>
      <c r="B16" s="29">
        <v>0.38</v>
      </c>
      <c r="C16" s="29">
        <v>0.38</v>
      </c>
      <c r="D16" s="29">
        <f t="shared" si="1"/>
        <v>0</v>
      </c>
      <c r="E16" s="50">
        <f>ROUND(D16*D22,0)</f>
        <v>0</v>
      </c>
      <c r="F16" s="29">
        <v>800</v>
      </c>
      <c r="G16" s="21">
        <f t="shared" si="0"/>
        <v>800</v>
      </c>
      <c r="H16" s="51">
        <v>600</v>
      </c>
      <c r="K16" s="1" t="s">
        <v>240</v>
      </c>
      <c r="L16" s="1">
        <v>6000</v>
      </c>
      <c r="O16" s="1">
        <v>3592</v>
      </c>
    </row>
    <row r="17" spans="1:12" ht="14.25" customHeight="1" x14ac:dyDescent="0.25">
      <c r="A17" s="73">
        <v>302</v>
      </c>
      <c r="B17" s="29">
        <v>0.39</v>
      </c>
      <c r="C17" s="29">
        <v>0.39</v>
      </c>
      <c r="D17" s="29">
        <f t="shared" si="1"/>
        <v>0</v>
      </c>
      <c r="E17" s="50">
        <f>ROUND(D17*D22,0)</f>
        <v>0</v>
      </c>
      <c r="F17" s="29">
        <v>800</v>
      </c>
      <c r="G17" s="21">
        <f t="shared" si="0"/>
        <v>800</v>
      </c>
      <c r="H17" s="51">
        <v>600</v>
      </c>
      <c r="K17" s="1" t="s">
        <v>248</v>
      </c>
      <c r="L17" s="1">
        <v>80</v>
      </c>
    </row>
    <row r="18" spans="1:12" ht="14.25" customHeight="1" x14ac:dyDescent="0.25">
      <c r="A18" s="32">
        <v>303</v>
      </c>
      <c r="B18" s="29">
        <v>322.88</v>
      </c>
      <c r="C18" s="29">
        <v>338.3</v>
      </c>
      <c r="D18" s="29">
        <f t="shared" si="1"/>
        <v>15420.000000000016</v>
      </c>
      <c r="E18" s="50">
        <f>ROUND(D18*D22,0)</f>
        <v>1092</v>
      </c>
      <c r="F18" s="29">
        <v>1000</v>
      </c>
      <c r="G18" s="21">
        <f t="shared" si="0"/>
        <v>2092</v>
      </c>
      <c r="H18" s="51">
        <v>2092</v>
      </c>
      <c r="K18" s="1" t="s">
        <v>249</v>
      </c>
      <c r="L18" s="1">
        <v>424</v>
      </c>
    </row>
    <row r="19" spans="1:12" ht="14.25" customHeight="1" x14ac:dyDescent="0.25">
      <c r="A19" s="32">
        <v>304</v>
      </c>
      <c r="B19" s="30">
        <v>1.49</v>
      </c>
      <c r="C19" s="30">
        <v>2.04</v>
      </c>
      <c r="D19" s="29">
        <f t="shared" si="1"/>
        <v>550</v>
      </c>
      <c r="E19" s="50">
        <f>ROUND(D19*D22,0)</f>
        <v>39</v>
      </c>
      <c r="F19" s="29">
        <v>800</v>
      </c>
      <c r="G19" s="21">
        <f t="shared" si="0"/>
        <v>839</v>
      </c>
      <c r="H19" s="51">
        <v>600</v>
      </c>
      <c r="K19" s="1" t="s">
        <v>250</v>
      </c>
      <c r="L19" s="1">
        <v>1400</v>
      </c>
    </row>
    <row r="20" spans="1:12" ht="14.25" customHeight="1" x14ac:dyDescent="0.25">
      <c r="A20" s="29"/>
      <c r="B20" s="29"/>
      <c r="C20" s="29"/>
      <c r="D20" s="29"/>
      <c r="E20" s="80">
        <f>SUM(E4:E19)</f>
        <v>5000</v>
      </c>
      <c r="F20" s="49">
        <f>SUM(F2:F19)</f>
        <v>15400</v>
      </c>
      <c r="G20" s="29">
        <f t="shared" si="0"/>
        <v>20400</v>
      </c>
      <c r="H20" s="1">
        <f>SUM(H2:H19)</f>
        <v>19360</v>
      </c>
    </row>
    <row r="21" spans="1:12" ht="14.25" customHeight="1" x14ac:dyDescent="0.25">
      <c r="A21" s="29"/>
      <c r="B21" s="29" t="s">
        <v>75</v>
      </c>
      <c r="C21" s="29"/>
      <c r="D21" s="30">
        <f>SUM(D4:D20)</f>
        <v>70620</v>
      </c>
      <c r="E21" s="21"/>
      <c r="F21" s="29"/>
      <c r="G21" s="29"/>
      <c r="H21" s="25"/>
    </row>
    <row r="22" spans="1:12" ht="14.25" customHeight="1" x14ac:dyDescent="0.25">
      <c r="A22" s="29"/>
      <c r="B22" s="29" t="s">
        <v>243</v>
      </c>
      <c r="C22" s="29" t="s">
        <v>244</v>
      </c>
      <c r="D22" s="29">
        <f>B23/D21</f>
        <v>7.0801472670631554E-2</v>
      </c>
      <c r="E22" s="21"/>
      <c r="F22" s="29"/>
      <c r="G22" s="29" t="s">
        <v>205</v>
      </c>
      <c r="H22" s="25">
        <f>G20-H20</f>
        <v>1040</v>
      </c>
      <c r="I22" s="25"/>
      <c r="K22" s="1" t="s">
        <v>245</v>
      </c>
      <c r="L22" s="1">
        <f>SUM(L12:L19)</f>
        <v>21515</v>
      </c>
    </row>
    <row r="23" spans="1:12" ht="14.25" customHeight="1" x14ac:dyDescent="0.25">
      <c r="A23" s="29" t="s">
        <v>85</v>
      </c>
      <c r="B23" s="30">
        <v>5000</v>
      </c>
      <c r="C23" s="84" t="s">
        <v>181</v>
      </c>
      <c r="D23" s="25"/>
      <c r="E23" s="25">
        <v>5000</v>
      </c>
      <c r="F23" s="29"/>
      <c r="G23" s="29"/>
      <c r="H23" s="25"/>
    </row>
    <row r="24" spans="1:12" ht="14.25" customHeight="1" x14ac:dyDescent="0.25">
      <c r="K24" s="1" t="s">
        <v>251</v>
      </c>
      <c r="L24" s="1">
        <f>L10-L22</f>
        <v>8937</v>
      </c>
    </row>
    <row r="25" spans="1:12" ht="14.25" customHeight="1" x14ac:dyDescent="0.25"/>
    <row r="26" spans="1:12" ht="14.25" customHeight="1" x14ac:dyDescent="0.25">
      <c r="E26" s="1">
        <f>5000/50000</f>
        <v>0.1</v>
      </c>
      <c r="K26" s="1" t="s">
        <v>252</v>
      </c>
      <c r="L26" s="1">
        <v>3000</v>
      </c>
    </row>
    <row r="27" spans="1:12" ht="14.25" customHeight="1" x14ac:dyDescent="0.25"/>
    <row r="28" spans="1:12" ht="14.25" customHeight="1" x14ac:dyDescent="0.25"/>
    <row r="29" spans="1:12" ht="14.25" customHeight="1" x14ac:dyDescent="0.25">
      <c r="K29" s="1" t="s">
        <v>253</v>
      </c>
    </row>
    <row r="30" spans="1:12" ht="14.25" customHeight="1" x14ac:dyDescent="0.25"/>
    <row r="31" spans="1:12" ht="14.25" customHeight="1" x14ac:dyDescent="0.25">
      <c r="K31" s="1" t="s">
        <v>57</v>
      </c>
      <c r="L31" s="1" t="s">
        <v>254</v>
      </c>
    </row>
    <row r="32" spans="1:12" ht="14.25" customHeight="1" x14ac:dyDescent="0.25">
      <c r="K32" s="109">
        <v>44596</v>
      </c>
      <c r="L32" s="1">
        <v>1000</v>
      </c>
    </row>
  </sheetData>
  <mergeCells count="1">
    <mergeCell ref="K3:L3"/>
  </mergeCell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27"/>
  <sheetViews>
    <sheetView workbookViewId="0"/>
  </sheetViews>
  <sheetFormatPr defaultColWidth="14.42578125" defaultRowHeight="15" customHeight="1" x14ac:dyDescent="0.25"/>
  <cols>
    <col min="1" max="1" width="18" customWidth="1"/>
    <col min="2" max="2" width="29.5703125" customWidth="1"/>
    <col min="3" max="3" width="22.85546875" customWidth="1"/>
    <col min="4" max="4" width="12" customWidth="1"/>
    <col min="5" max="5" width="9" customWidth="1"/>
    <col min="6" max="6" width="19.28515625" customWidth="1"/>
    <col min="7" max="7" width="10.7109375" customWidth="1"/>
    <col min="8" max="8" width="14.28515625" customWidth="1"/>
    <col min="9" max="9" width="25.7109375" customWidth="1"/>
    <col min="10" max="10" width="13" customWidth="1"/>
    <col min="11" max="11" width="17.85546875" customWidth="1"/>
    <col min="12" max="12" width="7.85546875" customWidth="1"/>
  </cols>
  <sheetData>
    <row r="1" spans="1:12" ht="14.25" customHeight="1" x14ac:dyDescent="0.25">
      <c r="A1" s="49" t="s">
        <v>64</v>
      </c>
      <c r="B1" s="49" t="s">
        <v>80</v>
      </c>
      <c r="C1" s="49" t="s">
        <v>236</v>
      </c>
      <c r="D1" s="49" t="s">
        <v>66</v>
      </c>
      <c r="E1" s="71" t="s">
        <v>52</v>
      </c>
      <c r="F1" s="29" t="s">
        <v>81</v>
      </c>
      <c r="G1" s="21" t="s">
        <v>82</v>
      </c>
      <c r="H1" s="49" t="s">
        <v>128</v>
      </c>
      <c r="I1" s="26"/>
      <c r="J1" s="26"/>
      <c r="K1" s="26"/>
      <c r="L1" s="26"/>
    </row>
    <row r="2" spans="1:12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50" t="s">
        <v>131</v>
      </c>
      <c r="F2" s="29">
        <v>300</v>
      </c>
      <c r="G2" s="21">
        <f t="shared" ref="G2:G20" si="0">SUM(E2:F2)</f>
        <v>300</v>
      </c>
      <c r="H2" s="51">
        <v>300</v>
      </c>
      <c r="I2" s="26"/>
      <c r="J2" s="26"/>
      <c r="K2" s="26"/>
      <c r="L2" s="26"/>
    </row>
    <row r="3" spans="1:12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50" t="s">
        <v>131</v>
      </c>
      <c r="F3" s="29">
        <v>300</v>
      </c>
      <c r="G3" s="21">
        <f t="shared" si="0"/>
        <v>300</v>
      </c>
      <c r="H3" s="51">
        <v>300</v>
      </c>
      <c r="I3" s="26"/>
      <c r="J3" s="26"/>
      <c r="K3" s="26"/>
      <c r="L3" s="26"/>
    </row>
    <row r="4" spans="1:12" ht="14.25" customHeight="1" x14ac:dyDescent="0.25">
      <c r="A4" s="73" t="s">
        <v>68</v>
      </c>
      <c r="B4" s="30">
        <v>1.48</v>
      </c>
      <c r="C4" s="30">
        <v>1.48</v>
      </c>
      <c r="D4" s="29">
        <f t="shared" ref="D4:D19" si="1">(C4-B4)*1000</f>
        <v>0</v>
      </c>
      <c r="E4" s="50">
        <f>ROUND(D4*D22,0)</f>
        <v>0</v>
      </c>
      <c r="F4" s="29">
        <v>800</v>
      </c>
      <c r="G4" s="21">
        <f t="shared" si="0"/>
        <v>800</v>
      </c>
      <c r="H4" s="51">
        <v>800</v>
      </c>
      <c r="I4" s="26"/>
      <c r="J4" s="26"/>
      <c r="K4" s="26"/>
      <c r="L4" s="26"/>
    </row>
    <row r="5" spans="1:12" ht="14.25" customHeight="1" x14ac:dyDescent="0.25">
      <c r="A5" s="32" t="s">
        <v>70</v>
      </c>
      <c r="B5" s="29">
        <v>79.7</v>
      </c>
      <c r="C5" s="29">
        <v>83.41</v>
      </c>
      <c r="D5" s="29">
        <f t="shared" si="1"/>
        <v>3709.9999999999936</v>
      </c>
      <c r="E5" s="50">
        <f>ROUND(D5*D22,0)</f>
        <v>211</v>
      </c>
      <c r="F5" s="29">
        <v>1000</v>
      </c>
      <c r="G5" s="21">
        <f t="shared" si="0"/>
        <v>1211</v>
      </c>
      <c r="H5" s="51">
        <v>1211</v>
      </c>
      <c r="I5" s="26"/>
      <c r="J5" s="26"/>
      <c r="K5" s="26"/>
      <c r="L5" s="26"/>
    </row>
    <row r="6" spans="1:12" ht="14.25" customHeight="1" x14ac:dyDescent="0.25">
      <c r="A6" s="32" t="s">
        <v>16</v>
      </c>
      <c r="B6" s="29">
        <v>153.88</v>
      </c>
      <c r="C6" s="29">
        <v>160.72</v>
      </c>
      <c r="D6" s="29">
        <f t="shared" si="1"/>
        <v>6840.0000000000036</v>
      </c>
      <c r="E6" s="50">
        <f>ROUND(D6*D22,0)</f>
        <v>390</v>
      </c>
      <c r="F6" s="29">
        <v>1000</v>
      </c>
      <c r="G6" s="21">
        <f t="shared" si="0"/>
        <v>1390</v>
      </c>
      <c r="H6" s="51">
        <v>1390</v>
      </c>
      <c r="I6" s="26"/>
      <c r="J6" s="26"/>
      <c r="K6" s="26"/>
      <c r="L6" s="26"/>
    </row>
    <row r="7" spans="1:12" ht="14.25" customHeight="1" x14ac:dyDescent="0.25">
      <c r="A7" s="32" t="s">
        <v>13</v>
      </c>
      <c r="B7" s="29">
        <v>122.05</v>
      </c>
      <c r="C7" s="29">
        <v>127.98</v>
      </c>
      <c r="D7" s="29">
        <f t="shared" si="1"/>
        <v>5930.0000000000073</v>
      </c>
      <c r="E7" s="50">
        <f>ROUND(D7*D22,0)</f>
        <v>338</v>
      </c>
      <c r="F7" s="29">
        <v>1000</v>
      </c>
      <c r="G7" s="21">
        <f t="shared" si="0"/>
        <v>1338</v>
      </c>
      <c r="H7" s="51">
        <v>1338</v>
      </c>
      <c r="I7" s="26"/>
      <c r="J7" s="26"/>
      <c r="K7" s="63" t="s">
        <v>154</v>
      </c>
      <c r="L7" s="63" t="s">
        <v>134</v>
      </c>
    </row>
    <row r="8" spans="1:12" ht="14.25" customHeight="1" x14ac:dyDescent="0.25">
      <c r="A8" s="73">
        <v>101</v>
      </c>
      <c r="B8" s="29">
        <v>0.38</v>
      </c>
      <c r="C8" s="29">
        <v>0.38</v>
      </c>
      <c r="D8" s="29">
        <f t="shared" si="1"/>
        <v>0</v>
      </c>
      <c r="E8" s="50">
        <f>ROUND(D8*D22,0)</f>
        <v>0</v>
      </c>
      <c r="F8" s="29">
        <v>800</v>
      </c>
      <c r="G8" s="21">
        <f t="shared" si="0"/>
        <v>800</v>
      </c>
      <c r="H8" s="51">
        <v>1600</v>
      </c>
      <c r="I8" s="26" t="s">
        <v>255</v>
      </c>
      <c r="J8" s="26">
        <v>800</v>
      </c>
      <c r="K8" s="47"/>
      <c r="L8" s="26"/>
    </row>
    <row r="9" spans="1:12" ht="14.25" customHeight="1" x14ac:dyDescent="0.25">
      <c r="A9" s="32">
        <v>102</v>
      </c>
      <c r="B9" s="29">
        <v>212.34</v>
      </c>
      <c r="C9" s="29">
        <v>226.22</v>
      </c>
      <c r="D9" s="29">
        <f t="shared" si="1"/>
        <v>13879.999999999996</v>
      </c>
      <c r="E9" s="50">
        <f>ROUND(D9*D22,0)</f>
        <v>791</v>
      </c>
      <c r="F9" s="29">
        <v>1000</v>
      </c>
      <c r="G9" s="21">
        <f t="shared" si="0"/>
        <v>1791</v>
      </c>
      <c r="H9" s="51">
        <v>1791</v>
      </c>
      <c r="I9" s="26"/>
      <c r="J9" s="26"/>
      <c r="K9" s="26" t="s">
        <v>156</v>
      </c>
      <c r="L9" s="26">
        <f>SUM(H2:H19)</f>
        <v>21400</v>
      </c>
    </row>
    <row r="10" spans="1:12" ht="14.25" customHeight="1" x14ac:dyDescent="0.25">
      <c r="A10" s="75">
        <v>103</v>
      </c>
      <c r="B10" s="29">
        <v>2.71</v>
      </c>
      <c r="C10" s="29">
        <v>5.74</v>
      </c>
      <c r="D10" s="29">
        <f t="shared" si="1"/>
        <v>3030.0000000000005</v>
      </c>
      <c r="E10" s="50">
        <f>ROUND(D10*D22,0)</f>
        <v>173</v>
      </c>
      <c r="F10" s="29">
        <v>1000</v>
      </c>
      <c r="G10" s="21">
        <f t="shared" si="0"/>
        <v>1173</v>
      </c>
      <c r="H10" s="51">
        <v>1173</v>
      </c>
      <c r="I10" s="26"/>
      <c r="J10" s="26"/>
      <c r="K10" s="26"/>
      <c r="L10" s="26"/>
    </row>
    <row r="11" spans="1:12" ht="14.25" customHeight="1" x14ac:dyDescent="0.25">
      <c r="A11" s="32">
        <v>104</v>
      </c>
      <c r="B11" s="29">
        <v>120.48</v>
      </c>
      <c r="C11" s="29">
        <v>135.22</v>
      </c>
      <c r="D11" s="29">
        <f t="shared" si="1"/>
        <v>14739.999999999995</v>
      </c>
      <c r="E11" s="50">
        <f>ROUND(D11*D22,0)</f>
        <v>840</v>
      </c>
      <c r="F11" s="29">
        <v>1000</v>
      </c>
      <c r="G11" s="21">
        <f t="shared" si="0"/>
        <v>1840</v>
      </c>
      <c r="H11" s="51">
        <v>1840</v>
      </c>
      <c r="I11" s="26"/>
      <c r="J11" s="26"/>
      <c r="K11" s="66" t="s">
        <v>158</v>
      </c>
      <c r="L11" s="66" t="s">
        <v>237</v>
      </c>
    </row>
    <row r="12" spans="1:12" ht="14.25" customHeight="1" x14ac:dyDescent="0.25">
      <c r="A12" s="78">
        <v>201</v>
      </c>
      <c r="B12" s="29">
        <v>1.59</v>
      </c>
      <c r="C12" s="29">
        <v>1.59</v>
      </c>
      <c r="D12" s="29">
        <f t="shared" si="1"/>
        <v>0</v>
      </c>
      <c r="E12" s="50">
        <f>ROUND(D12*D22,0)</f>
        <v>0</v>
      </c>
      <c r="F12" s="29">
        <v>800</v>
      </c>
      <c r="G12" s="21">
        <f t="shared" si="0"/>
        <v>800</v>
      </c>
      <c r="H12" s="51">
        <v>800</v>
      </c>
      <c r="I12" s="26"/>
      <c r="J12" s="26"/>
      <c r="K12" s="26" t="s">
        <v>256</v>
      </c>
      <c r="L12" s="70">
        <v>17417</v>
      </c>
    </row>
    <row r="13" spans="1:12" ht="14.25" customHeight="1" x14ac:dyDescent="0.25">
      <c r="A13" s="32">
        <v>202</v>
      </c>
      <c r="B13" s="29">
        <v>150.12</v>
      </c>
      <c r="C13" s="29">
        <v>155.29</v>
      </c>
      <c r="D13" s="29">
        <f t="shared" si="1"/>
        <v>5169.9999999999873</v>
      </c>
      <c r="E13" s="50">
        <f>ROUND(D13*D22,0)</f>
        <v>295</v>
      </c>
      <c r="F13" s="29">
        <v>1000</v>
      </c>
      <c r="G13" s="21">
        <f t="shared" si="0"/>
        <v>1295</v>
      </c>
      <c r="H13" s="51">
        <v>1295</v>
      </c>
      <c r="I13" s="26"/>
      <c r="J13" s="26"/>
      <c r="K13" s="55" t="s">
        <v>20</v>
      </c>
      <c r="L13" s="55">
        <f>SUM(L9:L12)</f>
        <v>38817</v>
      </c>
    </row>
    <row r="14" spans="1:12" ht="14.25" customHeight="1" x14ac:dyDescent="0.25">
      <c r="A14" s="32">
        <v>203</v>
      </c>
      <c r="B14" s="29">
        <v>115.09</v>
      </c>
      <c r="C14" s="29">
        <v>127.32</v>
      </c>
      <c r="D14" s="29">
        <f t="shared" si="1"/>
        <v>12229.999999999989</v>
      </c>
      <c r="E14" s="50">
        <f>ROUND(D14*D22,0)</f>
        <v>697</v>
      </c>
      <c r="F14" s="29">
        <v>1000</v>
      </c>
      <c r="G14" s="21">
        <f t="shared" si="0"/>
        <v>1697</v>
      </c>
      <c r="H14" s="51">
        <v>1697</v>
      </c>
      <c r="I14" s="26"/>
      <c r="J14" s="26"/>
      <c r="K14" s="68" t="s">
        <v>239</v>
      </c>
      <c r="L14" s="26"/>
    </row>
    <row r="15" spans="1:12" ht="14.25" customHeight="1" x14ac:dyDescent="0.25">
      <c r="A15" s="32">
        <v>204</v>
      </c>
      <c r="B15" s="29">
        <v>82.59</v>
      </c>
      <c r="C15" s="29">
        <v>88.68</v>
      </c>
      <c r="D15" s="29">
        <f t="shared" si="1"/>
        <v>6090.0000000000036</v>
      </c>
      <c r="E15" s="50">
        <f>ROUND(D15*D22,0)</f>
        <v>347</v>
      </c>
      <c r="F15" s="29">
        <v>1000</v>
      </c>
      <c r="G15" s="21">
        <f t="shared" si="0"/>
        <v>1347</v>
      </c>
      <c r="H15" s="51">
        <v>1347</v>
      </c>
      <c r="I15" s="26"/>
      <c r="J15" s="26"/>
      <c r="K15" s="26" t="s">
        <v>161</v>
      </c>
      <c r="L15" s="26">
        <v>6500</v>
      </c>
    </row>
    <row r="16" spans="1:12" ht="14.25" customHeight="1" x14ac:dyDescent="0.25">
      <c r="A16" s="73">
        <v>301</v>
      </c>
      <c r="B16" s="29">
        <v>0.38</v>
      </c>
      <c r="C16" s="29">
        <v>0.38</v>
      </c>
      <c r="D16" s="29">
        <f t="shared" si="1"/>
        <v>0</v>
      </c>
      <c r="E16" s="50">
        <f>ROUND(D16*D22,0)</f>
        <v>0</v>
      </c>
      <c r="F16" s="29">
        <v>800</v>
      </c>
      <c r="G16" s="21">
        <f t="shared" si="0"/>
        <v>800</v>
      </c>
      <c r="H16" s="51">
        <v>800</v>
      </c>
      <c r="I16" s="26"/>
      <c r="J16" s="26"/>
      <c r="K16" s="26" t="s">
        <v>208</v>
      </c>
      <c r="L16" s="26">
        <v>4088</v>
      </c>
    </row>
    <row r="17" spans="1:12" ht="14.25" customHeight="1" x14ac:dyDescent="0.25">
      <c r="A17" s="73">
        <v>302</v>
      </c>
      <c r="B17" s="29">
        <v>0.39</v>
      </c>
      <c r="C17" s="29">
        <v>0.39</v>
      </c>
      <c r="D17" s="29">
        <f t="shared" si="1"/>
        <v>0</v>
      </c>
      <c r="E17" s="50">
        <f>ROUND(D17*D22,0)</f>
        <v>0</v>
      </c>
      <c r="F17" s="29">
        <v>800</v>
      </c>
      <c r="G17" s="21">
        <f t="shared" si="0"/>
        <v>800</v>
      </c>
      <c r="H17" s="51">
        <v>800</v>
      </c>
      <c r="I17" s="26"/>
      <c r="J17" s="26"/>
      <c r="K17" s="107" t="s">
        <v>217</v>
      </c>
      <c r="L17" s="26">
        <v>1726</v>
      </c>
    </row>
    <row r="18" spans="1:12" ht="14.25" customHeight="1" x14ac:dyDescent="0.25">
      <c r="A18" s="32">
        <v>303</v>
      </c>
      <c r="B18" s="29">
        <v>354.34</v>
      </c>
      <c r="C18" s="29">
        <v>369.47</v>
      </c>
      <c r="D18" s="29">
        <f t="shared" si="1"/>
        <v>15130.000000000053</v>
      </c>
      <c r="E18" s="50">
        <f>ROUND(D18*D22,0)</f>
        <v>862</v>
      </c>
      <c r="F18" s="29">
        <v>1000</v>
      </c>
      <c r="G18" s="21">
        <f t="shared" si="0"/>
        <v>1862</v>
      </c>
      <c r="H18" s="51">
        <v>1862</v>
      </c>
      <c r="I18" s="26"/>
      <c r="J18" s="26"/>
      <c r="K18" s="26" t="s">
        <v>240</v>
      </c>
      <c r="L18" s="26">
        <v>7300</v>
      </c>
    </row>
    <row r="19" spans="1:12" ht="14.25" customHeight="1" x14ac:dyDescent="0.25">
      <c r="A19" s="32">
        <v>304</v>
      </c>
      <c r="B19" s="30">
        <v>2.69</v>
      </c>
      <c r="C19" s="30">
        <v>3.67</v>
      </c>
      <c r="D19" s="29">
        <f t="shared" si="1"/>
        <v>980</v>
      </c>
      <c r="E19" s="50">
        <f>ROUND(D19*D22,0)</f>
        <v>56</v>
      </c>
      <c r="F19" s="29">
        <v>1000</v>
      </c>
      <c r="G19" s="21">
        <f t="shared" si="0"/>
        <v>1056</v>
      </c>
      <c r="H19" s="51">
        <v>1056</v>
      </c>
      <c r="K19" s="26" t="s">
        <v>257</v>
      </c>
      <c r="L19" s="26">
        <v>350</v>
      </c>
    </row>
    <row r="20" spans="1:12" ht="14.25" customHeight="1" x14ac:dyDescent="0.25">
      <c r="A20" s="29"/>
      <c r="B20" s="29"/>
      <c r="C20" s="29"/>
      <c r="D20" s="29"/>
      <c r="E20" s="80">
        <f>SUM(E4:E19)</f>
        <v>5000</v>
      </c>
      <c r="F20" s="49">
        <f>SUM(F2:F19)</f>
        <v>15600</v>
      </c>
      <c r="G20" s="29">
        <f t="shared" si="0"/>
        <v>20600</v>
      </c>
      <c r="H20" s="26">
        <f>SUM(H2:H19)</f>
        <v>21400</v>
      </c>
      <c r="I20" s="26"/>
      <c r="J20" s="26"/>
      <c r="K20" s="26" t="s">
        <v>258</v>
      </c>
      <c r="L20" s="26">
        <v>495</v>
      </c>
    </row>
    <row r="21" spans="1:12" ht="14.25" customHeight="1" x14ac:dyDescent="0.25">
      <c r="A21" s="29"/>
      <c r="B21" s="29" t="s">
        <v>75</v>
      </c>
      <c r="C21" s="29"/>
      <c r="D21" s="30">
        <f>SUM(D4:D20)</f>
        <v>87730.000000000029</v>
      </c>
      <c r="E21" s="21"/>
      <c r="F21" s="29"/>
      <c r="G21" s="29"/>
      <c r="H21" s="25"/>
      <c r="I21" s="26"/>
      <c r="J21" s="26"/>
      <c r="K21" s="26"/>
      <c r="L21" s="26"/>
    </row>
    <row r="22" spans="1:12" ht="14.25" customHeight="1" x14ac:dyDescent="0.25">
      <c r="A22" s="29"/>
      <c r="B22" s="29" t="s">
        <v>243</v>
      </c>
      <c r="C22" s="29" t="s">
        <v>244</v>
      </c>
      <c r="D22" s="29">
        <f>B23/D21</f>
        <v>5.699304684828449E-2</v>
      </c>
      <c r="E22" s="21"/>
      <c r="F22" s="29"/>
      <c r="G22" s="29" t="s">
        <v>205</v>
      </c>
      <c r="H22" s="25"/>
      <c r="I22" s="26"/>
      <c r="J22" s="26"/>
      <c r="K22" s="26"/>
      <c r="L22" s="26"/>
    </row>
    <row r="23" spans="1:12" ht="14.25" customHeight="1" x14ac:dyDescent="0.25">
      <c r="A23" s="29" t="s">
        <v>85</v>
      </c>
      <c r="B23" s="30">
        <v>5000</v>
      </c>
      <c r="C23" s="84" t="s">
        <v>181</v>
      </c>
      <c r="D23" s="25"/>
      <c r="E23" s="25">
        <v>5000</v>
      </c>
      <c r="F23" s="29"/>
      <c r="G23" s="29"/>
      <c r="H23" s="25"/>
      <c r="I23" s="26"/>
      <c r="J23" s="26"/>
      <c r="K23" s="26"/>
      <c r="L23" s="26"/>
    </row>
    <row r="24" spans="1:12" ht="14.25" customHeight="1" x14ac:dyDescent="0.25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1:12" ht="14.25" customHeight="1" x14ac:dyDescent="0.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 t="s">
        <v>245</v>
      </c>
      <c r="L25" s="26">
        <f>SUM(L15:L22)</f>
        <v>20459</v>
      </c>
    </row>
    <row r="26" spans="1:12" ht="14.25" customHeight="1" x14ac:dyDescent="0.2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</row>
    <row r="27" spans="1:12" ht="14.25" customHeight="1" x14ac:dyDescent="0.2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 t="s">
        <v>259</v>
      </c>
      <c r="L27" s="26">
        <f>L13-L25</f>
        <v>18358</v>
      </c>
    </row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27"/>
  <sheetViews>
    <sheetView workbookViewId="0"/>
  </sheetViews>
  <sheetFormatPr defaultColWidth="14.42578125" defaultRowHeight="15" customHeight="1" x14ac:dyDescent="0.25"/>
  <cols>
    <col min="1" max="1" width="19.140625" customWidth="1"/>
    <col min="2" max="2" width="22.42578125" customWidth="1"/>
    <col min="3" max="3" width="31.42578125" customWidth="1"/>
    <col min="4" max="4" width="12" customWidth="1"/>
    <col min="5" max="5" width="9.28515625" customWidth="1"/>
    <col min="6" max="6" width="19.28515625" customWidth="1"/>
    <col min="7" max="7" width="10.7109375" customWidth="1"/>
    <col min="8" max="8" width="14.28515625" customWidth="1"/>
    <col min="9" max="10" width="9.85546875" customWidth="1"/>
    <col min="11" max="11" width="19.7109375" customWidth="1"/>
    <col min="12" max="12" width="9.85546875" customWidth="1"/>
  </cols>
  <sheetData>
    <row r="1" spans="1:12" ht="14.25" customHeight="1" x14ac:dyDescent="0.25">
      <c r="A1" s="49" t="s">
        <v>64</v>
      </c>
      <c r="B1" s="49" t="s">
        <v>80</v>
      </c>
      <c r="C1" s="49" t="s">
        <v>236</v>
      </c>
      <c r="D1" s="49" t="s">
        <v>66</v>
      </c>
      <c r="E1" s="71" t="s">
        <v>52</v>
      </c>
      <c r="F1" s="29" t="s">
        <v>81</v>
      </c>
      <c r="G1" s="21" t="s">
        <v>82</v>
      </c>
      <c r="H1" s="49" t="s">
        <v>128</v>
      </c>
      <c r="I1" s="26"/>
      <c r="J1" s="26"/>
      <c r="K1" s="26"/>
      <c r="L1" s="26"/>
    </row>
    <row r="2" spans="1:12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50" t="s">
        <v>131</v>
      </c>
      <c r="F2" s="29">
        <v>300</v>
      </c>
      <c r="G2" s="21">
        <f t="shared" ref="G2:G20" si="0">SUM(E2:F2)</f>
        <v>300</v>
      </c>
      <c r="H2" s="51">
        <v>300</v>
      </c>
      <c r="I2" s="26"/>
      <c r="J2" s="26"/>
      <c r="K2" s="26"/>
      <c r="L2" s="26"/>
    </row>
    <row r="3" spans="1:12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50" t="s">
        <v>131</v>
      </c>
      <c r="F3" s="29">
        <v>300</v>
      </c>
      <c r="G3" s="21">
        <f t="shared" si="0"/>
        <v>300</v>
      </c>
      <c r="H3" s="51">
        <v>300</v>
      </c>
      <c r="I3" s="26"/>
      <c r="J3" s="26"/>
      <c r="K3" s="26"/>
      <c r="L3" s="26"/>
    </row>
    <row r="4" spans="1:12" ht="14.25" customHeight="1" x14ac:dyDescent="0.25">
      <c r="A4" s="73" t="s">
        <v>68</v>
      </c>
      <c r="B4" s="30">
        <v>1.48</v>
      </c>
      <c r="C4" s="30">
        <v>1.8</v>
      </c>
      <c r="D4" s="29">
        <f t="shared" ref="D4:D19" si="1">(C4-B4)*1000</f>
        <v>320.00000000000006</v>
      </c>
      <c r="E4" s="50">
        <f>ROUND(D4*D22,0)</f>
        <v>27</v>
      </c>
      <c r="F4" s="29">
        <v>800</v>
      </c>
      <c r="G4" s="21">
        <f t="shared" si="0"/>
        <v>827</v>
      </c>
      <c r="H4" s="51">
        <v>827</v>
      </c>
      <c r="I4" s="26"/>
      <c r="J4" s="26"/>
      <c r="K4" s="26"/>
      <c r="L4" s="26"/>
    </row>
    <row r="5" spans="1:12" ht="14.25" customHeight="1" x14ac:dyDescent="0.25">
      <c r="A5" s="32" t="s">
        <v>70</v>
      </c>
      <c r="B5" s="29">
        <v>83.41</v>
      </c>
      <c r="C5" s="29">
        <v>84.55</v>
      </c>
      <c r="D5" s="29">
        <f t="shared" si="1"/>
        <v>1140.0000000000005</v>
      </c>
      <c r="E5" s="50">
        <f>ROUND(D5*D22,0)</f>
        <v>95</v>
      </c>
      <c r="F5" s="29">
        <v>1000</v>
      </c>
      <c r="G5" s="21">
        <f t="shared" si="0"/>
        <v>1095</v>
      </c>
      <c r="H5" s="51">
        <v>1095</v>
      </c>
      <c r="I5" s="26"/>
      <c r="J5" s="26"/>
      <c r="K5" s="26"/>
      <c r="L5" s="26"/>
    </row>
    <row r="6" spans="1:12" ht="14.25" customHeight="1" x14ac:dyDescent="0.25">
      <c r="A6" s="32" t="s">
        <v>16</v>
      </c>
      <c r="B6" s="29">
        <v>160.72</v>
      </c>
      <c r="C6" s="29">
        <v>160.72</v>
      </c>
      <c r="D6" s="29">
        <f t="shared" si="1"/>
        <v>0</v>
      </c>
      <c r="E6" s="50">
        <f>ROUND(D6*D22,0)</f>
        <v>0</v>
      </c>
      <c r="F6" s="29">
        <v>1000</v>
      </c>
      <c r="G6" s="21">
        <f t="shared" si="0"/>
        <v>1000</v>
      </c>
      <c r="H6" s="51">
        <v>1000</v>
      </c>
      <c r="I6" s="26"/>
      <c r="J6" s="26"/>
      <c r="K6" s="26"/>
      <c r="L6" s="26"/>
    </row>
    <row r="7" spans="1:12" ht="14.25" customHeight="1" x14ac:dyDescent="0.25">
      <c r="A7" s="32" t="s">
        <v>13</v>
      </c>
      <c r="B7" s="29">
        <v>127.98</v>
      </c>
      <c r="C7" s="29">
        <v>136.16</v>
      </c>
      <c r="D7" s="29">
        <f t="shared" si="1"/>
        <v>8179.9999999999927</v>
      </c>
      <c r="E7" s="50">
        <f>ROUND(D7*D22,0)</f>
        <v>683</v>
      </c>
      <c r="F7" s="29">
        <v>1000</v>
      </c>
      <c r="G7" s="21">
        <f t="shared" si="0"/>
        <v>1683</v>
      </c>
      <c r="H7" s="51">
        <v>1683</v>
      </c>
      <c r="I7" s="26"/>
      <c r="J7" s="26"/>
      <c r="K7" s="63" t="s">
        <v>154</v>
      </c>
      <c r="L7" s="63" t="s">
        <v>134</v>
      </c>
    </row>
    <row r="8" spans="1:12" ht="14.25" customHeight="1" x14ac:dyDescent="0.25">
      <c r="A8" s="73">
        <v>101</v>
      </c>
      <c r="B8" s="29">
        <v>0.38</v>
      </c>
      <c r="C8" s="29">
        <v>0.38</v>
      </c>
      <c r="D8" s="29">
        <f t="shared" si="1"/>
        <v>0</v>
      </c>
      <c r="E8" s="50">
        <f>ROUND(D8*D22,0)</f>
        <v>0</v>
      </c>
      <c r="F8" s="29">
        <v>800</v>
      </c>
      <c r="G8" s="21">
        <f t="shared" si="0"/>
        <v>800</v>
      </c>
      <c r="H8" s="51"/>
      <c r="I8" s="26"/>
      <c r="J8" s="26"/>
      <c r="K8" s="47"/>
      <c r="L8" s="26"/>
    </row>
    <row r="9" spans="1:12" ht="14.25" customHeight="1" x14ac:dyDescent="0.25">
      <c r="A9" s="32">
        <v>102</v>
      </c>
      <c r="B9" s="29">
        <v>226.22</v>
      </c>
      <c r="C9" s="29">
        <v>239.98</v>
      </c>
      <c r="D9" s="29">
        <f t="shared" si="1"/>
        <v>13759.999999999991</v>
      </c>
      <c r="E9" s="50">
        <f>ROUND(D9*D22,0)</f>
        <v>1148</v>
      </c>
      <c r="F9" s="29">
        <v>1000</v>
      </c>
      <c r="G9" s="21">
        <f t="shared" si="0"/>
        <v>2148</v>
      </c>
      <c r="H9" s="51">
        <v>2148</v>
      </c>
      <c r="I9" s="26"/>
      <c r="J9" s="26"/>
      <c r="K9" s="26" t="s">
        <v>156</v>
      </c>
      <c r="L9" s="26">
        <f>SUM(H2:H19)</f>
        <v>22100</v>
      </c>
    </row>
    <row r="10" spans="1:12" ht="14.25" customHeight="1" x14ac:dyDescent="0.25">
      <c r="A10" s="75">
        <v>103</v>
      </c>
      <c r="B10" s="29">
        <v>5.74</v>
      </c>
      <c r="C10" s="29">
        <v>6.84</v>
      </c>
      <c r="D10" s="29">
        <f t="shared" si="1"/>
        <v>1099.9999999999995</v>
      </c>
      <c r="E10" s="50">
        <f>ROUND(D10*D22,0)</f>
        <v>92</v>
      </c>
      <c r="F10" s="29">
        <v>1000</v>
      </c>
      <c r="G10" s="21">
        <f t="shared" si="0"/>
        <v>1092</v>
      </c>
      <c r="H10" s="51">
        <v>1092</v>
      </c>
      <c r="I10" s="26"/>
      <c r="J10" s="26"/>
      <c r="K10" s="26"/>
      <c r="L10" s="26"/>
    </row>
    <row r="11" spans="1:12" ht="14.25" customHeight="1" x14ac:dyDescent="0.25">
      <c r="A11" s="32">
        <v>104</v>
      </c>
      <c r="B11" s="29">
        <v>135.22</v>
      </c>
      <c r="C11" s="29">
        <v>148.77000000000001</v>
      </c>
      <c r="D11" s="29">
        <f t="shared" si="1"/>
        <v>13550.000000000011</v>
      </c>
      <c r="E11" s="50">
        <f>ROUND(D11*D22,0)</f>
        <v>1131</v>
      </c>
      <c r="F11" s="29">
        <v>1000</v>
      </c>
      <c r="G11" s="21">
        <f t="shared" si="0"/>
        <v>2131</v>
      </c>
      <c r="H11" s="51">
        <v>2131</v>
      </c>
      <c r="I11" s="26"/>
      <c r="J11" s="26"/>
      <c r="K11" s="66" t="s">
        <v>158</v>
      </c>
      <c r="L11" s="66" t="s">
        <v>237</v>
      </c>
    </row>
    <row r="12" spans="1:12" ht="14.25" customHeight="1" x14ac:dyDescent="0.25">
      <c r="A12" s="78">
        <v>201</v>
      </c>
      <c r="B12" s="29">
        <v>1.59</v>
      </c>
      <c r="C12" s="29">
        <v>1.59</v>
      </c>
      <c r="D12" s="29">
        <f t="shared" si="1"/>
        <v>0</v>
      </c>
      <c r="E12" s="50">
        <f>ROUND(D12*D22,0)</f>
        <v>0</v>
      </c>
      <c r="F12" s="29">
        <v>800</v>
      </c>
      <c r="G12" s="21">
        <f t="shared" si="0"/>
        <v>800</v>
      </c>
      <c r="H12" s="51">
        <v>800</v>
      </c>
      <c r="I12" s="26"/>
      <c r="J12" s="26"/>
      <c r="K12" s="26" t="s">
        <v>260</v>
      </c>
      <c r="L12" s="70">
        <v>18358</v>
      </c>
    </row>
    <row r="13" spans="1:12" ht="14.25" customHeight="1" x14ac:dyDescent="0.25">
      <c r="A13" s="32">
        <v>202</v>
      </c>
      <c r="B13" s="29">
        <v>155.29</v>
      </c>
      <c r="C13" s="29">
        <v>162.21</v>
      </c>
      <c r="D13" s="29">
        <f t="shared" si="1"/>
        <v>6920.0000000000164</v>
      </c>
      <c r="E13" s="50">
        <f>ROUND(D13*D22,0)</f>
        <v>577</v>
      </c>
      <c r="F13" s="29">
        <v>1000</v>
      </c>
      <c r="G13" s="21">
        <f t="shared" si="0"/>
        <v>1577</v>
      </c>
      <c r="H13" s="51">
        <v>1577</v>
      </c>
      <c r="I13" s="26"/>
      <c r="J13" s="26"/>
      <c r="K13" s="55" t="s">
        <v>20</v>
      </c>
      <c r="L13" s="55">
        <f>SUM(L9:L12)</f>
        <v>40458</v>
      </c>
    </row>
    <row r="14" spans="1:12" ht="14.25" customHeight="1" x14ac:dyDescent="0.25">
      <c r="A14" s="32">
        <v>203</v>
      </c>
      <c r="B14" s="29">
        <v>127.32</v>
      </c>
      <c r="C14" s="29">
        <v>136.78</v>
      </c>
      <c r="D14" s="29">
        <f t="shared" si="1"/>
        <v>9460.0000000000073</v>
      </c>
      <c r="E14" s="50">
        <f>ROUND(D14*D22,0)</f>
        <v>789</v>
      </c>
      <c r="F14" s="29">
        <v>1000</v>
      </c>
      <c r="G14" s="21">
        <f t="shared" si="0"/>
        <v>1789</v>
      </c>
      <c r="H14" s="51">
        <v>1789</v>
      </c>
      <c r="I14" s="26"/>
      <c r="J14" s="26"/>
      <c r="K14" s="68" t="s">
        <v>239</v>
      </c>
      <c r="L14" s="26"/>
    </row>
    <row r="15" spans="1:12" ht="14.25" customHeight="1" x14ac:dyDescent="0.25">
      <c r="A15" s="32">
        <v>204</v>
      </c>
      <c r="B15" s="29">
        <v>88.68</v>
      </c>
      <c r="C15" s="29">
        <v>94.76</v>
      </c>
      <c r="D15" s="29">
        <f t="shared" si="1"/>
        <v>6079.9999999999982</v>
      </c>
      <c r="E15" s="50">
        <f>ROUND(D15*D22,0)</f>
        <v>507</v>
      </c>
      <c r="F15" s="29">
        <v>1000</v>
      </c>
      <c r="G15" s="21">
        <f t="shared" si="0"/>
        <v>1507</v>
      </c>
      <c r="H15" s="51">
        <v>1507</v>
      </c>
      <c r="I15" s="26"/>
      <c r="J15" s="26"/>
      <c r="K15" s="26" t="s">
        <v>161</v>
      </c>
      <c r="L15" s="26">
        <v>6500</v>
      </c>
    </row>
    <row r="16" spans="1:12" ht="14.25" customHeight="1" x14ac:dyDescent="0.25">
      <c r="A16" s="73">
        <v>301</v>
      </c>
      <c r="B16" s="29">
        <v>0.38</v>
      </c>
      <c r="C16" s="29">
        <v>0.38</v>
      </c>
      <c r="D16" s="29">
        <f t="shared" si="1"/>
        <v>0</v>
      </c>
      <c r="E16" s="50">
        <f>ROUND(D16*D22,0)</f>
        <v>0</v>
      </c>
      <c r="F16" s="29">
        <v>800</v>
      </c>
      <c r="G16" s="21">
        <f t="shared" si="0"/>
        <v>800</v>
      </c>
      <c r="H16" s="51">
        <v>800</v>
      </c>
      <c r="I16" s="26"/>
      <c r="J16" s="26"/>
      <c r="K16" s="26" t="s">
        <v>208</v>
      </c>
      <c r="L16" s="26">
        <v>2044</v>
      </c>
    </row>
    <row r="17" spans="1:12" ht="14.25" customHeight="1" x14ac:dyDescent="0.25">
      <c r="A17" s="73">
        <v>302</v>
      </c>
      <c r="B17" s="29">
        <v>0.39</v>
      </c>
      <c r="C17" s="29">
        <v>0.39</v>
      </c>
      <c r="D17" s="29">
        <f t="shared" si="1"/>
        <v>0</v>
      </c>
      <c r="E17" s="50">
        <f>ROUND(D17*D22,0)</f>
        <v>0</v>
      </c>
      <c r="F17" s="29">
        <v>800</v>
      </c>
      <c r="G17" s="21">
        <f t="shared" si="0"/>
        <v>800</v>
      </c>
      <c r="H17" s="51">
        <v>800</v>
      </c>
      <c r="I17" s="26"/>
      <c r="J17" s="26"/>
      <c r="K17" s="107" t="s">
        <v>217</v>
      </c>
      <c r="L17" s="26">
        <v>1113</v>
      </c>
    </row>
    <row r="18" spans="1:12" ht="14.25" customHeight="1" x14ac:dyDescent="0.25">
      <c r="A18" s="32">
        <v>303</v>
      </c>
      <c r="B18" s="29">
        <v>369.47</v>
      </c>
      <c r="C18" s="29">
        <v>385.93</v>
      </c>
      <c r="D18" s="29">
        <f t="shared" si="1"/>
        <v>16459.999999999978</v>
      </c>
      <c r="E18" s="50">
        <f>ROUND(D18*D22,0)</f>
        <v>1374</v>
      </c>
      <c r="F18" s="29">
        <v>1000</v>
      </c>
      <c r="G18" s="21">
        <f t="shared" si="0"/>
        <v>2374</v>
      </c>
      <c r="H18" s="51">
        <v>2374</v>
      </c>
      <c r="I18" s="26"/>
      <c r="J18" s="26"/>
      <c r="K18" s="26" t="s">
        <v>240</v>
      </c>
      <c r="L18" s="26">
        <v>6600</v>
      </c>
    </row>
    <row r="19" spans="1:12" ht="14.25" customHeight="1" x14ac:dyDescent="0.25">
      <c r="A19" s="32">
        <v>304</v>
      </c>
      <c r="B19" s="30">
        <v>3.67</v>
      </c>
      <c r="C19" s="30">
        <v>14.18</v>
      </c>
      <c r="D19" s="29">
        <f t="shared" si="1"/>
        <v>10510</v>
      </c>
      <c r="E19" s="50">
        <f>ROUND(D19*D22,0)</f>
        <v>877</v>
      </c>
      <c r="F19" s="29">
        <v>1000</v>
      </c>
      <c r="G19" s="21">
        <f t="shared" si="0"/>
        <v>1877</v>
      </c>
      <c r="H19" s="110">
        <v>1877</v>
      </c>
      <c r="I19" s="26"/>
      <c r="J19" s="26"/>
      <c r="K19" s="26" t="s">
        <v>261</v>
      </c>
      <c r="L19" s="26">
        <v>3000</v>
      </c>
    </row>
    <row r="20" spans="1:12" ht="14.25" customHeight="1" x14ac:dyDescent="0.25">
      <c r="A20" s="29"/>
      <c r="B20" s="29"/>
      <c r="C20" s="29"/>
      <c r="D20" s="29"/>
      <c r="E20" s="80">
        <f>SUM(E4:E19)</f>
        <v>7300</v>
      </c>
      <c r="F20" s="49">
        <f>SUM(F2:F19)</f>
        <v>15600</v>
      </c>
      <c r="G20" s="21">
        <f t="shared" si="0"/>
        <v>22900</v>
      </c>
      <c r="H20" s="29">
        <f>SUM(H2:H19)</f>
        <v>22100</v>
      </c>
      <c r="I20" s="26"/>
      <c r="J20" s="26"/>
      <c r="K20" s="26" t="s">
        <v>262</v>
      </c>
      <c r="L20" s="26">
        <v>2500</v>
      </c>
    </row>
    <row r="21" spans="1:12" ht="14.25" customHeight="1" x14ac:dyDescent="0.25">
      <c r="A21" s="29"/>
      <c r="B21" s="29" t="s">
        <v>75</v>
      </c>
      <c r="C21" s="29"/>
      <c r="D21" s="30">
        <f>SUM(D4:D20)</f>
        <v>87480</v>
      </c>
      <c r="E21" s="21"/>
      <c r="F21" s="29"/>
      <c r="G21" s="29"/>
      <c r="H21" s="25"/>
      <c r="I21" s="26"/>
      <c r="J21" s="26"/>
      <c r="K21" s="26" t="s">
        <v>263</v>
      </c>
      <c r="L21" s="26">
        <v>220</v>
      </c>
    </row>
    <row r="22" spans="1:12" ht="14.25" customHeight="1" x14ac:dyDescent="0.25">
      <c r="A22" s="29"/>
      <c r="B22" s="29" t="s">
        <v>243</v>
      </c>
      <c r="C22" s="29" t="s">
        <v>244</v>
      </c>
      <c r="D22" s="29">
        <f>B23/D21</f>
        <v>8.3447645176040239E-2</v>
      </c>
      <c r="E22" s="21"/>
      <c r="F22" s="29"/>
      <c r="G22" s="21" t="s">
        <v>205</v>
      </c>
      <c r="H22" s="29">
        <v>800</v>
      </c>
      <c r="I22" s="26"/>
      <c r="J22" s="26"/>
      <c r="K22" s="26"/>
      <c r="L22" s="26"/>
    </row>
    <row r="23" spans="1:12" ht="14.25" customHeight="1" x14ac:dyDescent="0.25">
      <c r="A23" s="29" t="s">
        <v>85</v>
      </c>
      <c r="B23" s="30">
        <v>7300</v>
      </c>
      <c r="C23" s="84" t="s">
        <v>264</v>
      </c>
      <c r="D23" s="25"/>
      <c r="E23" s="25">
        <v>7300</v>
      </c>
      <c r="F23" s="29"/>
      <c r="G23" s="29"/>
      <c r="H23" s="25"/>
      <c r="I23" s="26"/>
      <c r="J23" s="26"/>
      <c r="K23" s="26"/>
      <c r="L23" s="26"/>
    </row>
    <row r="24" spans="1:12" ht="14.25" customHeight="1" x14ac:dyDescent="0.25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1:12" ht="14.25" customHeight="1" x14ac:dyDescent="0.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 t="s">
        <v>245</v>
      </c>
      <c r="L25" s="26">
        <f>SUM(L15:L22)</f>
        <v>21977</v>
      </c>
    </row>
    <row r="26" spans="1:12" ht="14.25" customHeight="1" x14ac:dyDescent="0.2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</row>
    <row r="27" spans="1:12" ht="14.25" customHeight="1" x14ac:dyDescent="0.2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 t="s">
        <v>265</v>
      </c>
      <c r="L27" s="26">
        <f>L13-L25</f>
        <v>18481</v>
      </c>
    </row>
  </sheetData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L27"/>
  <sheetViews>
    <sheetView workbookViewId="0"/>
  </sheetViews>
  <sheetFormatPr defaultColWidth="14.42578125" defaultRowHeight="15" customHeight="1" x14ac:dyDescent="0.25"/>
  <cols>
    <col min="1" max="1" width="14.5703125" customWidth="1"/>
    <col min="2" max="2" width="22.42578125" customWidth="1"/>
    <col min="3" max="3" width="31.42578125" customWidth="1"/>
    <col min="4" max="4" width="10.5703125" customWidth="1"/>
    <col min="5" max="5" width="9.85546875" customWidth="1"/>
    <col min="6" max="6" width="19.28515625" customWidth="1"/>
    <col min="7" max="7" width="10.7109375" customWidth="1"/>
    <col min="8" max="8" width="14.28515625" customWidth="1"/>
    <col min="9" max="10" width="9.140625" customWidth="1"/>
    <col min="11" max="11" width="19.7109375" customWidth="1"/>
    <col min="12" max="12" width="9.140625" customWidth="1"/>
  </cols>
  <sheetData>
    <row r="1" spans="1:12" ht="14.25" customHeight="1" x14ac:dyDescent="0.25">
      <c r="A1" s="49" t="s">
        <v>64</v>
      </c>
      <c r="B1" s="49" t="s">
        <v>80</v>
      </c>
      <c r="C1" s="49" t="s">
        <v>236</v>
      </c>
      <c r="D1" s="49" t="s">
        <v>66</v>
      </c>
      <c r="E1" s="71" t="s">
        <v>52</v>
      </c>
      <c r="F1" s="29" t="s">
        <v>81</v>
      </c>
      <c r="G1" s="21" t="s">
        <v>82</v>
      </c>
      <c r="H1" s="49" t="s">
        <v>128</v>
      </c>
      <c r="I1" s="26"/>
      <c r="J1" s="26"/>
      <c r="K1" s="26"/>
      <c r="L1" s="26"/>
    </row>
    <row r="2" spans="1:12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50" t="s">
        <v>131</v>
      </c>
      <c r="F2" s="29">
        <v>300</v>
      </c>
      <c r="G2" s="21">
        <f t="shared" ref="G2:G7" si="0">SUM(E2:F2)</f>
        <v>300</v>
      </c>
      <c r="H2" s="51">
        <v>300</v>
      </c>
      <c r="I2" s="26"/>
      <c r="J2" s="26"/>
      <c r="K2" s="26"/>
      <c r="L2" s="26"/>
    </row>
    <row r="3" spans="1:12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50" t="s">
        <v>131</v>
      </c>
      <c r="F3" s="29">
        <v>300</v>
      </c>
      <c r="G3" s="21">
        <f t="shared" si="0"/>
        <v>300</v>
      </c>
      <c r="H3" s="51">
        <v>300</v>
      </c>
      <c r="I3" s="26"/>
      <c r="J3" s="26"/>
      <c r="K3" s="26"/>
      <c r="L3" s="26"/>
    </row>
    <row r="4" spans="1:12" ht="14.25" customHeight="1" x14ac:dyDescent="0.25">
      <c r="A4" s="73" t="s">
        <v>68</v>
      </c>
      <c r="B4" s="30">
        <v>1.8</v>
      </c>
      <c r="C4" s="30">
        <v>1.8</v>
      </c>
      <c r="D4" s="29">
        <f t="shared" ref="D4:D19" si="1">(C4-B4)*1000</f>
        <v>0</v>
      </c>
      <c r="E4" s="50">
        <f>ROUND(D4*D22,0)</f>
        <v>0</v>
      </c>
      <c r="F4" s="29">
        <v>800</v>
      </c>
      <c r="G4" s="21">
        <f t="shared" si="0"/>
        <v>800</v>
      </c>
      <c r="H4" s="51">
        <v>800</v>
      </c>
      <c r="I4" s="26"/>
      <c r="J4" s="26"/>
      <c r="K4" s="26"/>
      <c r="L4" s="26"/>
    </row>
    <row r="5" spans="1:12" ht="14.25" customHeight="1" x14ac:dyDescent="0.25">
      <c r="A5" s="32" t="s">
        <v>70</v>
      </c>
      <c r="B5" s="29">
        <v>84.55</v>
      </c>
      <c r="C5" s="29">
        <v>85.17</v>
      </c>
      <c r="D5" s="29">
        <f t="shared" si="1"/>
        <v>620.00000000000455</v>
      </c>
      <c r="E5" s="50">
        <f>ROUND(D5*D22,0)</f>
        <v>42</v>
      </c>
      <c r="F5" s="29">
        <v>1000</v>
      </c>
      <c r="G5" s="21">
        <f t="shared" si="0"/>
        <v>1042</v>
      </c>
      <c r="H5" s="51">
        <v>1042</v>
      </c>
      <c r="I5" s="26"/>
      <c r="J5" s="26"/>
      <c r="K5" s="26"/>
      <c r="L5" s="26"/>
    </row>
    <row r="6" spans="1:12" ht="14.25" customHeight="1" x14ac:dyDescent="0.25">
      <c r="A6" s="32" t="s">
        <v>16</v>
      </c>
      <c r="B6" s="29">
        <v>160.72</v>
      </c>
      <c r="C6" s="29">
        <v>169.39</v>
      </c>
      <c r="D6" s="29">
        <f t="shared" si="1"/>
        <v>8669.9999999999873</v>
      </c>
      <c r="E6" s="50">
        <f>ROUND(D6*D22,0)</f>
        <v>586</v>
      </c>
      <c r="F6" s="29">
        <v>1000</v>
      </c>
      <c r="G6" s="21">
        <f t="shared" si="0"/>
        <v>1586</v>
      </c>
      <c r="H6" s="51">
        <v>1586</v>
      </c>
      <c r="I6" s="26"/>
      <c r="J6" s="26"/>
      <c r="K6" s="26"/>
      <c r="L6" s="26"/>
    </row>
    <row r="7" spans="1:12" ht="14.25" customHeight="1" x14ac:dyDescent="0.25">
      <c r="A7" s="32" t="s">
        <v>13</v>
      </c>
      <c r="B7" s="29">
        <v>136.16</v>
      </c>
      <c r="C7" s="29">
        <v>143.49</v>
      </c>
      <c r="D7" s="29">
        <f t="shared" si="1"/>
        <v>7330.0000000000127</v>
      </c>
      <c r="E7" s="50">
        <f>ROUND(D7*D22,0)</f>
        <v>496</v>
      </c>
      <c r="F7" s="29">
        <v>1000</v>
      </c>
      <c r="G7" s="21">
        <f t="shared" si="0"/>
        <v>1496</v>
      </c>
      <c r="H7" s="51">
        <v>1496</v>
      </c>
      <c r="I7" s="26"/>
      <c r="J7" s="26"/>
      <c r="K7" s="63" t="s">
        <v>154</v>
      </c>
      <c r="L7" s="63" t="s">
        <v>134</v>
      </c>
    </row>
    <row r="8" spans="1:12" ht="14.25" customHeight="1" x14ac:dyDescent="0.25">
      <c r="A8" s="73">
        <v>101</v>
      </c>
      <c r="B8" s="29">
        <v>0.38</v>
      </c>
      <c r="C8" s="29">
        <v>0.38</v>
      </c>
      <c r="D8" s="29">
        <f t="shared" si="1"/>
        <v>0</v>
      </c>
      <c r="E8" s="50">
        <f>ROUND(D8*D22,0)</f>
        <v>0</v>
      </c>
      <c r="F8" s="29">
        <v>800</v>
      </c>
      <c r="G8" s="21">
        <v>1600</v>
      </c>
      <c r="H8" s="51">
        <v>800</v>
      </c>
      <c r="I8" s="26"/>
      <c r="J8" s="26"/>
      <c r="K8" s="47"/>
      <c r="L8" s="26"/>
    </row>
    <row r="9" spans="1:12" ht="14.25" customHeight="1" x14ac:dyDescent="0.25">
      <c r="A9" s="32">
        <v>102</v>
      </c>
      <c r="B9" s="29">
        <v>239.98</v>
      </c>
      <c r="C9" s="29">
        <v>252.26</v>
      </c>
      <c r="D9" s="29">
        <f t="shared" si="1"/>
        <v>12280.000000000002</v>
      </c>
      <c r="E9" s="50">
        <f>ROUND(D9*D22,0)</f>
        <v>830</v>
      </c>
      <c r="F9" s="29">
        <v>1000</v>
      </c>
      <c r="G9" s="21">
        <f t="shared" ref="G9:G20" si="2">SUM(E9:F9)</f>
        <v>1830</v>
      </c>
      <c r="H9" s="51">
        <v>1830</v>
      </c>
      <c r="I9" s="26"/>
      <c r="J9" s="26"/>
      <c r="K9" s="26" t="s">
        <v>156</v>
      </c>
      <c r="L9" s="26">
        <f>SUM(H2:H19)</f>
        <v>22200</v>
      </c>
    </row>
    <row r="10" spans="1:12" ht="14.25" customHeight="1" x14ac:dyDescent="0.25">
      <c r="A10" s="75">
        <v>103</v>
      </c>
      <c r="B10" s="29">
        <v>6.84</v>
      </c>
      <c r="C10" s="29">
        <v>6.84</v>
      </c>
      <c r="D10" s="29">
        <f t="shared" si="1"/>
        <v>0</v>
      </c>
      <c r="E10" s="50">
        <f>ROUND(D10*D22,0)</f>
        <v>0</v>
      </c>
      <c r="F10" s="29">
        <v>1000</v>
      </c>
      <c r="G10" s="21">
        <f t="shared" si="2"/>
        <v>1000</v>
      </c>
      <c r="H10" s="51">
        <v>1000</v>
      </c>
      <c r="I10" s="26"/>
      <c r="J10" s="26"/>
      <c r="K10" s="26"/>
      <c r="L10" s="26"/>
    </row>
    <row r="11" spans="1:12" ht="14.25" customHeight="1" x14ac:dyDescent="0.25">
      <c r="A11" s="32">
        <v>104</v>
      </c>
      <c r="B11" s="29">
        <v>148.77000000000001</v>
      </c>
      <c r="C11" s="29">
        <v>156.06</v>
      </c>
      <c r="D11" s="29">
        <f t="shared" si="1"/>
        <v>7289.9999999999918</v>
      </c>
      <c r="E11" s="50">
        <f>ROUND(D11*D22,0)</f>
        <v>493</v>
      </c>
      <c r="F11" s="29">
        <v>1000</v>
      </c>
      <c r="G11" s="21">
        <f t="shared" si="2"/>
        <v>1493</v>
      </c>
      <c r="H11" s="51">
        <v>1493</v>
      </c>
      <c r="I11" s="26"/>
      <c r="J11" s="26"/>
      <c r="K11" s="66" t="s">
        <v>158</v>
      </c>
      <c r="L11" s="66" t="s">
        <v>237</v>
      </c>
    </row>
    <row r="12" spans="1:12" ht="14.25" customHeight="1" x14ac:dyDescent="0.25">
      <c r="A12" s="78">
        <v>201</v>
      </c>
      <c r="B12" s="29">
        <v>1.59</v>
      </c>
      <c r="C12" s="29">
        <v>1.59</v>
      </c>
      <c r="D12" s="29">
        <f t="shared" si="1"/>
        <v>0</v>
      </c>
      <c r="E12" s="50">
        <f>ROUND(D12*D22,0)</f>
        <v>0</v>
      </c>
      <c r="F12" s="29">
        <v>800</v>
      </c>
      <c r="G12" s="21">
        <f t="shared" si="2"/>
        <v>800</v>
      </c>
      <c r="H12" s="51">
        <v>800</v>
      </c>
      <c r="I12" s="26"/>
      <c r="J12" s="26"/>
      <c r="K12" s="26" t="s">
        <v>266</v>
      </c>
      <c r="L12" s="70">
        <v>18481</v>
      </c>
    </row>
    <row r="13" spans="1:12" ht="14.25" customHeight="1" x14ac:dyDescent="0.25">
      <c r="A13" s="32">
        <v>202</v>
      </c>
      <c r="B13" s="29">
        <v>162.21</v>
      </c>
      <c r="C13" s="29">
        <v>170.22</v>
      </c>
      <c r="D13" s="29">
        <f t="shared" si="1"/>
        <v>8009.9999999999909</v>
      </c>
      <c r="E13" s="50">
        <f>ROUND(D13*D22,0)</f>
        <v>542</v>
      </c>
      <c r="F13" s="29">
        <v>1000</v>
      </c>
      <c r="G13" s="21">
        <f t="shared" si="2"/>
        <v>1542</v>
      </c>
      <c r="H13" s="51">
        <v>1542</v>
      </c>
      <c r="I13" s="26"/>
      <c r="J13" s="26"/>
      <c r="K13" s="55" t="s">
        <v>20</v>
      </c>
      <c r="L13" s="55">
        <f>SUM(L9:L12)</f>
        <v>40681</v>
      </c>
    </row>
    <row r="14" spans="1:12" ht="14.25" customHeight="1" x14ac:dyDescent="0.25">
      <c r="A14" s="32">
        <v>203</v>
      </c>
      <c r="B14" s="29">
        <v>136.78</v>
      </c>
      <c r="C14" s="29">
        <v>150.38</v>
      </c>
      <c r="D14" s="29">
        <f t="shared" si="1"/>
        <v>13599.999999999995</v>
      </c>
      <c r="E14" s="50">
        <f>ROUND(D14*D22,0)</f>
        <v>920</v>
      </c>
      <c r="F14" s="29">
        <v>1000</v>
      </c>
      <c r="G14" s="21">
        <f t="shared" si="2"/>
        <v>1920</v>
      </c>
      <c r="H14" s="51">
        <v>1920</v>
      </c>
      <c r="I14" s="26"/>
      <c r="J14" s="26"/>
      <c r="K14" s="68" t="s">
        <v>239</v>
      </c>
      <c r="L14" s="26"/>
    </row>
    <row r="15" spans="1:12" ht="14.25" customHeight="1" x14ac:dyDescent="0.25">
      <c r="A15" s="32">
        <v>204</v>
      </c>
      <c r="B15" s="29">
        <v>94.76</v>
      </c>
      <c r="C15" s="29">
        <v>99.15</v>
      </c>
      <c r="D15" s="29">
        <f t="shared" si="1"/>
        <v>4390.0000000000009</v>
      </c>
      <c r="E15" s="50">
        <f>ROUND(D15*D22,0)</f>
        <v>297</v>
      </c>
      <c r="F15" s="29">
        <v>1000</v>
      </c>
      <c r="G15" s="21">
        <f t="shared" si="2"/>
        <v>1297</v>
      </c>
      <c r="H15" s="51">
        <v>1297</v>
      </c>
      <c r="I15" s="26"/>
      <c r="J15" s="26"/>
      <c r="K15" s="26" t="s">
        <v>161</v>
      </c>
      <c r="L15" s="26">
        <v>7100</v>
      </c>
    </row>
    <row r="16" spans="1:12" ht="14.25" customHeight="1" x14ac:dyDescent="0.25">
      <c r="A16" s="73">
        <v>301</v>
      </c>
      <c r="B16" s="29">
        <v>0.38</v>
      </c>
      <c r="C16" s="29">
        <v>0.38</v>
      </c>
      <c r="D16" s="29">
        <f t="shared" si="1"/>
        <v>0</v>
      </c>
      <c r="E16" s="50">
        <f>ROUND(D16*D22,0)</f>
        <v>0</v>
      </c>
      <c r="F16" s="29">
        <v>800</v>
      </c>
      <c r="G16" s="21">
        <f t="shared" si="2"/>
        <v>800</v>
      </c>
      <c r="H16" s="51">
        <v>800</v>
      </c>
      <c r="I16" s="26"/>
      <c r="J16" s="26"/>
      <c r="K16" s="26" t="s">
        <v>208</v>
      </c>
      <c r="L16" s="26">
        <v>2044</v>
      </c>
    </row>
    <row r="17" spans="1:12" ht="14.25" customHeight="1" x14ac:dyDescent="0.25">
      <c r="A17" s="73">
        <v>302</v>
      </c>
      <c r="B17" s="29">
        <v>0.39</v>
      </c>
      <c r="C17" s="29">
        <v>0.39</v>
      </c>
      <c r="D17" s="29">
        <f t="shared" si="1"/>
        <v>0</v>
      </c>
      <c r="E17" s="50">
        <f>ROUND(D17*D22,0)</f>
        <v>0</v>
      </c>
      <c r="F17" s="29">
        <v>800</v>
      </c>
      <c r="G17" s="21">
        <f t="shared" si="2"/>
        <v>800</v>
      </c>
      <c r="H17" s="51">
        <v>800</v>
      </c>
      <c r="I17" s="26"/>
      <c r="J17" s="26"/>
      <c r="K17" s="107" t="s">
        <v>217</v>
      </c>
      <c r="L17" s="26">
        <v>1603</v>
      </c>
    </row>
    <row r="18" spans="1:12" ht="14.25" customHeight="1" x14ac:dyDescent="0.25">
      <c r="A18" s="32">
        <v>303</v>
      </c>
      <c r="B18" s="29">
        <v>385.93</v>
      </c>
      <c r="C18" s="29">
        <v>409.58</v>
      </c>
      <c r="D18" s="29">
        <f t="shared" si="1"/>
        <v>23649.999999999978</v>
      </c>
      <c r="E18" s="50">
        <f>ROUND(D18*D22,0)</f>
        <v>1599</v>
      </c>
      <c r="F18" s="29">
        <v>1000</v>
      </c>
      <c r="G18" s="21">
        <f t="shared" si="2"/>
        <v>2599</v>
      </c>
      <c r="H18" s="51">
        <v>2599</v>
      </c>
      <c r="I18" s="26"/>
      <c r="J18" s="26"/>
      <c r="K18" s="26" t="s">
        <v>240</v>
      </c>
      <c r="L18" s="26">
        <v>8800</v>
      </c>
    </row>
    <row r="19" spans="1:12" ht="14.25" customHeight="1" x14ac:dyDescent="0.25">
      <c r="A19" s="32">
        <v>304</v>
      </c>
      <c r="B19" s="30">
        <v>14.18</v>
      </c>
      <c r="C19" s="30">
        <v>25.94</v>
      </c>
      <c r="D19" s="29">
        <f t="shared" si="1"/>
        <v>11760.000000000002</v>
      </c>
      <c r="E19" s="50">
        <f>ROUND(D19*D22,0)</f>
        <v>795</v>
      </c>
      <c r="F19" s="29">
        <v>1000</v>
      </c>
      <c r="G19" s="21">
        <f t="shared" si="2"/>
        <v>1795</v>
      </c>
      <c r="H19" s="110">
        <v>1795</v>
      </c>
      <c r="I19" s="26"/>
      <c r="J19" s="26"/>
      <c r="K19" s="26" t="s">
        <v>267</v>
      </c>
      <c r="L19" s="26">
        <v>640</v>
      </c>
    </row>
    <row r="20" spans="1:12" ht="14.25" customHeight="1" x14ac:dyDescent="0.25">
      <c r="A20" s="29"/>
      <c r="B20" s="29"/>
      <c r="C20" s="29"/>
      <c r="D20" s="29"/>
      <c r="E20" s="80">
        <f>SUM(E4:E19)</f>
        <v>6600</v>
      </c>
      <c r="F20" s="49">
        <f>SUM(F2:F19)</f>
        <v>15600</v>
      </c>
      <c r="G20" s="21">
        <f t="shared" si="2"/>
        <v>22200</v>
      </c>
      <c r="H20" s="29">
        <f>SUM(H2:H19)</f>
        <v>22200</v>
      </c>
      <c r="I20" s="26"/>
      <c r="J20" s="26"/>
      <c r="K20" s="26"/>
      <c r="L20" s="26"/>
    </row>
    <row r="21" spans="1:12" ht="14.25" customHeight="1" x14ac:dyDescent="0.25">
      <c r="A21" s="29"/>
      <c r="B21" s="29" t="s">
        <v>75</v>
      </c>
      <c r="C21" s="29"/>
      <c r="D21" s="30">
        <f>SUM(D4:D20)</f>
        <v>97599.999999999971</v>
      </c>
      <c r="E21" s="21"/>
      <c r="F21" s="29"/>
      <c r="G21" s="29"/>
      <c r="H21" s="25"/>
      <c r="I21" s="26"/>
      <c r="J21" s="26"/>
      <c r="K21" s="26"/>
      <c r="L21" s="26"/>
    </row>
    <row r="22" spans="1:12" ht="14.25" customHeight="1" x14ac:dyDescent="0.25">
      <c r="A22" s="29"/>
      <c r="B22" s="29" t="s">
        <v>243</v>
      </c>
      <c r="C22" s="29" t="s">
        <v>244</v>
      </c>
      <c r="D22" s="111">
        <f>B23/D21</f>
        <v>6.7622950819672151E-2</v>
      </c>
      <c r="E22" s="21"/>
      <c r="F22" s="29"/>
      <c r="G22" s="21" t="s">
        <v>205</v>
      </c>
      <c r="H22" s="29">
        <v>800</v>
      </c>
      <c r="I22" s="26"/>
      <c r="J22" s="26"/>
      <c r="K22" s="26"/>
      <c r="L22" s="26"/>
    </row>
    <row r="23" spans="1:12" ht="14.25" customHeight="1" x14ac:dyDescent="0.25">
      <c r="A23" s="29" t="s">
        <v>85</v>
      </c>
      <c r="B23" s="30">
        <v>6600</v>
      </c>
      <c r="C23" s="84" t="s">
        <v>147</v>
      </c>
      <c r="D23" s="25"/>
      <c r="E23" s="25">
        <v>6600</v>
      </c>
      <c r="F23" s="29"/>
      <c r="G23" s="29"/>
      <c r="H23" s="25"/>
      <c r="I23" s="26"/>
      <c r="J23" s="26"/>
      <c r="K23" s="26"/>
      <c r="L23" s="26"/>
    </row>
    <row r="24" spans="1:12" ht="14.25" customHeight="1" x14ac:dyDescent="0.25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1:12" ht="14.25" customHeight="1" x14ac:dyDescent="0.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 t="s">
        <v>245</v>
      </c>
      <c r="L25" s="26">
        <f>SUM(L15:L22)</f>
        <v>20187</v>
      </c>
    </row>
    <row r="26" spans="1:12" ht="14.25" customHeight="1" x14ac:dyDescent="0.2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</row>
    <row r="27" spans="1:12" ht="14.25" customHeight="1" x14ac:dyDescent="0.2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 t="s">
        <v>268</v>
      </c>
      <c r="L27" s="26">
        <f>L13-L25</f>
        <v>20494</v>
      </c>
    </row>
  </sheetData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27"/>
  <sheetViews>
    <sheetView workbookViewId="0"/>
  </sheetViews>
  <sheetFormatPr defaultColWidth="14.42578125" defaultRowHeight="15" customHeight="1" x14ac:dyDescent="0.25"/>
  <cols>
    <col min="1" max="1" width="14.5703125" customWidth="1"/>
    <col min="2" max="2" width="22.42578125" customWidth="1"/>
    <col min="3" max="3" width="31.42578125" customWidth="1"/>
    <col min="4" max="4" width="10.5703125" customWidth="1"/>
    <col min="5" max="5" width="9.85546875" customWidth="1"/>
    <col min="6" max="6" width="19.28515625" customWidth="1"/>
    <col min="7" max="7" width="10.7109375" customWidth="1"/>
    <col min="8" max="8" width="14.28515625" customWidth="1"/>
    <col min="9" max="10" width="9.140625" customWidth="1"/>
    <col min="11" max="11" width="19.7109375" customWidth="1"/>
    <col min="12" max="12" width="9.140625" customWidth="1"/>
  </cols>
  <sheetData>
    <row r="1" spans="1:12" ht="14.25" customHeight="1" x14ac:dyDescent="0.25">
      <c r="A1" s="49" t="s">
        <v>64</v>
      </c>
      <c r="B1" s="49" t="s">
        <v>80</v>
      </c>
      <c r="C1" s="49" t="s">
        <v>236</v>
      </c>
      <c r="D1" s="49" t="s">
        <v>66</v>
      </c>
      <c r="E1" s="71" t="s">
        <v>52</v>
      </c>
      <c r="F1" s="29" t="s">
        <v>81</v>
      </c>
      <c r="G1" s="21" t="s">
        <v>82</v>
      </c>
      <c r="H1" s="49" t="s">
        <v>128</v>
      </c>
      <c r="I1" s="26"/>
      <c r="J1" s="26"/>
      <c r="K1" s="26"/>
      <c r="L1" s="26"/>
    </row>
    <row r="2" spans="1:12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50" t="s">
        <v>131</v>
      </c>
      <c r="F2" s="29">
        <v>300</v>
      </c>
      <c r="G2" s="21">
        <f t="shared" ref="G2:G7" si="0">SUM(E2:F2)</f>
        <v>300</v>
      </c>
      <c r="H2" s="51">
        <v>300</v>
      </c>
      <c r="I2" s="26"/>
      <c r="J2" s="26"/>
      <c r="K2" s="26"/>
      <c r="L2" s="26"/>
    </row>
    <row r="3" spans="1:12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50" t="s">
        <v>131</v>
      </c>
      <c r="F3" s="29">
        <v>300</v>
      </c>
      <c r="G3" s="21">
        <f t="shared" si="0"/>
        <v>300</v>
      </c>
      <c r="H3" s="51">
        <v>300</v>
      </c>
      <c r="I3" s="26"/>
      <c r="J3" s="26"/>
      <c r="K3" s="26"/>
      <c r="L3" s="26"/>
    </row>
    <row r="4" spans="1:12" ht="14.25" customHeight="1" x14ac:dyDescent="0.25">
      <c r="A4" s="32" t="s">
        <v>68</v>
      </c>
      <c r="B4" s="30">
        <v>1.8</v>
      </c>
      <c r="C4" s="30">
        <v>4.3</v>
      </c>
      <c r="D4" s="29">
        <f t="shared" ref="D4:D19" si="1">(C4-B4)*1000</f>
        <v>2500</v>
      </c>
      <c r="E4" s="50">
        <f>ROUND(D4*D22,0)</f>
        <v>204</v>
      </c>
      <c r="F4" s="29">
        <v>1000</v>
      </c>
      <c r="G4" s="21">
        <f t="shared" si="0"/>
        <v>1204</v>
      </c>
      <c r="H4" s="51">
        <v>1204</v>
      </c>
      <c r="I4" s="26"/>
      <c r="J4" s="26"/>
      <c r="K4" s="26"/>
      <c r="L4" s="26"/>
    </row>
    <row r="5" spans="1:12" ht="14.25" customHeight="1" x14ac:dyDescent="0.25">
      <c r="A5" s="32" t="s">
        <v>70</v>
      </c>
      <c r="B5" s="29">
        <v>85.17</v>
      </c>
      <c r="C5" s="30">
        <v>92</v>
      </c>
      <c r="D5" s="29">
        <f t="shared" si="1"/>
        <v>6829.9999999999982</v>
      </c>
      <c r="E5" s="50">
        <f>ROUND(D5*D22,0)</f>
        <v>559</v>
      </c>
      <c r="F5" s="29">
        <v>1000</v>
      </c>
      <c r="G5" s="21">
        <f t="shared" si="0"/>
        <v>1559</v>
      </c>
      <c r="H5" s="51">
        <v>1559</v>
      </c>
      <c r="I5" s="26"/>
      <c r="J5" s="26"/>
      <c r="K5" s="26"/>
      <c r="L5" s="26"/>
    </row>
    <row r="6" spans="1:12" ht="14.25" customHeight="1" x14ac:dyDescent="0.25">
      <c r="A6" s="32" t="s">
        <v>16</v>
      </c>
      <c r="B6" s="29">
        <v>169.39</v>
      </c>
      <c r="C6" s="29">
        <v>178.23</v>
      </c>
      <c r="D6" s="29">
        <f t="shared" si="1"/>
        <v>8840.0000000000036</v>
      </c>
      <c r="E6" s="50">
        <f>ROUND(D6*D22,0)</f>
        <v>723</v>
      </c>
      <c r="F6" s="29">
        <v>1000</v>
      </c>
      <c r="G6" s="21">
        <f t="shared" si="0"/>
        <v>1723</v>
      </c>
      <c r="H6" s="51">
        <v>1723</v>
      </c>
      <c r="I6" s="26"/>
      <c r="J6" s="26"/>
      <c r="K6" s="26"/>
      <c r="L6" s="26"/>
    </row>
    <row r="7" spans="1:12" ht="14.25" customHeight="1" x14ac:dyDescent="0.25">
      <c r="A7" s="32" t="s">
        <v>13</v>
      </c>
      <c r="B7" s="29">
        <v>143.49</v>
      </c>
      <c r="C7" s="29">
        <v>156.13999999999999</v>
      </c>
      <c r="D7" s="29">
        <f t="shared" si="1"/>
        <v>12649.999999999978</v>
      </c>
      <c r="E7" s="50">
        <f>ROUND(D7*D22,0)</f>
        <v>1035</v>
      </c>
      <c r="F7" s="29">
        <v>1000</v>
      </c>
      <c r="G7" s="21">
        <f t="shared" si="0"/>
        <v>2035</v>
      </c>
      <c r="H7" s="51">
        <v>2035</v>
      </c>
      <c r="I7" s="26"/>
      <c r="J7" s="26"/>
      <c r="K7" s="63" t="s">
        <v>154</v>
      </c>
      <c r="L7" s="63" t="s">
        <v>134</v>
      </c>
    </row>
    <row r="8" spans="1:12" ht="14.25" customHeight="1" x14ac:dyDescent="0.25">
      <c r="A8" s="73">
        <v>101</v>
      </c>
      <c r="B8" s="29">
        <v>0.38</v>
      </c>
      <c r="C8" s="29">
        <v>0.38</v>
      </c>
      <c r="D8" s="29">
        <f t="shared" si="1"/>
        <v>0</v>
      </c>
      <c r="E8" s="50">
        <f>ROUND(D8*D22,0)</f>
        <v>0</v>
      </c>
      <c r="F8" s="29">
        <v>800</v>
      </c>
      <c r="G8" s="21">
        <v>1600</v>
      </c>
      <c r="H8" s="51">
        <v>1600</v>
      </c>
      <c r="I8" s="26"/>
      <c r="J8" s="26"/>
      <c r="K8" s="47"/>
      <c r="L8" s="26"/>
    </row>
    <row r="9" spans="1:12" ht="14.25" customHeight="1" x14ac:dyDescent="0.25">
      <c r="A9" s="32">
        <v>102</v>
      </c>
      <c r="B9" s="29">
        <v>252.26</v>
      </c>
      <c r="C9" s="29">
        <v>265.82</v>
      </c>
      <c r="D9" s="29">
        <f t="shared" si="1"/>
        <v>13560.000000000002</v>
      </c>
      <c r="E9" s="50">
        <f>ROUND(D9*D22,0)</f>
        <v>1109</v>
      </c>
      <c r="F9" s="29">
        <v>1000</v>
      </c>
      <c r="G9" s="21">
        <f t="shared" ref="G9:G20" si="2">SUM(E9:F9)</f>
        <v>2109</v>
      </c>
      <c r="H9" s="51">
        <v>2109</v>
      </c>
      <c r="I9" s="26"/>
      <c r="J9" s="26"/>
      <c r="K9" s="26" t="s">
        <v>156</v>
      </c>
      <c r="L9" s="26">
        <f>SUM(H2:H19)</f>
        <v>25343</v>
      </c>
    </row>
    <row r="10" spans="1:12" ht="14.25" customHeight="1" x14ac:dyDescent="0.25">
      <c r="A10" s="32">
        <v>103</v>
      </c>
      <c r="B10" s="29">
        <v>6.84</v>
      </c>
      <c r="C10" s="29">
        <v>15.92</v>
      </c>
      <c r="D10" s="29">
        <f t="shared" si="1"/>
        <v>9080</v>
      </c>
      <c r="E10" s="50">
        <f>ROUND(D10*D22,0)</f>
        <v>743</v>
      </c>
      <c r="F10" s="29">
        <v>1000</v>
      </c>
      <c r="G10" s="21">
        <f t="shared" si="2"/>
        <v>1743</v>
      </c>
      <c r="H10" s="51">
        <v>1743</v>
      </c>
      <c r="I10" s="26"/>
      <c r="J10" s="26"/>
      <c r="K10" s="26"/>
      <c r="L10" s="26"/>
    </row>
    <row r="11" spans="1:12" ht="14.25" customHeight="1" x14ac:dyDescent="0.25">
      <c r="A11" s="32">
        <v>104</v>
      </c>
      <c r="B11" s="29">
        <v>156.06</v>
      </c>
      <c r="C11" s="29">
        <v>164.78</v>
      </c>
      <c r="D11" s="29">
        <f t="shared" si="1"/>
        <v>8719.9999999999982</v>
      </c>
      <c r="E11" s="50">
        <f>ROUND(D11*D22,0)</f>
        <v>713</v>
      </c>
      <c r="F11" s="29">
        <v>1000</v>
      </c>
      <c r="G11" s="21">
        <f t="shared" si="2"/>
        <v>1713</v>
      </c>
      <c r="H11" s="51">
        <v>1713</v>
      </c>
      <c r="I11" s="26"/>
      <c r="J11" s="26"/>
      <c r="K11" s="66" t="s">
        <v>158</v>
      </c>
      <c r="L11" s="66" t="s">
        <v>237</v>
      </c>
    </row>
    <row r="12" spans="1:12" ht="14.25" customHeight="1" x14ac:dyDescent="0.25">
      <c r="A12" s="112">
        <v>201</v>
      </c>
      <c r="B12" s="29">
        <v>1.59</v>
      </c>
      <c r="C12" s="29">
        <v>1.79</v>
      </c>
      <c r="D12" s="29">
        <f t="shared" si="1"/>
        <v>199.99999999999994</v>
      </c>
      <c r="E12" s="50">
        <f>ROUND(D12*D22,0)</f>
        <v>16</v>
      </c>
      <c r="F12" s="29">
        <v>800</v>
      </c>
      <c r="G12" s="21">
        <f t="shared" si="2"/>
        <v>816</v>
      </c>
      <c r="H12" s="51">
        <v>800</v>
      </c>
      <c r="I12" s="26"/>
      <c r="J12" s="26"/>
      <c r="K12" s="26" t="s">
        <v>159</v>
      </c>
      <c r="L12" s="70">
        <v>20494</v>
      </c>
    </row>
    <row r="13" spans="1:12" ht="14.25" customHeight="1" x14ac:dyDescent="0.25">
      <c r="A13" s="32">
        <v>202</v>
      </c>
      <c r="B13" s="29">
        <v>170.22</v>
      </c>
      <c r="C13" s="29">
        <v>173.14</v>
      </c>
      <c r="D13" s="29">
        <f t="shared" si="1"/>
        <v>2919.9999999999873</v>
      </c>
      <c r="E13" s="50">
        <f>ROUND(D13*D22,0)</f>
        <v>239</v>
      </c>
      <c r="F13" s="29">
        <v>1000</v>
      </c>
      <c r="G13" s="21">
        <f t="shared" si="2"/>
        <v>1239</v>
      </c>
      <c r="H13" s="51">
        <v>1239</v>
      </c>
      <c r="I13" s="26"/>
      <c r="J13" s="26"/>
      <c r="K13" s="55" t="s">
        <v>20</v>
      </c>
      <c r="L13" s="55">
        <f>SUM(L9:L12)</f>
        <v>45837</v>
      </c>
    </row>
    <row r="14" spans="1:12" ht="14.25" customHeight="1" x14ac:dyDescent="0.25">
      <c r="A14" s="32">
        <v>203</v>
      </c>
      <c r="B14" s="29">
        <v>150.38</v>
      </c>
      <c r="C14" s="29">
        <v>160.84</v>
      </c>
      <c r="D14" s="29">
        <f t="shared" si="1"/>
        <v>10460.000000000007</v>
      </c>
      <c r="E14" s="50">
        <f>ROUND(D14*D22,0)</f>
        <v>856</v>
      </c>
      <c r="F14" s="29">
        <v>1000</v>
      </c>
      <c r="G14" s="21">
        <f t="shared" si="2"/>
        <v>1856</v>
      </c>
      <c r="H14" s="51">
        <v>1856</v>
      </c>
      <c r="I14" s="26"/>
      <c r="J14" s="26"/>
      <c r="K14" s="68" t="s">
        <v>239</v>
      </c>
      <c r="L14" s="26"/>
    </row>
    <row r="15" spans="1:12" ht="14.25" customHeight="1" x14ac:dyDescent="0.25">
      <c r="A15" s="32">
        <v>204</v>
      </c>
      <c r="B15" s="29">
        <v>99.15</v>
      </c>
      <c r="C15" s="29">
        <v>105.75</v>
      </c>
      <c r="D15" s="29">
        <f t="shared" si="1"/>
        <v>6599.9999999999945</v>
      </c>
      <c r="E15" s="50">
        <f>ROUND(D15*D22,0)</f>
        <v>540</v>
      </c>
      <c r="F15" s="29">
        <v>1000</v>
      </c>
      <c r="G15" s="21">
        <f t="shared" si="2"/>
        <v>1540</v>
      </c>
      <c r="H15" s="51">
        <v>1540</v>
      </c>
      <c r="I15" s="26"/>
      <c r="J15" s="26"/>
      <c r="K15" s="26" t="s">
        <v>161</v>
      </c>
      <c r="L15" s="26">
        <v>6500</v>
      </c>
    </row>
    <row r="16" spans="1:12" ht="14.25" customHeight="1" x14ac:dyDescent="0.25">
      <c r="A16" s="73">
        <v>301</v>
      </c>
      <c r="B16" s="29">
        <v>0.38</v>
      </c>
      <c r="C16" s="29">
        <v>0.56999999999999995</v>
      </c>
      <c r="D16" s="29">
        <f t="shared" si="1"/>
        <v>189.99999999999994</v>
      </c>
      <c r="E16" s="50">
        <f>ROUND(D16*D22,0)</f>
        <v>16</v>
      </c>
      <c r="F16" s="29">
        <v>800</v>
      </c>
      <c r="G16" s="21">
        <f t="shared" si="2"/>
        <v>816</v>
      </c>
      <c r="H16" s="51">
        <v>800</v>
      </c>
      <c r="I16" s="26"/>
      <c r="J16" s="26"/>
      <c r="K16" s="26" t="s">
        <v>208</v>
      </c>
      <c r="L16" s="26">
        <v>2044</v>
      </c>
    </row>
    <row r="17" spans="1:12" ht="14.25" customHeight="1" x14ac:dyDescent="0.25">
      <c r="A17" s="73">
        <v>302</v>
      </c>
      <c r="B17" s="29">
        <v>0.39</v>
      </c>
      <c r="C17" s="29">
        <v>0.71</v>
      </c>
      <c r="D17" s="29">
        <f t="shared" si="1"/>
        <v>319.99999999999994</v>
      </c>
      <c r="E17" s="50">
        <f>ROUND(D17*D22,0)</f>
        <v>26</v>
      </c>
      <c r="F17" s="29">
        <v>800</v>
      </c>
      <c r="G17" s="21">
        <f t="shared" si="2"/>
        <v>826</v>
      </c>
      <c r="H17" s="51">
        <v>800</v>
      </c>
      <c r="I17" s="26"/>
      <c r="J17" s="26"/>
      <c r="K17" s="107" t="s">
        <v>217</v>
      </c>
      <c r="L17" s="26">
        <v>2409</v>
      </c>
    </row>
    <row r="18" spans="1:12" ht="14.25" customHeight="1" x14ac:dyDescent="0.25">
      <c r="A18" s="32">
        <v>303</v>
      </c>
      <c r="B18" s="29">
        <v>409.58</v>
      </c>
      <c r="C18" s="29">
        <v>423.98</v>
      </c>
      <c r="D18" s="29">
        <f t="shared" si="1"/>
        <v>14400.000000000035</v>
      </c>
      <c r="E18" s="50">
        <f>ROUND(D18*D22,0)</f>
        <v>1178</v>
      </c>
      <c r="F18" s="29">
        <v>1000</v>
      </c>
      <c r="G18" s="21">
        <f t="shared" si="2"/>
        <v>2178</v>
      </c>
      <c r="H18" s="51">
        <v>2178</v>
      </c>
      <c r="I18" s="26"/>
      <c r="J18" s="26"/>
      <c r="K18" s="26" t="s">
        <v>240</v>
      </c>
      <c r="L18" s="26">
        <v>9200</v>
      </c>
    </row>
    <row r="19" spans="1:12" ht="14.25" customHeight="1" x14ac:dyDescent="0.25">
      <c r="A19" s="32">
        <v>304</v>
      </c>
      <c r="B19" s="30">
        <v>25.94</v>
      </c>
      <c r="C19" s="30">
        <v>36.26</v>
      </c>
      <c r="D19" s="29">
        <f t="shared" si="1"/>
        <v>10319.999999999996</v>
      </c>
      <c r="E19" s="50">
        <f>ROUND(D19*D22,0)</f>
        <v>844</v>
      </c>
      <c r="F19" s="29">
        <v>1000</v>
      </c>
      <c r="G19" s="21">
        <f t="shared" si="2"/>
        <v>1844</v>
      </c>
      <c r="H19" s="110">
        <v>1844</v>
      </c>
      <c r="I19" s="26"/>
      <c r="J19" s="26"/>
      <c r="K19" s="26" t="s">
        <v>269</v>
      </c>
      <c r="L19" s="26">
        <v>2234</v>
      </c>
    </row>
    <row r="20" spans="1:12" ht="14.25" customHeight="1" x14ac:dyDescent="0.25">
      <c r="A20" s="29"/>
      <c r="B20" s="29"/>
      <c r="C20" s="29"/>
      <c r="D20" s="29"/>
      <c r="E20" s="80">
        <f>SUM(E4:E19)</f>
        <v>8801</v>
      </c>
      <c r="F20" s="49">
        <f>SUM(F2:F19)</f>
        <v>15800</v>
      </c>
      <c r="G20" s="21">
        <f t="shared" si="2"/>
        <v>24601</v>
      </c>
      <c r="H20" s="29">
        <f>SUM(H2:H19)</f>
        <v>25343</v>
      </c>
      <c r="I20" s="26"/>
      <c r="J20" s="26"/>
      <c r="K20" s="26" t="s">
        <v>261</v>
      </c>
      <c r="L20" s="26"/>
    </row>
    <row r="21" spans="1:12" ht="14.25" customHeight="1" x14ac:dyDescent="0.25">
      <c r="A21" s="29"/>
      <c r="B21" s="29" t="s">
        <v>75</v>
      </c>
      <c r="C21" s="29"/>
      <c r="D21" s="30">
        <f>SUM(D4:D20)</f>
        <v>107590</v>
      </c>
      <c r="E21" s="21"/>
      <c r="F21" s="29"/>
      <c r="G21" s="29"/>
      <c r="H21" s="25"/>
      <c r="I21" s="26"/>
      <c r="J21" s="26"/>
      <c r="K21" s="26"/>
      <c r="L21" s="26"/>
    </row>
    <row r="22" spans="1:12" ht="14.25" customHeight="1" x14ac:dyDescent="0.25">
      <c r="A22" s="29"/>
      <c r="B22" s="29" t="s">
        <v>243</v>
      </c>
      <c r="C22" s="29" t="s">
        <v>244</v>
      </c>
      <c r="D22" s="111">
        <f>B23/D21</f>
        <v>8.1791988102983548E-2</v>
      </c>
      <c r="E22" s="21"/>
      <c r="F22" s="29"/>
      <c r="G22" s="21" t="s">
        <v>205</v>
      </c>
      <c r="H22" s="29">
        <v>800</v>
      </c>
      <c r="I22" s="26"/>
      <c r="J22" s="26"/>
      <c r="K22" s="26"/>
      <c r="L22" s="26"/>
    </row>
    <row r="23" spans="1:12" ht="14.25" customHeight="1" x14ac:dyDescent="0.25">
      <c r="A23" s="29" t="s">
        <v>85</v>
      </c>
      <c r="B23" s="30">
        <v>8800</v>
      </c>
      <c r="C23" s="84" t="s">
        <v>270</v>
      </c>
      <c r="D23" s="25"/>
      <c r="E23" s="25">
        <v>8800</v>
      </c>
      <c r="F23" s="29"/>
      <c r="G23" s="29"/>
      <c r="H23" s="25"/>
      <c r="I23" s="26"/>
      <c r="J23" s="26"/>
      <c r="K23" s="26"/>
      <c r="L23" s="26"/>
    </row>
    <row r="24" spans="1:12" ht="14.25" customHeight="1" x14ac:dyDescent="0.25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1:12" ht="14.25" customHeight="1" x14ac:dyDescent="0.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 t="s">
        <v>245</v>
      </c>
      <c r="L25" s="26">
        <f>SUM(L15:L22)</f>
        <v>22387</v>
      </c>
    </row>
    <row r="26" spans="1:12" ht="14.25" customHeight="1" x14ac:dyDescent="0.2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</row>
    <row r="27" spans="1:12" ht="14.25" customHeight="1" x14ac:dyDescent="0.2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 t="s">
        <v>271</v>
      </c>
      <c r="L27" s="26">
        <f>L13-L25</f>
        <v>23450</v>
      </c>
    </row>
  </sheetData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L27"/>
  <sheetViews>
    <sheetView workbookViewId="0"/>
  </sheetViews>
  <sheetFormatPr defaultColWidth="14.42578125" defaultRowHeight="15" customHeight="1" x14ac:dyDescent="0.25"/>
  <cols>
    <col min="1" max="1" width="14.5703125" customWidth="1"/>
    <col min="2" max="2" width="22.42578125" customWidth="1"/>
    <col min="3" max="3" width="31.42578125" customWidth="1"/>
    <col min="4" max="4" width="10.5703125" customWidth="1"/>
    <col min="5" max="5" width="9.85546875" customWidth="1"/>
    <col min="6" max="6" width="19.28515625" customWidth="1"/>
    <col min="7" max="7" width="10.7109375" customWidth="1"/>
    <col min="8" max="8" width="14.28515625" customWidth="1"/>
    <col min="9" max="10" width="9.140625" customWidth="1"/>
    <col min="11" max="11" width="19.7109375" customWidth="1"/>
    <col min="12" max="12" width="9.140625" customWidth="1"/>
  </cols>
  <sheetData>
    <row r="1" spans="1:12" ht="14.25" customHeight="1" x14ac:dyDescent="0.25">
      <c r="A1" s="49" t="s">
        <v>64</v>
      </c>
      <c r="B1" s="49" t="s">
        <v>80</v>
      </c>
      <c r="C1" s="49" t="s">
        <v>236</v>
      </c>
      <c r="D1" s="49" t="s">
        <v>66</v>
      </c>
      <c r="E1" s="71" t="s">
        <v>52</v>
      </c>
      <c r="F1" s="29" t="s">
        <v>81</v>
      </c>
      <c r="G1" s="21" t="s">
        <v>82</v>
      </c>
      <c r="H1" s="49" t="s">
        <v>128</v>
      </c>
      <c r="I1" s="26"/>
      <c r="J1" s="26"/>
      <c r="K1" s="26"/>
      <c r="L1" s="26"/>
    </row>
    <row r="2" spans="1:12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50" t="s">
        <v>131</v>
      </c>
      <c r="F2" s="29">
        <v>300</v>
      </c>
      <c r="G2" s="21">
        <f t="shared" ref="G2:G7" si="0">SUM(E2:F2)</f>
        <v>300</v>
      </c>
      <c r="H2" s="51"/>
      <c r="I2" s="26"/>
      <c r="J2" s="26"/>
      <c r="K2" s="26"/>
      <c r="L2" s="26"/>
    </row>
    <row r="3" spans="1:12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50" t="s">
        <v>131</v>
      </c>
      <c r="F3" s="29">
        <v>300</v>
      </c>
      <c r="G3" s="21">
        <f t="shared" si="0"/>
        <v>300</v>
      </c>
      <c r="H3" s="51"/>
      <c r="I3" s="26"/>
      <c r="J3" s="26"/>
      <c r="K3" s="26"/>
      <c r="L3" s="26"/>
    </row>
    <row r="4" spans="1:12" ht="14.25" customHeight="1" x14ac:dyDescent="0.25">
      <c r="A4" s="32" t="s">
        <v>68</v>
      </c>
      <c r="B4" s="30">
        <v>4.3</v>
      </c>
      <c r="C4" s="30">
        <v>8.75</v>
      </c>
      <c r="D4" s="29">
        <f t="shared" ref="D4:D19" si="1">(C4-B4)*1000</f>
        <v>4450</v>
      </c>
      <c r="E4" s="50">
        <f>ROUND(D4*D22,0)</f>
        <v>464</v>
      </c>
      <c r="F4" s="29">
        <v>1000</v>
      </c>
      <c r="G4" s="21">
        <f t="shared" si="0"/>
        <v>1464</v>
      </c>
      <c r="H4" s="51"/>
      <c r="I4" s="26"/>
      <c r="J4" s="26"/>
      <c r="K4" s="26"/>
      <c r="L4" s="26"/>
    </row>
    <row r="5" spans="1:12" ht="14.25" customHeight="1" x14ac:dyDescent="0.25">
      <c r="A5" s="32" t="s">
        <v>70</v>
      </c>
      <c r="B5" s="30">
        <v>92</v>
      </c>
      <c r="C5" s="30">
        <v>98.62</v>
      </c>
      <c r="D5" s="29">
        <f t="shared" si="1"/>
        <v>6620.0000000000045</v>
      </c>
      <c r="E5" s="50">
        <f>ROUND(D5*D22,0)</f>
        <v>691</v>
      </c>
      <c r="F5" s="29">
        <v>1000</v>
      </c>
      <c r="G5" s="21">
        <f t="shared" si="0"/>
        <v>1691</v>
      </c>
      <c r="H5" s="51"/>
      <c r="I5" s="26"/>
      <c r="J5" s="26"/>
      <c r="K5" s="26"/>
      <c r="L5" s="26"/>
    </row>
    <row r="6" spans="1:12" ht="14.25" customHeight="1" x14ac:dyDescent="0.25">
      <c r="A6" s="32" t="s">
        <v>16</v>
      </c>
      <c r="B6" s="29">
        <v>178.23</v>
      </c>
      <c r="C6" s="29">
        <v>185.55</v>
      </c>
      <c r="D6" s="29">
        <f t="shared" si="1"/>
        <v>7320.0000000000218</v>
      </c>
      <c r="E6" s="50">
        <f>ROUND(D6*D22,0)</f>
        <v>764</v>
      </c>
      <c r="F6" s="29">
        <v>1000</v>
      </c>
      <c r="G6" s="21">
        <f t="shared" si="0"/>
        <v>1764</v>
      </c>
      <c r="H6" s="51"/>
      <c r="I6" s="26"/>
      <c r="J6" s="26"/>
      <c r="K6" s="26"/>
      <c r="L6" s="26"/>
    </row>
    <row r="7" spans="1:12" ht="14.25" customHeight="1" x14ac:dyDescent="0.25">
      <c r="A7" s="32" t="s">
        <v>13</v>
      </c>
      <c r="B7" s="29">
        <v>156.13999999999999</v>
      </c>
      <c r="C7" s="29">
        <v>161.91999999999999</v>
      </c>
      <c r="D7" s="29">
        <f t="shared" si="1"/>
        <v>5780.0000000000009</v>
      </c>
      <c r="E7" s="50">
        <f>ROUND(D7*D22,0)</f>
        <v>603</v>
      </c>
      <c r="F7" s="29">
        <v>1000</v>
      </c>
      <c r="G7" s="21">
        <f t="shared" si="0"/>
        <v>1603</v>
      </c>
      <c r="H7" s="51"/>
      <c r="I7" s="26"/>
      <c r="J7" s="26"/>
      <c r="K7" s="63" t="s">
        <v>154</v>
      </c>
      <c r="L7" s="63" t="s">
        <v>134</v>
      </c>
    </row>
    <row r="8" spans="1:12" ht="14.25" customHeight="1" x14ac:dyDescent="0.25">
      <c r="A8" s="73">
        <v>101</v>
      </c>
      <c r="B8" s="29">
        <v>0.38</v>
      </c>
      <c r="C8" s="29">
        <v>0.38</v>
      </c>
      <c r="D8" s="29">
        <f t="shared" si="1"/>
        <v>0</v>
      </c>
      <c r="E8" s="50">
        <f>ROUND(D8*D22,0)</f>
        <v>0</v>
      </c>
      <c r="F8" s="29">
        <v>800</v>
      </c>
      <c r="G8" s="21">
        <v>800</v>
      </c>
      <c r="H8" s="51"/>
      <c r="I8" s="26"/>
      <c r="J8" s="26"/>
      <c r="K8" s="47"/>
      <c r="L8" s="26"/>
    </row>
    <row r="9" spans="1:12" ht="14.25" customHeight="1" x14ac:dyDescent="0.25">
      <c r="A9" s="32">
        <v>102</v>
      </c>
      <c r="B9" s="29">
        <v>265.82</v>
      </c>
      <c r="C9" s="29">
        <v>274.95</v>
      </c>
      <c r="D9" s="29">
        <f t="shared" si="1"/>
        <v>9129.9999999999964</v>
      </c>
      <c r="E9" s="50">
        <f>ROUND(D9*D22,0)</f>
        <v>953</v>
      </c>
      <c r="F9" s="29">
        <v>1000</v>
      </c>
      <c r="G9" s="21">
        <f t="shared" ref="G9:G20" si="2">SUM(E9:F9)</f>
        <v>1953</v>
      </c>
      <c r="H9" s="51"/>
      <c r="I9" s="26"/>
      <c r="J9" s="26"/>
      <c r="K9" s="26" t="s">
        <v>156</v>
      </c>
      <c r="L9" s="26">
        <f>SUM(H2:H19)</f>
        <v>0</v>
      </c>
    </row>
    <row r="10" spans="1:12" ht="14.25" customHeight="1" x14ac:dyDescent="0.25">
      <c r="A10" s="32">
        <v>103</v>
      </c>
      <c r="B10" s="29">
        <v>15.92</v>
      </c>
      <c r="C10" s="29">
        <v>17.829999999999998</v>
      </c>
      <c r="D10" s="29">
        <f t="shared" si="1"/>
        <v>1909.9999999999984</v>
      </c>
      <c r="E10" s="50">
        <f>ROUND(D10*D22,0)</f>
        <v>199</v>
      </c>
      <c r="F10" s="29">
        <v>1000</v>
      </c>
      <c r="G10" s="21">
        <f t="shared" si="2"/>
        <v>1199</v>
      </c>
      <c r="H10" s="51"/>
      <c r="I10" s="26"/>
      <c r="J10" s="26"/>
      <c r="K10" s="26"/>
      <c r="L10" s="26"/>
    </row>
    <row r="11" spans="1:12" ht="14.25" customHeight="1" x14ac:dyDescent="0.25">
      <c r="A11" s="32">
        <v>104</v>
      </c>
      <c r="B11" s="29">
        <v>164.78</v>
      </c>
      <c r="C11" s="29">
        <v>175.61</v>
      </c>
      <c r="D11" s="29">
        <f t="shared" si="1"/>
        <v>10830.000000000013</v>
      </c>
      <c r="E11" s="50">
        <f>ROUND(D11*D22,0)</f>
        <v>1130</v>
      </c>
      <c r="F11" s="29">
        <v>1000</v>
      </c>
      <c r="G11" s="21">
        <f t="shared" si="2"/>
        <v>2130</v>
      </c>
      <c r="H11" s="51"/>
      <c r="I11" s="26"/>
      <c r="J11" s="26"/>
      <c r="K11" s="66" t="s">
        <v>158</v>
      </c>
      <c r="L11" s="66" t="s">
        <v>237</v>
      </c>
    </row>
    <row r="12" spans="1:12" ht="14.25" customHeight="1" x14ac:dyDescent="0.25">
      <c r="A12" s="112">
        <v>201</v>
      </c>
      <c r="B12" s="29">
        <v>1.79</v>
      </c>
      <c r="C12" s="29">
        <v>1.79</v>
      </c>
      <c r="D12" s="29">
        <f t="shared" si="1"/>
        <v>0</v>
      </c>
      <c r="E12" s="50">
        <f>ROUND(D12*D22,0)</f>
        <v>0</v>
      </c>
      <c r="F12" s="29">
        <v>800</v>
      </c>
      <c r="G12" s="21">
        <f t="shared" si="2"/>
        <v>800</v>
      </c>
      <c r="H12" s="51"/>
      <c r="I12" s="26"/>
      <c r="J12" s="26"/>
      <c r="K12" s="26" t="s">
        <v>272</v>
      </c>
      <c r="L12" s="70">
        <v>23450</v>
      </c>
    </row>
    <row r="13" spans="1:12" ht="14.25" customHeight="1" x14ac:dyDescent="0.25">
      <c r="A13" s="32">
        <v>202</v>
      </c>
      <c r="B13" s="29">
        <v>173.14</v>
      </c>
      <c r="C13" s="29">
        <v>178.54</v>
      </c>
      <c r="D13" s="29">
        <f t="shared" si="1"/>
        <v>5400.0000000000055</v>
      </c>
      <c r="E13" s="50">
        <f>ROUND(D13*D22,0)</f>
        <v>563</v>
      </c>
      <c r="F13" s="29">
        <v>1000</v>
      </c>
      <c r="G13" s="21">
        <f t="shared" si="2"/>
        <v>1563</v>
      </c>
      <c r="H13" s="51"/>
      <c r="I13" s="26"/>
      <c r="J13" s="26"/>
      <c r="K13" s="55" t="s">
        <v>20</v>
      </c>
      <c r="L13" s="55">
        <f>SUM(L9:L12)</f>
        <v>23450</v>
      </c>
    </row>
    <row r="14" spans="1:12" ht="14.25" customHeight="1" x14ac:dyDescent="0.25">
      <c r="A14" s="32">
        <v>203</v>
      </c>
      <c r="B14" s="29">
        <v>160.84</v>
      </c>
      <c r="C14" s="29">
        <v>169.26</v>
      </c>
      <c r="D14" s="29">
        <f t="shared" si="1"/>
        <v>8419.9999999999873</v>
      </c>
      <c r="E14" s="50">
        <f>ROUND(D14*D22,0)</f>
        <v>878</v>
      </c>
      <c r="F14" s="29">
        <v>1000</v>
      </c>
      <c r="G14" s="21">
        <f t="shared" si="2"/>
        <v>1878</v>
      </c>
      <c r="H14" s="51"/>
      <c r="I14" s="26"/>
      <c r="J14" s="26"/>
      <c r="K14" s="68" t="s">
        <v>239</v>
      </c>
      <c r="L14" s="26"/>
    </row>
    <row r="15" spans="1:12" ht="14.25" customHeight="1" x14ac:dyDescent="0.25">
      <c r="A15" s="32">
        <v>204</v>
      </c>
      <c r="B15" s="29">
        <v>105.75</v>
      </c>
      <c r="C15" s="29">
        <v>111.5</v>
      </c>
      <c r="D15" s="29">
        <f t="shared" si="1"/>
        <v>5750</v>
      </c>
      <c r="E15" s="50">
        <f>ROUND(D15*D22,0)</f>
        <v>600</v>
      </c>
      <c r="F15" s="29">
        <v>1000</v>
      </c>
      <c r="G15" s="21">
        <f t="shared" si="2"/>
        <v>1600</v>
      </c>
      <c r="H15" s="51"/>
      <c r="I15" s="26"/>
      <c r="J15" s="26"/>
      <c r="K15" s="26" t="s">
        <v>161</v>
      </c>
      <c r="L15" s="26"/>
    </row>
    <row r="16" spans="1:12" ht="14.25" customHeight="1" x14ac:dyDescent="0.25">
      <c r="A16" s="73">
        <v>301</v>
      </c>
      <c r="B16" s="29">
        <v>0.56999999999999995</v>
      </c>
      <c r="C16" s="29">
        <v>0.56999999999999995</v>
      </c>
      <c r="D16" s="29">
        <f t="shared" si="1"/>
        <v>0</v>
      </c>
      <c r="E16" s="50">
        <f>ROUND(D16*D22,0)</f>
        <v>0</v>
      </c>
      <c r="F16" s="29">
        <v>800</v>
      </c>
      <c r="G16" s="21">
        <f t="shared" si="2"/>
        <v>800</v>
      </c>
      <c r="H16" s="51"/>
      <c r="I16" s="26"/>
      <c r="J16" s="26"/>
      <c r="K16" s="26" t="s">
        <v>208</v>
      </c>
      <c r="L16" s="26"/>
    </row>
    <row r="17" spans="1:12" ht="14.25" customHeight="1" x14ac:dyDescent="0.25">
      <c r="A17" s="73">
        <v>302</v>
      </c>
      <c r="B17" s="29">
        <v>0.71</v>
      </c>
      <c r="C17" s="29">
        <v>0.71</v>
      </c>
      <c r="D17" s="29">
        <f t="shared" si="1"/>
        <v>0</v>
      </c>
      <c r="E17" s="50">
        <f>ROUND(D17*D22,0)</f>
        <v>0</v>
      </c>
      <c r="F17" s="29">
        <v>800</v>
      </c>
      <c r="G17" s="21">
        <f t="shared" si="2"/>
        <v>800</v>
      </c>
      <c r="H17" s="51"/>
      <c r="I17" s="26"/>
      <c r="J17" s="26"/>
      <c r="K17" s="107" t="s">
        <v>217</v>
      </c>
      <c r="L17" s="26"/>
    </row>
    <row r="18" spans="1:12" ht="14.25" customHeight="1" x14ac:dyDescent="0.25">
      <c r="A18" s="32">
        <v>303</v>
      </c>
      <c r="B18" s="29">
        <v>423.98</v>
      </c>
      <c r="C18" s="29">
        <v>439.21</v>
      </c>
      <c r="D18" s="29">
        <f t="shared" si="1"/>
        <v>15229.999999999962</v>
      </c>
      <c r="E18" s="50">
        <f>ROUND(D18*D22,0)</f>
        <v>1589</v>
      </c>
      <c r="F18" s="29">
        <v>1000</v>
      </c>
      <c r="G18" s="21">
        <f t="shared" si="2"/>
        <v>2589</v>
      </c>
      <c r="H18" s="51"/>
      <c r="I18" s="26"/>
      <c r="J18" s="26"/>
      <c r="K18" s="26" t="s">
        <v>240</v>
      </c>
      <c r="L18" s="26"/>
    </row>
    <row r="19" spans="1:12" ht="14.25" customHeight="1" x14ac:dyDescent="0.25">
      <c r="A19" s="32">
        <v>304</v>
      </c>
      <c r="B19" s="30">
        <v>36.26</v>
      </c>
      <c r="C19" s="30">
        <v>43.6</v>
      </c>
      <c r="D19" s="29">
        <f t="shared" si="1"/>
        <v>7340.0000000000036</v>
      </c>
      <c r="E19" s="50">
        <f>ROUND(D19*D22,0)</f>
        <v>766</v>
      </c>
      <c r="F19" s="29">
        <v>1000</v>
      </c>
      <c r="G19" s="21">
        <f t="shared" si="2"/>
        <v>1766</v>
      </c>
      <c r="H19" s="110"/>
      <c r="I19" s="26"/>
      <c r="J19" s="26"/>
      <c r="K19" s="26" t="s">
        <v>261</v>
      </c>
      <c r="L19" s="26"/>
    </row>
    <row r="20" spans="1:12" ht="14.25" customHeight="1" x14ac:dyDescent="0.25">
      <c r="A20" s="29"/>
      <c r="B20" s="29"/>
      <c r="C20" s="29"/>
      <c r="D20" s="29"/>
      <c r="E20" s="80">
        <f>SUM(E4:E19)</f>
        <v>9200</v>
      </c>
      <c r="F20" s="49">
        <f>SUM(F2:F19)</f>
        <v>15800</v>
      </c>
      <c r="G20" s="21">
        <f t="shared" si="2"/>
        <v>25000</v>
      </c>
      <c r="H20" s="22">
        <f>SUM(H2:H19)</f>
        <v>0</v>
      </c>
      <c r="I20" s="26"/>
      <c r="J20" s="26"/>
      <c r="K20" s="26"/>
      <c r="L20" s="26"/>
    </row>
    <row r="21" spans="1:12" ht="14.25" customHeight="1" x14ac:dyDescent="0.25">
      <c r="A21" s="29"/>
      <c r="B21" s="29" t="s">
        <v>75</v>
      </c>
      <c r="C21" s="29"/>
      <c r="D21" s="30">
        <f>SUM(D4:D20)</f>
        <v>88179.999999999985</v>
      </c>
      <c r="E21" s="21"/>
      <c r="F21" s="29"/>
      <c r="G21" s="29"/>
      <c r="H21" s="25"/>
      <c r="I21" s="26"/>
      <c r="J21" s="26"/>
      <c r="K21" s="26"/>
      <c r="L21" s="26"/>
    </row>
    <row r="22" spans="1:12" ht="14.25" customHeight="1" x14ac:dyDescent="0.25">
      <c r="A22" s="29"/>
      <c r="B22" s="29" t="s">
        <v>243</v>
      </c>
      <c r="C22" s="29" t="s">
        <v>244</v>
      </c>
      <c r="D22" s="111">
        <f>B23/D21</f>
        <v>0.10433204808346566</v>
      </c>
      <c r="E22" s="21"/>
      <c r="F22" s="29"/>
      <c r="G22" s="21" t="s">
        <v>205</v>
      </c>
      <c r="H22" s="29">
        <v>58</v>
      </c>
      <c r="I22" s="26"/>
      <c r="J22" s="26"/>
      <c r="K22" s="26"/>
      <c r="L22" s="26"/>
    </row>
    <row r="23" spans="1:12" ht="14.25" customHeight="1" x14ac:dyDescent="0.25">
      <c r="A23" s="29" t="s">
        <v>85</v>
      </c>
      <c r="B23" s="30">
        <v>9200</v>
      </c>
      <c r="C23" s="84" t="s">
        <v>273</v>
      </c>
      <c r="D23" s="25"/>
      <c r="E23" s="25">
        <v>9200</v>
      </c>
      <c r="F23" s="29"/>
      <c r="G23" s="29"/>
      <c r="H23" s="25"/>
      <c r="I23" s="26"/>
      <c r="J23" s="26"/>
      <c r="K23" s="26"/>
      <c r="L23" s="26"/>
    </row>
    <row r="24" spans="1:12" ht="14.25" customHeight="1" x14ac:dyDescent="0.25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1:12" ht="14.25" customHeight="1" x14ac:dyDescent="0.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 t="s">
        <v>245</v>
      </c>
      <c r="L25" s="26">
        <f>SUM(L15:L22)</f>
        <v>0</v>
      </c>
    </row>
    <row r="26" spans="1:12" ht="14.25" customHeight="1" x14ac:dyDescent="0.2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</row>
    <row r="27" spans="1:12" ht="14.25" customHeight="1" x14ac:dyDescent="0.2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 t="s">
        <v>274</v>
      </c>
      <c r="L27" s="26">
        <f>L13-L25</f>
        <v>23450</v>
      </c>
    </row>
  </sheetData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29"/>
  <sheetViews>
    <sheetView workbookViewId="0"/>
  </sheetViews>
  <sheetFormatPr defaultColWidth="14.42578125" defaultRowHeight="15" customHeight="1" x14ac:dyDescent="0.25"/>
  <cols>
    <col min="1" max="1" width="14.5703125" customWidth="1"/>
    <col min="2" max="2" width="22.7109375" customWidth="1"/>
    <col min="3" max="3" width="34.5703125" customWidth="1"/>
    <col min="4" max="4" width="10.5703125" customWidth="1"/>
    <col min="5" max="5" width="9.85546875" customWidth="1"/>
    <col min="6" max="6" width="20.85546875" customWidth="1"/>
    <col min="7" max="7" width="11.7109375" customWidth="1"/>
    <col min="8" max="8" width="14.85546875" customWidth="1"/>
    <col min="9" max="9" width="26.5703125" customWidth="1"/>
    <col min="10" max="10" width="21.85546875" customWidth="1"/>
    <col min="11" max="11" width="23.140625" customWidth="1"/>
    <col min="12" max="12" width="8.7109375" customWidth="1"/>
  </cols>
  <sheetData>
    <row r="1" spans="1:12" ht="14.25" customHeight="1" x14ac:dyDescent="0.25">
      <c r="A1" s="49" t="s">
        <v>64</v>
      </c>
      <c r="B1" s="49" t="s">
        <v>80</v>
      </c>
      <c r="C1" s="49" t="s">
        <v>236</v>
      </c>
      <c r="D1" s="49" t="s">
        <v>66</v>
      </c>
      <c r="E1" s="113" t="s">
        <v>52</v>
      </c>
      <c r="F1" s="29" t="s">
        <v>81</v>
      </c>
      <c r="G1" s="29" t="s">
        <v>82</v>
      </c>
      <c r="H1" s="49" t="s">
        <v>128</v>
      </c>
      <c r="I1" s="114" t="s">
        <v>275</v>
      </c>
      <c r="L1" s="1">
        <v>24913</v>
      </c>
    </row>
    <row r="2" spans="1:12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 t="shared" ref="G2:G19" si="0">SUM(E2:F2)</f>
        <v>300</v>
      </c>
      <c r="H2" s="51">
        <v>300</v>
      </c>
      <c r="I2" s="114" t="s">
        <v>276</v>
      </c>
    </row>
    <row r="3" spans="1:12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f t="shared" si="0"/>
        <v>300</v>
      </c>
      <c r="H3" s="51">
        <v>300</v>
      </c>
      <c r="I3" s="114" t="s">
        <v>277</v>
      </c>
    </row>
    <row r="4" spans="1:12" ht="14.25" customHeight="1" x14ac:dyDescent="0.25">
      <c r="A4" s="32" t="s">
        <v>68</v>
      </c>
      <c r="B4" s="30">
        <v>8.75</v>
      </c>
      <c r="C4" s="30">
        <v>14.25</v>
      </c>
      <c r="D4" s="29">
        <f t="shared" ref="D4:D20" si="1">(C4-B4)*1000</f>
        <v>5500</v>
      </c>
      <c r="E4" s="64">
        <f>ROUND(D4*D23,0)</f>
        <v>404</v>
      </c>
      <c r="F4" s="29">
        <v>1000</v>
      </c>
      <c r="G4" s="29">
        <f t="shared" si="0"/>
        <v>1404</v>
      </c>
      <c r="H4" s="51">
        <v>1404</v>
      </c>
      <c r="I4" s="114" t="s">
        <v>278</v>
      </c>
    </row>
    <row r="5" spans="1:12" ht="14.25" customHeight="1" x14ac:dyDescent="0.25">
      <c r="A5" s="32" t="s">
        <v>70</v>
      </c>
      <c r="B5" s="30">
        <v>98.62</v>
      </c>
      <c r="C5" s="30">
        <v>105.49</v>
      </c>
      <c r="D5" s="29">
        <f t="shared" si="1"/>
        <v>6869.99999999999</v>
      </c>
      <c r="E5" s="64">
        <f>ROUND(D5*D23,0)</f>
        <v>504</v>
      </c>
      <c r="F5" s="29">
        <v>1000</v>
      </c>
      <c r="G5" s="29">
        <f t="shared" si="0"/>
        <v>1504</v>
      </c>
      <c r="H5" s="51">
        <v>1504</v>
      </c>
      <c r="I5" s="114" t="s">
        <v>279</v>
      </c>
    </row>
    <row r="6" spans="1:12" ht="14.25" customHeight="1" x14ac:dyDescent="0.25">
      <c r="A6" s="32" t="s">
        <v>16</v>
      </c>
      <c r="B6" s="29">
        <v>185.55</v>
      </c>
      <c r="C6" s="29">
        <v>194.82</v>
      </c>
      <c r="D6" s="29">
        <f t="shared" si="1"/>
        <v>9269.9999999999818</v>
      </c>
      <c r="E6" s="64">
        <f>ROUND(D6*D23,0)</f>
        <v>680</v>
      </c>
      <c r="F6" s="29">
        <v>1000</v>
      </c>
      <c r="G6" s="29">
        <f t="shared" si="0"/>
        <v>1680</v>
      </c>
      <c r="H6" s="51">
        <v>1680</v>
      </c>
      <c r="I6" s="114" t="s">
        <v>278</v>
      </c>
    </row>
    <row r="7" spans="1:12" ht="14.25" customHeight="1" x14ac:dyDescent="0.25">
      <c r="A7" s="32" t="s">
        <v>13</v>
      </c>
      <c r="B7" s="29">
        <v>161.91999999999999</v>
      </c>
      <c r="C7" s="29">
        <v>167.17</v>
      </c>
      <c r="D7" s="29">
        <f t="shared" si="1"/>
        <v>5250</v>
      </c>
      <c r="E7" s="64">
        <f>ROUND(D7*D23,0)</f>
        <v>385</v>
      </c>
      <c r="F7" s="29">
        <v>1000</v>
      </c>
      <c r="G7" s="29">
        <f t="shared" si="0"/>
        <v>1385</v>
      </c>
      <c r="H7" s="51">
        <v>1385</v>
      </c>
      <c r="I7" s="114" t="s">
        <v>278</v>
      </c>
      <c r="J7" s="49" t="s">
        <v>154</v>
      </c>
      <c r="K7" s="49" t="s">
        <v>134</v>
      </c>
    </row>
    <row r="8" spans="1:12" ht="14.25" customHeight="1" x14ac:dyDescent="0.25">
      <c r="A8" s="73">
        <v>101</v>
      </c>
      <c r="B8" s="29">
        <v>0.38</v>
      </c>
      <c r="C8" s="29">
        <v>0.38</v>
      </c>
      <c r="D8" s="29">
        <f t="shared" si="1"/>
        <v>0</v>
      </c>
      <c r="E8" s="64">
        <f>ROUND(D8*D23,0)</f>
        <v>0</v>
      </c>
      <c r="F8" s="64">
        <v>1000</v>
      </c>
      <c r="G8" s="29">
        <f t="shared" si="0"/>
        <v>1000</v>
      </c>
      <c r="H8" s="51">
        <v>1000</v>
      </c>
      <c r="I8" s="114" t="s">
        <v>280</v>
      </c>
      <c r="J8" s="115"/>
      <c r="K8" s="22"/>
    </row>
    <row r="9" spans="1:12" ht="14.25" customHeight="1" x14ac:dyDescent="0.25">
      <c r="A9" s="32">
        <v>102</v>
      </c>
      <c r="B9" s="29">
        <v>274.95</v>
      </c>
      <c r="C9" s="29">
        <v>286.02</v>
      </c>
      <c r="D9" s="29">
        <f t="shared" si="1"/>
        <v>11069.999999999993</v>
      </c>
      <c r="E9" s="64">
        <f>ROUND(D9*D23,0)</f>
        <v>813</v>
      </c>
      <c r="F9" s="29">
        <v>1000</v>
      </c>
      <c r="G9" s="29">
        <f t="shared" si="0"/>
        <v>1813</v>
      </c>
      <c r="H9" s="51">
        <v>1813</v>
      </c>
      <c r="I9" s="114" t="s">
        <v>278</v>
      </c>
      <c r="J9" s="22" t="s">
        <v>156</v>
      </c>
      <c r="K9" s="22"/>
    </row>
    <row r="10" spans="1:12" ht="14.25" customHeight="1" x14ac:dyDescent="0.25">
      <c r="A10" s="32">
        <v>103</v>
      </c>
      <c r="B10" s="29">
        <v>17.829999999999998</v>
      </c>
      <c r="C10" s="29">
        <v>23.39</v>
      </c>
      <c r="D10" s="29">
        <f t="shared" si="1"/>
        <v>5560.0000000000018</v>
      </c>
      <c r="E10" s="64">
        <f>ROUND(D10*D23,0)</f>
        <v>408</v>
      </c>
      <c r="F10" s="29">
        <v>1000</v>
      </c>
      <c r="G10" s="29">
        <f t="shared" si="0"/>
        <v>1408</v>
      </c>
      <c r="H10" s="51">
        <v>1408</v>
      </c>
      <c r="I10" s="114" t="s">
        <v>281</v>
      </c>
      <c r="J10" s="22"/>
      <c r="K10" s="22"/>
    </row>
    <row r="11" spans="1:12" ht="14.25" customHeight="1" x14ac:dyDescent="0.25">
      <c r="A11" s="32">
        <v>104</v>
      </c>
      <c r="B11" s="29">
        <v>175.61</v>
      </c>
      <c r="C11" s="29">
        <v>187.54</v>
      </c>
      <c r="D11" s="29">
        <f t="shared" si="1"/>
        <v>11929.999999999978</v>
      </c>
      <c r="E11" s="64">
        <f>ROUND(D11*D23,0)</f>
        <v>876</v>
      </c>
      <c r="F11" s="29">
        <v>1000</v>
      </c>
      <c r="G11" s="29">
        <f t="shared" si="0"/>
        <v>1876</v>
      </c>
      <c r="H11" s="51">
        <v>1876</v>
      </c>
      <c r="I11" s="114" t="s">
        <v>278</v>
      </c>
      <c r="J11" s="116" t="s">
        <v>158</v>
      </c>
      <c r="K11" s="116" t="s">
        <v>237</v>
      </c>
    </row>
    <row r="12" spans="1:12" ht="14.25" customHeight="1" x14ac:dyDescent="0.25">
      <c r="A12" s="112">
        <v>201</v>
      </c>
      <c r="B12" s="29">
        <v>1.79</v>
      </c>
      <c r="C12" s="29">
        <v>1.79</v>
      </c>
      <c r="D12" s="29">
        <f t="shared" si="1"/>
        <v>0</v>
      </c>
      <c r="E12" s="64">
        <f>ROUND(D12*D23,0)</f>
        <v>0</v>
      </c>
      <c r="F12" s="64">
        <v>1000</v>
      </c>
      <c r="G12" s="29">
        <f t="shared" si="0"/>
        <v>1000</v>
      </c>
      <c r="H12" s="51">
        <v>1000</v>
      </c>
      <c r="I12" s="114" t="s">
        <v>280</v>
      </c>
      <c r="J12" s="22" t="s">
        <v>282</v>
      </c>
      <c r="K12" s="31">
        <v>24372</v>
      </c>
    </row>
    <row r="13" spans="1:12" ht="14.25" customHeight="1" x14ac:dyDescent="0.25">
      <c r="A13" s="32">
        <v>202</v>
      </c>
      <c r="B13" s="29">
        <v>178.54</v>
      </c>
      <c r="C13" s="29">
        <v>183.71</v>
      </c>
      <c r="D13" s="29">
        <f t="shared" si="1"/>
        <v>5170.0000000000164</v>
      </c>
      <c r="E13" s="64">
        <f>ROUND(D13*D23,0)</f>
        <v>379</v>
      </c>
      <c r="F13" s="29">
        <v>1000</v>
      </c>
      <c r="G13" s="29">
        <f t="shared" si="0"/>
        <v>1379</v>
      </c>
      <c r="H13" s="51">
        <v>1379</v>
      </c>
      <c r="I13" s="114" t="s">
        <v>278</v>
      </c>
      <c r="J13" s="117" t="s">
        <v>20</v>
      </c>
      <c r="K13" s="117">
        <f>SUM(K9:K12)</f>
        <v>24372</v>
      </c>
    </row>
    <row r="14" spans="1:12" ht="14.25" customHeight="1" x14ac:dyDescent="0.25">
      <c r="A14" s="32">
        <v>203</v>
      </c>
      <c r="B14" s="29">
        <v>169.26</v>
      </c>
      <c r="C14" s="29">
        <v>180.26</v>
      </c>
      <c r="D14" s="29">
        <f t="shared" si="1"/>
        <v>11000</v>
      </c>
      <c r="E14" s="64">
        <f>ROUND(D14*D23,0)</f>
        <v>807</v>
      </c>
      <c r="F14" s="29">
        <v>1000</v>
      </c>
      <c r="G14" s="29">
        <f t="shared" si="0"/>
        <v>1807</v>
      </c>
      <c r="H14" s="51">
        <v>1807</v>
      </c>
      <c r="I14" s="114" t="s">
        <v>278</v>
      </c>
      <c r="J14" s="344" t="s">
        <v>239</v>
      </c>
      <c r="K14" s="337"/>
    </row>
    <row r="15" spans="1:12" ht="14.25" customHeight="1" x14ac:dyDescent="0.25">
      <c r="A15" s="32">
        <v>204</v>
      </c>
      <c r="B15" s="29">
        <v>111.5</v>
      </c>
      <c r="C15" s="29">
        <v>116.95</v>
      </c>
      <c r="D15" s="29">
        <f t="shared" si="1"/>
        <v>5450.0000000000027</v>
      </c>
      <c r="E15" s="64">
        <f>ROUND(D15*D23,0)</f>
        <v>400</v>
      </c>
      <c r="F15" s="29">
        <v>1000</v>
      </c>
      <c r="G15" s="29">
        <f t="shared" si="0"/>
        <v>1400</v>
      </c>
      <c r="H15" s="51">
        <v>1400</v>
      </c>
      <c r="I15" s="114" t="s">
        <v>283</v>
      </c>
      <c r="J15" s="114" t="s">
        <v>284</v>
      </c>
      <c r="K15" s="114">
        <v>100</v>
      </c>
    </row>
    <row r="16" spans="1:12" ht="14.25" customHeight="1" x14ac:dyDescent="0.25">
      <c r="A16" s="73">
        <v>301</v>
      </c>
      <c r="B16" s="29">
        <v>0.56999999999999995</v>
      </c>
      <c r="C16" s="29">
        <v>0.65</v>
      </c>
      <c r="D16" s="29">
        <f t="shared" si="1"/>
        <v>80.000000000000071</v>
      </c>
      <c r="E16" s="64">
        <f>ROUND(D16*D23,0)</f>
        <v>6</v>
      </c>
      <c r="F16" s="64">
        <v>1000</v>
      </c>
      <c r="G16" s="29">
        <f t="shared" si="0"/>
        <v>1006</v>
      </c>
      <c r="H16" s="51">
        <v>1000</v>
      </c>
      <c r="I16" s="114" t="s">
        <v>280</v>
      </c>
      <c r="J16" s="114" t="s">
        <v>285</v>
      </c>
      <c r="K16" s="114">
        <v>270</v>
      </c>
    </row>
    <row r="17" spans="1:11" ht="14.25" customHeight="1" x14ac:dyDescent="0.25">
      <c r="A17" s="73">
        <v>302</v>
      </c>
      <c r="B17" s="29">
        <v>0.71</v>
      </c>
      <c r="C17" s="29">
        <v>3.25</v>
      </c>
      <c r="D17" s="29">
        <f t="shared" si="1"/>
        <v>2540</v>
      </c>
      <c r="E17" s="64">
        <f>ROUND(D17*D23,0)</f>
        <v>186</v>
      </c>
      <c r="F17" s="29">
        <v>1000</v>
      </c>
      <c r="G17" s="29">
        <f t="shared" si="0"/>
        <v>1186</v>
      </c>
      <c r="H17" s="51">
        <v>1186</v>
      </c>
      <c r="I17" s="114" t="s">
        <v>278</v>
      </c>
      <c r="J17" s="22" t="s">
        <v>161</v>
      </c>
      <c r="K17" s="22">
        <v>5500</v>
      </c>
    </row>
    <row r="18" spans="1:11" ht="14.25" customHeight="1" x14ac:dyDescent="0.25">
      <c r="A18" s="32">
        <v>303</v>
      </c>
      <c r="B18" s="29">
        <v>439.21</v>
      </c>
      <c r="C18" s="29">
        <v>459.99</v>
      </c>
      <c r="D18" s="29">
        <f t="shared" si="1"/>
        <v>20780.000000000029</v>
      </c>
      <c r="E18" s="64">
        <f>ROUND(D18*D23,0)</f>
        <v>1525</v>
      </c>
      <c r="F18" s="29">
        <v>1000</v>
      </c>
      <c r="G18" s="29">
        <f t="shared" si="0"/>
        <v>2525</v>
      </c>
      <c r="H18" s="51">
        <v>2525</v>
      </c>
      <c r="I18" s="114" t="s">
        <v>278</v>
      </c>
      <c r="J18" s="22" t="s">
        <v>208</v>
      </c>
      <c r="K18" s="22">
        <v>2044</v>
      </c>
    </row>
    <row r="19" spans="1:11" ht="14.25" customHeight="1" x14ac:dyDescent="0.25">
      <c r="A19" s="32">
        <v>304</v>
      </c>
      <c r="B19" s="30">
        <v>43.6</v>
      </c>
      <c r="C19" s="30">
        <v>56.49</v>
      </c>
      <c r="D19" s="29">
        <f t="shared" si="1"/>
        <v>12890</v>
      </c>
      <c r="E19" s="64">
        <f t="shared" ref="E19:E20" si="2">ROUND(D19*D23,0)</f>
        <v>946</v>
      </c>
      <c r="F19" s="29">
        <v>1000</v>
      </c>
      <c r="G19" s="29">
        <f t="shared" si="0"/>
        <v>1946</v>
      </c>
      <c r="H19" s="51">
        <v>1946</v>
      </c>
      <c r="I19" s="114" t="s">
        <v>278</v>
      </c>
      <c r="J19" s="118" t="s">
        <v>286</v>
      </c>
      <c r="K19" s="22">
        <v>2409</v>
      </c>
    </row>
    <row r="20" spans="1:11" ht="14.25" customHeight="1" x14ac:dyDescent="0.25">
      <c r="A20" s="29" t="s">
        <v>287</v>
      </c>
      <c r="B20" s="29"/>
      <c r="C20" s="29">
        <v>9.25</v>
      </c>
      <c r="D20" s="29">
        <f t="shared" si="1"/>
        <v>9250</v>
      </c>
      <c r="E20" s="64">
        <f t="shared" si="2"/>
        <v>0</v>
      </c>
      <c r="F20" s="114"/>
      <c r="G20" s="29"/>
      <c r="H20" s="51">
        <v>0</v>
      </c>
      <c r="I20" s="114"/>
      <c r="J20" s="22" t="s">
        <v>240</v>
      </c>
      <c r="K20" s="22">
        <v>7000</v>
      </c>
    </row>
    <row r="21" spans="1:11" ht="14.25" customHeight="1" x14ac:dyDescent="0.25">
      <c r="A21" s="29"/>
      <c r="B21" s="29"/>
      <c r="C21" s="29"/>
      <c r="D21" s="29"/>
      <c r="E21" s="49">
        <f>SUM(E4:E19)</f>
        <v>8319</v>
      </c>
      <c r="F21" s="49">
        <f t="shared" ref="F21:G21" si="3">SUM(F2:F19)</f>
        <v>16600</v>
      </c>
      <c r="G21" s="49">
        <f t="shared" si="3"/>
        <v>24919</v>
      </c>
      <c r="H21" s="29">
        <f>SUM(H2:H20)</f>
        <v>24913</v>
      </c>
      <c r="I21" s="114"/>
      <c r="J21" s="22" t="s">
        <v>261</v>
      </c>
      <c r="K21" s="22">
        <v>0</v>
      </c>
    </row>
    <row r="22" spans="1:11" ht="14.25" customHeight="1" x14ac:dyDescent="0.25">
      <c r="A22" s="29"/>
      <c r="B22" s="29" t="s">
        <v>75</v>
      </c>
      <c r="C22" s="29"/>
      <c r="D22" s="30">
        <f>SUM(D4:D20)</f>
        <v>122609.99999999999</v>
      </c>
      <c r="E22" s="29"/>
      <c r="F22" s="29"/>
      <c r="G22" s="29"/>
      <c r="H22" s="29"/>
      <c r="I22" s="114"/>
      <c r="J22" s="22" t="s">
        <v>288</v>
      </c>
      <c r="K22" s="22">
        <v>350</v>
      </c>
    </row>
    <row r="23" spans="1:11" ht="14.25" customHeight="1" x14ac:dyDescent="0.25">
      <c r="A23" s="29"/>
      <c r="B23" s="29" t="s">
        <v>243</v>
      </c>
      <c r="C23" s="29" t="s">
        <v>244</v>
      </c>
      <c r="D23" s="111">
        <f>B24/D22</f>
        <v>7.3403474431123078E-2</v>
      </c>
      <c r="E23" s="29"/>
      <c r="F23" s="29"/>
      <c r="G23" s="29"/>
      <c r="H23" s="29"/>
      <c r="I23" s="114"/>
      <c r="J23" s="22" t="s">
        <v>289</v>
      </c>
      <c r="K23" s="22">
        <v>400</v>
      </c>
    </row>
    <row r="24" spans="1:11" ht="14.25" customHeight="1" x14ac:dyDescent="0.25">
      <c r="A24" s="29" t="s">
        <v>85</v>
      </c>
      <c r="B24" s="30">
        <v>9000</v>
      </c>
      <c r="C24" s="119" t="s">
        <v>273</v>
      </c>
      <c r="D24" s="29"/>
      <c r="E24" s="29">
        <v>9000</v>
      </c>
      <c r="F24" s="29"/>
      <c r="G24" s="29"/>
      <c r="H24" s="29"/>
      <c r="I24" s="114"/>
      <c r="J24" s="22" t="s">
        <v>20</v>
      </c>
      <c r="K24" s="114">
        <f>SUM(K15:K23)</f>
        <v>18073</v>
      </c>
    </row>
    <row r="25" spans="1:11" ht="14.25" customHeight="1" x14ac:dyDescent="0.25"/>
    <row r="26" spans="1:11" ht="14.25" customHeight="1" x14ac:dyDescent="0.25">
      <c r="J26" s="26" t="s">
        <v>290</v>
      </c>
      <c r="K26" s="1">
        <f>K13-K24</f>
        <v>6299</v>
      </c>
    </row>
    <row r="27" spans="1:11" ht="14.25" customHeight="1" x14ac:dyDescent="0.25"/>
    <row r="28" spans="1:11" ht="14.25" customHeight="1" x14ac:dyDescent="0.25"/>
    <row r="29" spans="1:11" ht="14.25" customHeight="1" x14ac:dyDescent="0.25">
      <c r="F29" s="1" t="s">
        <v>291</v>
      </c>
    </row>
  </sheetData>
  <mergeCells count="1">
    <mergeCell ref="J14:K14"/>
  </mergeCells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L24"/>
  <sheetViews>
    <sheetView workbookViewId="0"/>
  </sheetViews>
  <sheetFormatPr defaultColWidth="14.42578125" defaultRowHeight="15" customHeight="1" x14ac:dyDescent="0.25"/>
  <cols>
    <col min="1" max="1" width="14.85546875" customWidth="1"/>
    <col min="2" max="2" width="22.7109375" customWidth="1"/>
    <col min="3" max="3" width="34.5703125" customWidth="1"/>
    <col min="4" max="4" width="10.5703125" customWidth="1"/>
    <col min="5" max="5" width="9.85546875" customWidth="1"/>
    <col min="6" max="6" width="20.85546875" customWidth="1"/>
    <col min="7" max="7" width="12.42578125" customWidth="1"/>
    <col min="8" max="8" width="14.85546875" customWidth="1"/>
    <col min="9" max="9" width="13.5703125" customWidth="1"/>
    <col min="10" max="10" width="26.7109375" customWidth="1"/>
    <col min="11" max="11" width="6.7109375" customWidth="1"/>
    <col min="12" max="12" width="8.85546875" customWidth="1"/>
  </cols>
  <sheetData>
    <row r="1" spans="1:12" ht="14.25" customHeight="1" x14ac:dyDescent="0.25">
      <c r="A1" s="49" t="s">
        <v>64</v>
      </c>
      <c r="B1" s="49" t="s">
        <v>80</v>
      </c>
      <c r="C1" s="49" t="s">
        <v>236</v>
      </c>
      <c r="D1" s="49" t="s">
        <v>66</v>
      </c>
      <c r="E1" s="113" t="s">
        <v>52</v>
      </c>
      <c r="F1" s="29" t="s">
        <v>81</v>
      </c>
      <c r="G1" s="29" t="s">
        <v>82</v>
      </c>
      <c r="H1" s="49" t="s">
        <v>128</v>
      </c>
      <c r="I1" s="114" t="s">
        <v>275</v>
      </c>
      <c r="J1" s="114" t="s">
        <v>292</v>
      </c>
      <c r="K1" s="114">
        <v>31212</v>
      </c>
      <c r="L1" s="114"/>
    </row>
    <row r="2" spans="1:12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 t="shared" ref="G2:G20" si="0">SUM(E2:F2)</f>
        <v>300</v>
      </c>
      <c r="H2" s="120">
        <v>44842</v>
      </c>
      <c r="I2" s="114"/>
      <c r="J2" s="114"/>
      <c r="K2" s="114"/>
      <c r="L2" s="114"/>
    </row>
    <row r="3" spans="1:12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f t="shared" si="0"/>
        <v>300</v>
      </c>
      <c r="H3" s="120">
        <v>44844</v>
      </c>
      <c r="I3" s="114"/>
      <c r="J3" s="114"/>
      <c r="K3" s="114"/>
      <c r="L3" s="114"/>
    </row>
    <row r="4" spans="1:12" ht="14.25" customHeight="1" x14ac:dyDescent="0.25">
      <c r="A4" s="32" t="s">
        <v>68</v>
      </c>
      <c r="B4" s="30">
        <v>14.25</v>
      </c>
      <c r="C4" s="30">
        <v>19.7</v>
      </c>
      <c r="D4" s="29">
        <f t="shared" ref="D4:D20" si="1">(C4-B4)*1000</f>
        <v>5449.9999999999991</v>
      </c>
      <c r="E4" s="64">
        <f>ROUND(D4*D23,0)</f>
        <v>372</v>
      </c>
      <c r="F4" s="29">
        <v>1000</v>
      </c>
      <c r="G4" s="29">
        <f t="shared" si="0"/>
        <v>1372</v>
      </c>
      <c r="H4" s="120">
        <v>44842</v>
      </c>
      <c r="I4" s="114"/>
      <c r="J4" s="114"/>
      <c r="K4" s="114"/>
      <c r="L4" s="114"/>
    </row>
    <row r="5" spans="1:12" ht="14.25" customHeight="1" x14ac:dyDescent="0.25">
      <c r="A5" s="32" t="s">
        <v>70</v>
      </c>
      <c r="B5" s="30">
        <v>105.49</v>
      </c>
      <c r="C5" s="30">
        <v>110.42</v>
      </c>
      <c r="D5" s="29">
        <f t="shared" si="1"/>
        <v>4930.0000000000073</v>
      </c>
      <c r="E5" s="64">
        <f>ROUND(D5*D23,0)</f>
        <v>336</v>
      </c>
      <c r="F5" s="29">
        <v>1000</v>
      </c>
      <c r="G5" s="29">
        <f t="shared" si="0"/>
        <v>1336</v>
      </c>
      <c r="H5" s="120">
        <v>44844</v>
      </c>
      <c r="I5" s="114"/>
      <c r="J5" s="114"/>
      <c r="K5" s="114"/>
      <c r="L5" s="114"/>
    </row>
    <row r="6" spans="1:12" ht="14.25" customHeight="1" x14ac:dyDescent="0.25">
      <c r="A6" s="32" t="s">
        <v>16</v>
      </c>
      <c r="B6" s="29">
        <v>194.82</v>
      </c>
      <c r="C6" s="29">
        <v>204.06</v>
      </c>
      <c r="D6" s="29">
        <f t="shared" si="1"/>
        <v>9240.0000000000091</v>
      </c>
      <c r="E6" s="64">
        <f>ROUND(D6*D23,0)</f>
        <v>630</v>
      </c>
      <c r="F6" s="29">
        <v>1000</v>
      </c>
      <c r="G6" s="29">
        <f t="shared" si="0"/>
        <v>1630</v>
      </c>
      <c r="H6" s="120">
        <v>44842</v>
      </c>
      <c r="I6" s="114"/>
      <c r="J6" s="114"/>
      <c r="K6" s="114"/>
      <c r="L6" s="114"/>
    </row>
    <row r="7" spans="1:12" ht="14.25" customHeight="1" x14ac:dyDescent="0.25">
      <c r="A7" s="32" t="s">
        <v>13</v>
      </c>
      <c r="B7" s="29">
        <v>167.17</v>
      </c>
      <c r="C7" s="29">
        <v>174.52</v>
      </c>
      <c r="D7" s="29">
        <f t="shared" si="1"/>
        <v>7350.0000000000227</v>
      </c>
      <c r="E7" s="64">
        <f>ROUND(D7*D23,0)</f>
        <v>501</v>
      </c>
      <c r="F7" s="29">
        <v>1000</v>
      </c>
      <c r="G7" s="29">
        <f t="shared" si="0"/>
        <v>1501</v>
      </c>
      <c r="H7" s="120">
        <v>44843</v>
      </c>
      <c r="I7" s="114"/>
      <c r="J7" s="114"/>
      <c r="K7" s="114"/>
      <c r="L7" s="114"/>
    </row>
    <row r="8" spans="1:12" ht="14.25" customHeight="1" x14ac:dyDescent="0.25">
      <c r="A8" s="73">
        <v>101</v>
      </c>
      <c r="B8" s="29">
        <v>0.38</v>
      </c>
      <c r="C8" s="29">
        <v>0.38</v>
      </c>
      <c r="D8" s="29">
        <f t="shared" si="1"/>
        <v>0</v>
      </c>
      <c r="E8" s="64">
        <f>ROUND(D8*D23,0)</f>
        <v>0</v>
      </c>
      <c r="F8" s="64">
        <v>1000</v>
      </c>
      <c r="G8" s="29">
        <f t="shared" si="0"/>
        <v>1000</v>
      </c>
      <c r="H8" s="120">
        <v>44871</v>
      </c>
      <c r="I8" s="114"/>
      <c r="J8" s="114"/>
      <c r="K8" s="114"/>
      <c r="L8" s="114"/>
    </row>
    <row r="9" spans="1:12" ht="14.25" customHeight="1" x14ac:dyDescent="0.25">
      <c r="A9" s="32">
        <v>102</v>
      </c>
      <c r="B9" s="29">
        <v>286.02</v>
      </c>
      <c r="C9" s="29">
        <v>306.32</v>
      </c>
      <c r="D9" s="29">
        <f t="shared" si="1"/>
        <v>20300.000000000011</v>
      </c>
      <c r="E9" s="64">
        <f>ROUND(D9*D23,0)</f>
        <v>1384</v>
      </c>
      <c r="F9" s="29">
        <v>1000</v>
      </c>
      <c r="G9" s="29">
        <f t="shared" si="0"/>
        <v>2384</v>
      </c>
      <c r="H9" s="120">
        <v>44842</v>
      </c>
      <c r="I9" s="114"/>
      <c r="J9" s="114"/>
      <c r="K9" s="114"/>
      <c r="L9" s="114"/>
    </row>
    <row r="10" spans="1:12" ht="14.25" customHeight="1" x14ac:dyDescent="0.25">
      <c r="A10" s="32">
        <v>103</v>
      </c>
      <c r="B10" s="29">
        <v>23.39</v>
      </c>
      <c r="C10" s="29">
        <v>25.74</v>
      </c>
      <c r="D10" s="29">
        <f t="shared" si="1"/>
        <v>2349.9999999999977</v>
      </c>
      <c r="E10" s="64">
        <f>ROUND(D10*D23,0)</f>
        <v>160</v>
      </c>
      <c r="F10" s="29">
        <v>1000</v>
      </c>
      <c r="G10" s="29">
        <f t="shared" si="0"/>
        <v>1160</v>
      </c>
      <c r="H10" s="120">
        <v>44844</v>
      </c>
      <c r="I10" s="114"/>
      <c r="J10" s="344" t="s">
        <v>239</v>
      </c>
      <c r="K10" s="337"/>
      <c r="L10" s="114"/>
    </row>
    <row r="11" spans="1:12" ht="14.25" customHeight="1" x14ac:dyDescent="0.25">
      <c r="A11" s="32">
        <v>104</v>
      </c>
      <c r="B11" s="29">
        <v>187.54</v>
      </c>
      <c r="C11" s="29">
        <v>200.34</v>
      </c>
      <c r="D11" s="29">
        <f t="shared" si="1"/>
        <v>12800.000000000011</v>
      </c>
      <c r="E11" s="64">
        <f>ROUND(D11*D23,0)</f>
        <v>873</v>
      </c>
      <c r="F11" s="29">
        <v>1000</v>
      </c>
      <c r="G11" s="29">
        <f t="shared" si="0"/>
        <v>1873</v>
      </c>
      <c r="H11" s="120">
        <v>44842</v>
      </c>
      <c r="I11" s="114"/>
      <c r="J11" s="121" t="s">
        <v>293</v>
      </c>
      <c r="K11" s="114">
        <v>7500</v>
      </c>
      <c r="L11" s="114" t="s">
        <v>280</v>
      </c>
    </row>
    <row r="12" spans="1:12" ht="14.25" customHeight="1" x14ac:dyDescent="0.25">
      <c r="A12" s="112">
        <v>201</v>
      </c>
      <c r="B12" s="29">
        <v>1.79</v>
      </c>
      <c r="C12" s="29">
        <v>1.8</v>
      </c>
      <c r="D12" s="29">
        <f t="shared" si="1"/>
        <v>10.000000000000009</v>
      </c>
      <c r="E12" s="64">
        <f>ROUND(D12*D23,0)</f>
        <v>1</v>
      </c>
      <c r="F12" s="64">
        <v>1000</v>
      </c>
      <c r="G12" s="29">
        <f t="shared" si="0"/>
        <v>1001</v>
      </c>
      <c r="H12" s="120">
        <v>44871</v>
      </c>
      <c r="I12" s="114"/>
      <c r="J12" s="114" t="s">
        <v>294</v>
      </c>
      <c r="K12" s="114">
        <v>10000</v>
      </c>
      <c r="L12" s="114" t="s">
        <v>295</v>
      </c>
    </row>
    <row r="13" spans="1:12" ht="14.25" customHeight="1" x14ac:dyDescent="0.25">
      <c r="A13" s="32">
        <v>202</v>
      </c>
      <c r="B13" s="29">
        <v>183.71</v>
      </c>
      <c r="C13" s="29">
        <v>189.31</v>
      </c>
      <c r="D13" s="29">
        <f t="shared" si="1"/>
        <v>5599.9999999999945</v>
      </c>
      <c r="E13" s="64">
        <f>ROUND(D13*D23,0)</f>
        <v>382</v>
      </c>
      <c r="F13" s="29">
        <v>1000</v>
      </c>
      <c r="G13" s="29">
        <f t="shared" si="0"/>
        <v>1382</v>
      </c>
      <c r="H13" s="120">
        <v>44842</v>
      </c>
      <c r="I13" s="114"/>
      <c r="J13" s="114" t="s">
        <v>296</v>
      </c>
      <c r="K13" s="114">
        <v>400</v>
      </c>
      <c r="L13" s="114" t="s">
        <v>297</v>
      </c>
    </row>
    <row r="14" spans="1:12" ht="14.25" customHeight="1" x14ac:dyDescent="0.25">
      <c r="A14" s="32">
        <v>203</v>
      </c>
      <c r="B14" s="29">
        <v>180.26</v>
      </c>
      <c r="C14" s="29">
        <v>193.71</v>
      </c>
      <c r="D14" s="29">
        <f t="shared" si="1"/>
        <v>13450.000000000016</v>
      </c>
      <c r="E14" s="64">
        <f>ROUND(D14*D23,0)</f>
        <v>917</v>
      </c>
      <c r="F14" s="29">
        <v>1000</v>
      </c>
      <c r="G14" s="29">
        <f t="shared" si="0"/>
        <v>1917</v>
      </c>
      <c r="H14" s="120">
        <v>44842</v>
      </c>
      <c r="I14" s="114"/>
      <c r="J14" s="114" t="s">
        <v>176</v>
      </c>
      <c r="K14" s="114">
        <v>110</v>
      </c>
      <c r="L14" s="122" t="s">
        <v>298</v>
      </c>
    </row>
    <row r="15" spans="1:12" ht="14.25" customHeight="1" x14ac:dyDescent="0.25">
      <c r="A15" s="32">
        <v>204</v>
      </c>
      <c r="B15" s="29">
        <v>116.95</v>
      </c>
      <c r="C15" s="29">
        <v>124.03</v>
      </c>
      <c r="D15" s="29">
        <f t="shared" si="1"/>
        <v>7079.9999999999982</v>
      </c>
      <c r="E15" s="64">
        <f>ROUND(D15*D23,0)</f>
        <v>483</v>
      </c>
      <c r="F15" s="29">
        <v>1000</v>
      </c>
      <c r="G15" s="29">
        <f t="shared" si="0"/>
        <v>1483</v>
      </c>
      <c r="H15" s="120">
        <v>44843</v>
      </c>
      <c r="I15" s="114"/>
      <c r="J15" s="114" t="s">
        <v>299</v>
      </c>
      <c r="K15" s="114">
        <v>2084</v>
      </c>
      <c r="L15" s="114" t="s">
        <v>300</v>
      </c>
    </row>
    <row r="16" spans="1:12" ht="14.25" customHeight="1" x14ac:dyDescent="0.25">
      <c r="A16" s="73">
        <v>301</v>
      </c>
      <c r="B16" s="29">
        <v>0.65</v>
      </c>
      <c r="C16" s="29">
        <v>0.74</v>
      </c>
      <c r="D16" s="29">
        <f t="shared" si="1"/>
        <v>89.999999999999972</v>
      </c>
      <c r="E16" s="64">
        <f>ROUND(D16*D23,0)</f>
        <v>6</v>
      </c>
      <c r="F16" s="64">
        <v>1000</v>
      </c>
      <c r="G16" s="29">
        <f t="shared" si="0"/>
        <v>1006</v>
      </c>
      <c r="H16" s="120">
        <v>44871</v>
      </c>
      <c r="I16" s="114"/>
      <c r="J16" s="114" t="s">
        <v>301</v>
      </c>
      <c r="K16" s="114">
        <v>2733</v>
      </c>
      <c r="L16" s="114" t="s">
        <v>302</v>
      </c>
    </row>
    <row r="17" spans="1:12" ht="14.25" customHeight="1" x14ac:dyDescent="0.25">
      <c r="A17" s="73">
        <v>302</v>
      </c>
      <c r="B17" s="29">
        <v>3.25</v>
      </c>
      <c r="C17" s="29">
        <v>11</v>
      </c>
      <c r="D17" s="29">
        <f t="shared" si="1"/>
        <v>7750</v>
      </c>
      <c r="E17" s="64">
        <f>ROUND(D17*D23,0)</f>
        <v>528</v>
      </c>
      <c r="F17" s="29">
        <v>1000</v>
      </c>
      <c r="G17" s="29">
        <f t="shared" si="0"/>
        <v>1528</v>
      </c>
      <c r="H17" s="120">
        <v>44846</v>
      </c>
      <c r="I17" s="114"/>
      <c r="J17" s="114" t="s">
        <v>303</v>
      </c>
      <c r="K17" s="114">
        <v>300</v>
      </c>
      <c r="L17" s="114" t="s">
        <v>304</v>
      </c>
    </row>
    <row r="18" spans="1:12" ht="14.25" customHeight="1" x14ac:dyDescent="0.25">
      <c r="A18" s="32">
        <v>303</v>
      </c>
      <c r="B18" s="29">
        <v>459.99</v>
      </c>
      <c r="C18" s="29">
        <v>483.33</v>
      </c>
      <c r="D18" s="29">
        <f t="shared" si="1"/>
        <v>23339.999999999975</v>
      </c>
      <c r="E18" s="64">
        <f>ROUND(D18*D23,0)</f>
        <v>1591</v>
      </c>
      <c r="F18" s="29">
        <v>1000</v>
      </c>
      <c r="G18" s="29">
        <f t="shared" si="0"/>
        <v>2591</v>
      </c>
      <c r="H18" s="120">
        <v>44847</v>
      </c>
      <c r="I18" s="114"/>
      <c r="J18" s="114" t="s">
        <v>227</v>
      </c>
      <c r="K18" s="114">
        <v>188</v>
      </c>
      <c r="L18" s="114" t="s">
        <v>304</v>
      </c>
    </row>
    <row r="19" spans="1:12" ht="14.25" customHeight="1" x14ac:dyDescent="0.25">
      <c r="A19" s="32">
        <v>304</v>
      </c>
      <c r="B19" s="30">
        <v>56.49</v>
      </c>
      <c r="C19" s="30">
        <v>68.73</v>
      </c>
      <c r="D19" s="29">
        <f t="shared" si="1"/>
        <v>12240.000000000002</v>
      </c>
      <c r="E19" s="64">
        <f>ROUND(D19*D23,0)</f>
        <v>835</v>
      </c>
      <c r="F19" s="29">
        <v>1000</v>
      </c>
      <c r="G19" s="29">
        <f t="shared" si="0"/>
        <v>1835</v>
      </c>
      <c r="H19" s="120">
        <v>44842</v>
      </c>
      <c r="I19" s="114"/>
      <c r="J19" s="114" t="s">
        <v>305</v>
      </c>
      <c r="K19" s="114">
        <v>289</v>
      </c>
      <c r="L19" s="114" t="s">
        <v>304</v>
      </c>
    </row>
    <row r="20" spans="1:12" ht="14.25" customHeight="1" x14ac:dyDescent="0.25">
      <c r="A20" s="29" t="s">
        <v>287</v>
      </c>
      <c r="B20" s="29">
        <v>9.25</v>
      </c>
      <c r="C20" s="29">
        <v>23.928000000000001</v>
      </c>
      <c r="D20" s="29">
        <f t="shared" si="1"/>
        <v>14678</v>
      </c>
      <c r="E20" s="64">
        <v>0</v>
      </c>
      <c r="F20" s="123">
        <v>0</v>
      </c>
      <c r="G20" s="29">
        <f t="shared" si="0"/>
        <v>0</v>
      </c>
      <c r="H20" s="51"/>
      <c r="I20" s="114"/>
      <c r="J20" s="122" t="s">
        <v>306</v>
      </c>
      <c r="K20" s="122">
        <v>2000</v>
      </c>
      <c r="L20" s="114" t="s">
        <v>307</v>
      </c>
    </row>
    <row r="21" spans="1:12" ht="14.25" customHeight="1" x14ac:dyDescent="0.25">
      <c r="A21" s="29"/>
      <c r="B21" s="29"/>
      <c r="C21" s="29"/>
      <c r="D21" s="29"/>
      <c r="E21" s="49"/>
      <c r="F21" s="49">
        <f>SUM(F2:F20)</f>
        <v>16600</v>
      </c>
      <c r="G21" s="49"/>
      <c r="H21" s="29"/>
      <c r="I21" s="114"/>
      <c r="J21" s="114"/>
      <c r="K21" s="114"/>
      <c r="L21" s="114"/>
    </row>
    <row r="22" spans="1:12" ht="14.25" customHeight="1" x14ac:dyDescent="0.25">
      <c r="A22" s="29"/>
      <c r="B22" s="29" t="s">
        <v>75</v>
      </c>
      <c r="C22" s="29"/>
      <c r="D22" s="30">
        <f>SUM(D4:D20)</f>
        <v>146658.00000000006</v>
      </c>
      <c r="E22" s="29"/>
      <c r="F22" s="29"/>
      <c r="G22" s="29"/>
      <c r="H22" s="29"/>
      <c r="I22" s="114"/>
      <c r="J22" s="114"/>
      <c r="K22" s="114"/>
      <c r="L22" s="114"/>
    </row>
    <row r="23" spans="1:12" ht="14.25" customHeight="1" x14ac:dyDescent="0.25">
      <c r="A23" s="29"/>
      <c r="B23" s="29" t="s">
        <v>243</v>
      </c>
      <c r="C23" s="29" t="s">
        <v>244</v>
      </c>
      <c r="D23" s="111">
        <f>B24/D22</f>
        <v>6.8185847345524936E-2</v>
      </c>
      <c r="E23" s="29"/>
      <c r="F23" s="29"/>
      <c r="G23" s="29" t="s">
        <v>205</v>
      </c>
      <c r="H23" s="29">
        <v>31207</v>
      </c>
      <c r="I23" s="114"/>
      <c r="J23" s="114"/>
      <c r="K23" s="114"/>
      <c r="L23" s="114"/>
    </row>
    <row r="24" spans="1:12" ht="14.25" customHeight="1" x14ac:dyDescent="0.25">
      <c r="A24" s="29" t="s">
        <v>85</v>
      </c>
      <c r="B24" s="30">
        <v>10000</v>
      </c>
      <c r="C24" s="119" t="s">
        <v>308</v>
      </c>
      <c r="D24" s="29"/>
      <c r="E24" s="29">
        <v>10000</v>
      </c>
      <c r="F24" s="29"/>
      <c r="G24" s="29"/>
      <c r="H24" s="29"/>
      <c r="I24" s="114"/>
      <c r="J24" s="114"/>
      <c r="K24" s="114"/>
      <c r="L24" s="114"/>
    </row>
  </sheetData>
  <mergeCells count="1">
    <mergeCell ref="J10:K10"/>
  </mergeCells>
  <pageMargins left="0.7" right="0.7" top="0.75" bottom="0.75" header="0" footer="0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M24"/>
  <sheetViews>
    <sheetView workbookViewId="0"/>
  </sheetViews>
  <sheetFormatPr defaultColWidth="14.42578125" defaultRowHeight="15" customHeight="1" x14ac:dyDescent="0.25"/>
  <cols>
    <col min="1" max="1" width="14.5703125" customWidth="1"/>
    <col min="2" max="2" width="22.7109375" customWidth="1"/>
    <col min="3" max="3" width="34.5703125" customWidth="1"/>
    <col min="4" max="4" width="10.5703125" customWidth="1"/>
    <col min="5" max="5" width="9.85546875" customWidth="1"/>
    <col min="6" max="6" width="20.85546875" customWidth="1"/>
    <col min="7" max="7" width="12.42578125" customWidth="1"/>
    <col min="8" max="8" width="14.85546875" customWidth="1"/>
    <col min="9" max="9" width="54.5703125" customWidth="1"/>
    <col min="10" max="10" width="23.85546875" customWidth="1"/>
    <col min="11" max="11" width="8.7109375" customWidth="1"/>
    <col min="12" max="12" width="15.42578125" customWidth="1"/>
    <col min="13" max="13" width="23.42578125" customWidth="1"/>
  </cols>
  <sheetData>
    <row r="1" spans="1:12" ht="14.25" customHeight="1" x14ac:dyDescent="0.25">
      <c r="A1" s="49" t="s">
        <v>64</v>
      </c>
      <c r="B1" s="49" t="s">
        <v>80</v>
      </c>
      <c r="C1" s="49" t="s">
        <v>236</v>
      </c>
      <c r="D1" s="49" t="s">
        <v>66</v>
      </c>
      <c r="E1" s="113" t="s">
        <v>52</v>
      </c>
      <c r="F1" s="29" t="s">
        <v>81</v>
      </c>
      <c r="G1" s="29" t="s">
        <v>82</v>
      </c>
      <c r="H1" s="49" t="s">
        <v>128</v>
      </c>
      <c r="I1" s="114" t="s">
        <v>309</v>
      </c>
      <c r="J1" s="114" t="s">
        <v>310</v>
      </c>
      <c r="K1" s="114">
        <v>31207</v>
      </c>
      <c r="L1" s="114"/>
    </row>
    <row r="2" spans="1:12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 t="shared" ref="G2:G20" si="0">SUM(E2:F2)</f>
        <v>300</v>
      </c>
      <c r="H2" s="120" t="s">
        <v>311</v>
      </c>
      <c r="I2" s="114"/>
      <c r="J2" s="114"/>
      <c r="K2" s="114"/>
      <c r="L2" s="114"/>
    </row>
    <row r="3" spans="1:12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f t="shared" si="0"/>
        <v>300</v>
      </c>
      <c r="H3" s="120"/>
      <c r="I3" s="114"/>
      <c r="J3" s="114"/>
      <c r="K3" s="114"/>
      <c r="L3" s="114"/>
    </row>
    <row r="4" spans="1:12" ht="14.25" customHeight="1" x14ac:dyDescent="0.25">
      <c r="A4" s="32" t="s">
        <v>68</v>
      </c>
      <c r="B4" s="30">
        <v>19.7</v>
      </c>
      <c r="C4" s="30">
        <v>23.34</v>
      </c>
      <c r="D4" s="29">
        <f t="shared" ref="D4:D20" si="1">(C4-B4)*1000</f>
        <v>3640.0000000000005</v>
      </c>
      <c r="E4" s="64">
        <f>ROUND(D4*D23,0)</f>
        <v>309</v>
      </c>
      <c r="F4" s="29">
        <v>1000</v>
      </c>
      <c r="G4" s="29">
        <f t="shared" si="0"/>
        <v>1309</v>
      </c>
      <c r="H4" s="120" t="s">
        <v>311</v>
      </c>
      <c r="I4" s="114"/>
      <c r="J4" s="114"/>
      <c r="K4" s="114"/>
      <c r="L4" s="114"/>
    </row>
    <row r="5" spans="1:12" ht="14.25" customHeight="1" x14ac:dyDescent="0.25">
      <c r="A5" s="32" t="s">
        <v>70</v>
      </c>
      <c r="B5" s="30">
        <v>110.42</v>
      </c>
      <c r="C5" s="30">
        <v>114.77</v>
      </c>
      <c r="D5" s="29">
        <f t="shared" si="1"/>
        <v>4349.9999999999945</v>
      </c>
      <c r="E5" s="64">
        <f>ROUND(D5*D23,0)</f>
        <v>370</v>
      </c>
      <c r="F5" s="29">
        <v>1000</v>
      </c>
      <c r="G5" s="29">
        <f t="shared" si="0"/>
        <v>1370</v>
      </c>
      <c r="H5" s="120" t="s">
        <v>311</v>
      </c>
      <c r="I5" s="114"/>
      <c r="J5" s="114"/>
      <c r="K5" s="114"/>
      <c r="L5" s="114"/>
    </row>
    <row r="6" spans="1:12" ht="14.25" customHeight="1" x14ac:dyDescent="0.25">
      <c r="A6" s="32" t="s">
        <v>16</v>
      </c>
      <c r="B6" s="29">
        <v>204.06</v>
      </c>
      <c r="C6" s="29">
        <v>213.14</v>
      </c>
      <c r="D6" s="29">
        <f t="shared" si="1"/>
        <v>9079.9999999999836</v>
      </c>
      <c r="E6" s="64">
        <f>ROUND(D6*D23,0)</f>
        <v>772</v>
      </c>
      <c r="F6" s="29">
        <v>1000</v>
      </c>
      <c r="G6" s="29">
        <f t="shared" si="0"/>
        <v>1772</v>
      </c>
      <c r="H6" s="120" t="s">
        <v>311</v>
      </c>
      <c r="I6" s="114"/>
      <c r="J6" s="114"/>
      <c r="K6" s="114"/>
      <c r="L6" s="114"/>
    </row>
    <row r="7" spans="1:12" ht="14.25" customHeight="1" x14ac:dyDescent="0.25">
      <c r="A7" s="32" t="s">
        <v>13</v>
      </c>
      <c r="B7" s="29">
        <v>174.52</v>
      </c>
      <c r="C7" s="29">
        <v>183.46</v>
      </c>
      <c r="D7" s="29">
        <f t="shared" si="1"/>
        <v>8939.9999999999982</v>
      </c>
      <c r="E7" s="64">
        <f>ROUND(D7*D23,0)</f>
        <v>760</v>
      </c>
      <c r="F7" s="29">
        <v>1000</v>
      </c>
      <c r="G7" s="29">
        <f t="shared" si="0"/>
        <v>1760</v>
      </c>
      <c r="H7" s="120" t="s">
        <v>311</v>
      </c>
      <c r="I7" s="114"/>
      <c r="J7" s="114"/>
      <c r="K7" s="114"/>
      <c r="L7" s="114"/>
    </row>
    <row r="8" spans="1:12" ht="14.25" customHeight="1" x14ac:dyDescent="0.25">
      <c r="A8" s="73">
        <v>101</v>
      </c>
      <c r="B8" s="29">
        <v>0.38</v>
      </c>
      <c r="C8" s="29">
        <v>0.38</v>
      </c>
      <c r="D8" s="29">
        <f t="shared" si="1"/>
        <v>0</v>
      </c>
      <c r="E8" s="64">
        <f>ROUND(D8*D23,0)</f>
        <v>0</v>
      </c>
      <c r="F8" s="64">
        <v>1000</v>
      </c>
      <c r="G8" s="29">
        <f t="shared" si="0"/>
        <v>1000</v>
      </c>
      <c r="H8" s="51" t="s">
        <v>312</v>
      </c>
      <c r="I8" s="114"/>
      <c r="J8" s="114"/>
      <c r="K8" s="114"/>
      <c r="L8" s="114"/>
    </row>
    <row r="9" spans="1:12" ht="14.25" customHeight="1" x14ac:dyDescent="0.25">
      <c r="A9" s="32">
        <v>102</v>
      </c>
      <c r="B9" s="29">
        <v>306.32</v>
      </c>
      <c r="C9" s="29">
        <v>317.67</v>
      </c>
      <c r="D9" s="29">
        <f t="shared" si="1"/>
        <v>11350.000000000022</v>
      </c>
      <c r="E9" s="64">
        <f>ROUND(D9*D23,0)</f>
        <v>965</v>
      </c>
      <c r="F9" s="29">
        <v>1000</v>
      </c>
      <c r="G9" s="29">
        <f t="shared" si="0"/>
        <v>1965</v>
      </c>
      <c r="H9" s="120" t="s">
        <v>311</v>
      </c>
      <c r="I9" s="114"/>
      <c r="J9" s="114"/>
      <c r="K9" s="114"/>
      <c r="L9" s="114"/>
    </row>
    <row r="10" spans="1:12" ht="14.25" customHeight="1" x14ac:dyDescent="0.25">
      <c r="A10" s="32">
        <v>103</v>
      </c>
      <c r="B10" s="29">
        <v>25.74</v>
      </c>
      <c r="C10" s="29">
        <v>29.25</v>
      </c>
      <c r="D10" s="29">
        <f t="shared" si="1"/>
        <v>3510.0000000000014</v>
      </c>
      <c r="E10" s="64">
        <f>ROUND(D10*D23,0)</f>
        <v>298</v>
      </c>
      <c r="F10" s="29">
        <v>1000</v>
      </c>
      <c r="G10" s="29">
        <f t="shared" si="0"/>
        <v>1298</v>
      </c>
      <c r="H10" s="120" t="s">
        <v>311</v>
      </c>
      <c r="I10" s="114"/>
      <c r="J10" s="344" t="s">
        <v>239</v>
      </c>
      <c r="K10" s="337"/>
      <c r="L10" s="114" t="s">
        <v>313</v>
      </c>
    </row>
    <row r="11" spans="1:12" ht="14.25" customHeight="1" x14ac:dyDescent="0.25">
      <c r="A11" s="32">
        <v>104</v>
      </c>
      <c r="B11" s="29">
        <v>200.34</v>
      </c>
      <c r="C11" s="29">
        <v>210.48</v>
      </c>
      <c r="D11" s="29">
        <f t="shared" si="1"/>
        <v>10139.999999999985</v>
      </c>
      <c r="E11" s="64">
        <f>ROUND(D11*D23,0)</f>
        <v>862</v>
      </c>
      <c r="F11" s="29">
        <v>1000</v>
      </c>
      <c r="G11" s="29">
        <f t="shared" si="0"/>
        <v>1862</v>
      </c>
      <c r="H11" s="120" t="s">
        <v>311</v>
      </c>
      <c r="I11" s="114"/>
      <c r="J11" s="121" t="s">
        <v>314</v>
      </c>
      <c r="K11" s="114">
        <v>4500</v>
      </c>
      <c r="L11" s="114" t="s">
        <v>315</v>
      </c>
    </row>
    <row r="12" spans="1:12" ht="14.25" customHeight="1" x14ac:dyDescent="0.25">
      <c r="A12" s="112">
        <v>201</v>
      </c>
      <c r="B12" s="29">
        <v>1.8</v>
      </c>
      <c r="C12" s="29">
        <v>1.8</v>
      </c>
      <c r="D12" s="29">
        <f t="shared" si="1"/>
        <v>0</v>
      </c>
      <c r="E12" s="64">
        <f>ROUND(D12*D23,0)</f>
        <v>0</v>
      </c>
      <c r="F12" s="64">
        <v>1000</v>
      </c>
      <c r="G12" s="29">
        <f t="shared" si="0"/>
        <v>1000</v>
      </c>
      <c r="H12" s="51" t="s">
        <v>316</v>
      </c>
      <c r="I12" s="114" t="s">
        <v>317</v>
      </c>
      <c r="J12" s="114" t="s">
        <v>318</v>
      </c>
      <c r="K12" s="114">
        <v>10000</v>
      </c>
      <c r="L12" s="114" t="s">
        <v>315</v>
      </c>
    </row>
    <row r="13" spans="1:12" ht="14.25" customHeight="1" x14ac:dyDescent="0.25">
      <c r="A13" s="32">
        <v>202</v>
      </c>
      <c r="B13" s="29">
        <v>189.31</v>
      </c>
      <c r="C13" s="29">
        <v>193.15</v>
      </c>
      <c r="D13" s="29">
        <f t="shared" si="1"/>
        <v>3840.0000000000036</v>
      </c>
      <c r="E13" s="64">
        <f>ROUND(D13*D23,0)</f>
        <v>326</v>
      </c>
      <c r="F13" s="29">
        <v>1000</v>
      </c>
      <c r="G13" s="29">
        <f t="shared" si="0"/>
        <v>1326</v>
      </c>
      <c r="H13" s="120" t="s">
        <v>311</v>
      </c>
      <c r="I13" s="114"/>
      <c r="J13" s="114" t="s">
        <v>319</v>
      </c>
      <c r="K13" s="114">
        <v>25</v>
      </c>
      <c r="L13" s="114" t="s">
        <v>320</v>
      </c>
    </row>
    <row r="14" spans="1:12" ht="14.25" customHeight="1" x14ac:dyDescent="0.25">
      <c r="A14" s="32">
        <v>203</v>
      </c>
      <c r="B14" s="29">
        <v>193.71</v>
      </c>
      <c r="C14" s="29">
        <v>202.28</v>
      </c>
      <c r="D14" s="29">
        <f t="shared" si="1"/>
        <v>8569.9999999999927</v>
      </c>
      <c r="E14" s="64">
        <f>ROUND(D14*D23,0)</f>
        <v>728</v>
      </c>
      <c r="F14" s="29">
        <v>1000</v>
      </c>
      <c r="G14" s="29">
        <f t="shared" si="0"/>
        <v>1728</v>
      </c>
      <c r="H14" s="120" t="s">
        <v>311</v>
      </c>
      <c r="I14" s="114"/>
      <c r="J14" s="122" t="s">
        <v>321</v>
      </c>
      <c r="K14" s="122">
        <v>2857</v>
      </c>
      <c r="L14" s="122" t="s">
        <v>322</v>
      </c>
    </row>
    <row r="15" spans="1:12" ht="14.25" customHeight="1" x14ac:dyDescent="0.25">
      <c r="A15" s="32">
        <v>204</v>
      </c>
      <c r="B15" s="29">
        <v>124.03</v>
      </c>
      <c r="C15" s="29">
        <v>132.66</v>
      </c>
      <c r="D15" s="29">
        <f t="shared" si="1"/>
        <v>8629.9999999999964</v>
      </c>
      <c r="E15" s="64">
        <f>ROUND(D15*D23,0)</f>
        <v>734</v>
      </c>
      <c r="F15" s="29">
        <v>1000</v>
      </c>
      <c r="G15" s="29">
        <f t="shared" si="0"/>
        <v>1734</v>
      </c>
      <c r="H15" s="120" t="s">
        <v>311</v>
      </c>
      <c r="I15" s="114"/>
      <c r="J15" s="114" t="s">
        <v>323</v>
      </c>
      <c r="K15" s="114">
        <v>2045</v>
      </c>
      <c r="L15" s="122" t="s">
        <v>324</v>
      </c>
    </row>
    <row r="16" spans="1:12" ht="14.25" customHeight="1" x14ac:dyDescent="0.25">
      <c r="A16" s="73">
        <v>301</v>
      </c>
      <c r="B16" s="29">
        <v>0.74</v>
      </c>
      <c r="C16" s="29">
        <v>0.8</v>
      </c>
      <c r="D16" s="29">
        <f t="shared" si="1"/>
        <v>60.000000000000057</v>
      </c>
      <c r="E16" s="64">
        <f>ROUND(D16*D23,0)</f>
        <v>5</v>
      </c>
      <c r="F16" s="64">
        <v>1000</v>
      </c>
      <c r="G16" s="29">
        <f t="shared" si="0"/>
        <v>1005</v>
      </c>
      <c r="H16" s="51" t="s">
        <v>316</v>
      </c>
      <c r="I16" s="114" t="s">
        <v>317</v>
      </c>
      <c r="J16" s="114" t="s">
        <v>325</v>
      </c>
      <c r="K16" s="114">
        <v>300</v>
      </c>
      <c r="L16" s="114" t="s">
        <v>326</v>
      </c>
    </row>
    <row r="17" spans="1:13" ht="14.25" customHeight="1" x14ac:dyDescent="0.25">
      <c r="A17" s="73">
        <v>302</v>
      </c>
      <c r="B17" s="29">
        <v>11</v>
      </c>
      <c r="C17" s="29">
        <v>19.59</v>
      </c>
      <c r="D17" s="29">
        <f t="shared" si="1"/>
        <v>8590</v>
      </c>
      <c r="E17" s="64">
        <f>ROUND(D17*D23,0)</f>
        <v>730</v>
      </c>
      <c r="F17" s="29">
        <v>1000</v>
      </c>
      <c r="G17" s="29">
        <f t="shared" si="0"/>
        <v>1730</v>
      </c>
      <c r="H17" s="120" t="s">
        <v>311</v>
      </c>
      <c r="I17" s="114"/>
      <c r="J17" s="114" t="s">
        <v>327</v>
      </c>
      <c r="K17" s="114">
        <v>2000</v>
      </c>
      <c r="L17" s="114" t="s">
        <v>328</v>
      </c>
    </row>
    <row r="18" spans="1:13" ht="14.25" customHeight="1" x14ac:dyDescent="0.25">
      <c r="A18" s="32">
        <v>303</v>
      </c>
      <c r="B18" s="29">
        <v>483.33</v>
      </c>
      <c r="C18" s="29">
        <v>496.19</v>
      </c>
      <c r="D18" s="29">
        <f t="shared" si="1"/>
        <v>12860.000000000015</v>
      </c>
      <c r="E18" s="64">
        <f>ROUND(D18*D23,0)</f>
        <v>1093</v>
      </c>
      <c r="F18" s="29">
        <v>1000</v>
      </c>
      <c r="G18" s="29">
        <f t="shared" si="0"/>
        <v>2093</v>
      </c>
      <c r="H18" s="120" t="s">
        <v>311</v>
      </c>
      <c r="I18" s="114"/>
      <c r="J18" s="114" t="s">
        <v>329</v>
      </c>
      <c r="K18" s="114">
        <v>100</v>
      </c>
      <c r="L18" s="114" t="s">
        <v>328</v>
      </c>
    </row>
    <row r="19" spans="1:13" ht="14.25" customHeight="1" x14ac:dyDescent="0.25">
      <c r="A19" s="32">
        <v>304</v>
      </c>
      <c r="B19" s="30">
        <v>68.73</v>
      </c>
      <c r="C19" s="30">
        <v>80.45</v>
      </c>
      <c r="D19" s="29">
        <f t="shared" si="1"/>
        <v>11719.999999999998</v>
      </c>
      <c r="E19" s="64">
        <f>ROUND(D19*D23,0)</f>
        <v>996</v>
      </c>
      <c r="F19" s="29">
        <v>1000</v>
      </c>
      <c r="G19" s="29">
        <f t="shared" si="0"/>
        <v>1996</v>
      </c>
      <c r="H19" s="120" t="s">
        <v>311</v>
      </c>
      <c r="I19" s="114"/>
      <c r="J19" s="114"/>
      <c r="K19" s="114"/>
      <c r="L19" s="114"/>
    </row>
    <row r="20" spans="1:13" ht="14.25" customHeight="1" x14ac:dyDescent="0.25">
      <c r="A20" s="29" t="s">
        <v>287</v>
      </c>
      <c r="B20" s="29">
        <v>23.928000000000001</v>
      </c>
      <c r="C20" s="29">
        <v>36.299999999999997</v>
      </c>
      <c r="D20" s="29">
        <f t="shared" si="1"/>
        <v>12371.999999999996</v>
      </c>
      <c r="E20" s="64">
        <v>0</v>
      </c>
      <c r="F20" s="123">
        <v>0</v>
      </c>
      <c r="G20" s="29">
        <f t="shared" si="0"/>
        <v>0</v>
      </c>
      <c r="H20" s="51"/>
      <c r="I20" s="114"/>
      <c r="K20" s="122"/>
      <c r="L20" s="114"/>
    </row>
    <row r="21" spans="1:13" ht="14.25" customHeight="1" x14ac:dyDescent="0.25">
      <c r="A21" s="29"/>
      <c r="B21" s="29"/>
      <c r="C21" s="29"/>
      <c r="D21" s="29"/>
      <c r="E21" s="49"/>
      <c r="F21" s="49">
        <f>SUM(F2:F20)</f>
        <v>16600</v>
      </c>
      <c r="G21" s="49"/>
      <c r="H21" s="29"/>
      <c r="I21" s="114"/>
      <c r="J21" s="114"/>
      <c r="K21" s="114"/>
      <c r="L21" s="114"/>
    </row>
    <row r="22" spans="1:13" ht="14.25" customHeight="1" x14ac:dyDescent="0.25">
      <c r="A22" s="29"/>
      <c r="B22" s="29" t="s">
        <v>75</v>
      </c>
      <c r="C22" s="29"/>
      <c r="D22" s="30">
        <f>SUM(D4:D20)</f>
        <v>117651.99999999999</v>
      </c>
      <c r="E22" s="29"/>
      <c r="F22" s="29"/>
      <c r="G22" s="29"/>
      <c r="H22" s="29"/>
      <c r="I22" s="114"/>
      <c r="J22" s="114"/>
      <c r="K22" s="114"/>
      <c r="L22" s="114"/>
    </row>
    <row r="23" spans="1:13" ht="14.25" customHeight="1" x14ac:dyDescent="0.25">
      <c r="A23" s="29"/>
      <c r="B23" s="29" t="s">
        <v>243</v>
      </c>
      <c r="C23" s="29" t="s">
        <v>244</v>
      </c>
      <c r="D23" s="111">
        <f>B24/D22</f>
        <v>8.4996430149933716E-2</v>
      </c>
      <c r="E23" s="29"/>
      <c r="F23" s="29"/>
      <c r="G23" s="29" t="s">
        <v>205</v>
      </c>
      <c r="H23" s="29">
        <v>31623</v>
      </c>
      <c r="I23" s="114"/>
      <c r="J23" s="114"/>
      <c r="K23" s="114"/>
      <c r="L23" s="114"/>
    </row>
    <row r="24" spans="1:13" ht="14.25" customHeight="1" x14ac:dyDescent="0.25">
      <c r="A24" s="29" t="s">
        <v>85</v>
      </c>
      <c r="B24" s="30">
        <v>10000</v>
      </c>
      <c r="C24" s="119" t="s">
        <v>308</v>
      </c>
      <c r="D24" s="29"/>
      <c r="E24" s="29">
        <v>10000</v>
      </c>
      <c r="F24" s="29"/>
      <c r="G24" s="29"/>
      <c r="H24" s="29"/>
      <c r="I24" s="114"/>
      <c r="J24" s="114"/>
      <c r="K24" s="114"/>
      <c r="L24" s="114"/>
      <c r="M24" s="1" t="s">
        <v>330</v>
      </c>
    </row>
  </sheetData>
  <mergeCells count="1">
    <mergeCell ref="J10:K10"/>
  </mergeCells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L34"/>
  <sheetViews>
    <sheetView workbookViewId="0"/>
  </sheetViews>
  <sheetFormatPr defaultColWidth="14.42578125" defaultRowHeight="15" customHeight="1" x14ac:dyDescent="0.25"/>
  <cols>
    <col min="1" max="1" width="14.5703125" customWidth="1"/>
    <col min="2" max="2" width="22.7109375" customWidth="1"/>
    <col min="3" max="3" width="25" customWidth="1"/>
    <col min="4" max="4" width="10.5703125" customWidth="1"/>
    <col min="5" max="5" width="9.85546875" customWidth="1"/>
    <col min="6" max="6" width="20.85546875" customWidth="1"/>
    <col min="7" max="7" width="11.28515625" customWidth="1"/>
    <col min="8" max="8" width="14.85546875" customWidth="1"/>
    <col min="9" max="9" width="52.7109375" customWidth="1"/>
    <col min="10" max="10" width="31.42578125" customWidth="1"/>
    <col min="11" max="11" width="11.85546875" customWidth="1"/>
    <col min="12" max="12" width="24.42578125" customWidth="1"/>
  </cols>
  <sheetData>
    <row r="1" spans="1:12" ht="14.25" customHeight="1" x14ac:dyDescent="0.25">
      <c r="A1" s="49" t="s">
        <v>64</v>
      </c>
      <c r="B1" s="49" t="s">
        <v>80</v>
      </c>
      <c r="C1" s="49" t="s">
        <v>236</v>
      </c>
      <c r="D1" s="49" t="s">
        <v>66</v>
      </c>
      <c r="E1" s="113" t="s">
        <v>52</v>
      </c>
      <c r="F1" s="29" t="s">
        <v>81</v>
      </c>
      <c r="G1" s="29" t="s">
        <v>82</v>
      </c>
      <c r="H1" s="49" t="s">
        <v>128</v>
      </c>
      <c r="I1" s="49" t="s">
        <v>331</v>
      </c>
      <c r="J1" s="124" t="s">
        <v>332</v>
      </c>
      <c r="K1" s="114">
        <v>31623</v>
      </c>
      <c r="L1" s="114"/>
    </row>
    <row r="2" spans="1:12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 t="shared" ref="G2:G7" si="0">SUM(E2:F2)</f>
        <v>300</v>
      </c>
      <c r="H2" s="120" t="s">
        <v>333</v>
      </c>
      <c r="I2" s="120"/>
      <c r="J2" s="114"/>
      <c r="K2" s="114"/>
      <c r="L2" s="125"/>
    </row>
    <row r="3" spans="1:12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f t="shared" si="0"/>
        <v>300</v>
      </c>
      <c r="H3" s="120" t="s">
        <v>333</v>
      </c>
      <c r="I3" s="120"/>
      <c r="J3" s="114"/>
      <c r="K3" s="114"/>
      <c r="L3" s="125"/>
    </row>
    <row r="4" spans="1:12" ht="14.25" customHeight="1" x14ac:dyDescent="0.25">
      <c r="A4" s="32" t="s">
        <v>68</v>
      </c>
      <c r="B4" s="30">
        <v>23.34</v>
      </c>
      <c r="C4" s="30">
        <v>28.11</v>
      </c>
      <c r="D4" s="29">
        <f t="shared" ref="D4:D20" si="1">(C4-B4)*1000</f>
        <v>4770</v>
      </c>
      <c r="E4" s="64">
        <f>ROUND(D4*D23,0)</f>
        <v>387</v>
      </c>
      <c r="F4" s="29">
        <v>1000</v>
      </c>
      <c r="G4" s="29">
        <f t="shared" si="0"/>
        <v>1387</v>
      </c>
      <c r="H4" s="120" t="s">
        <v>311</v>
      </c>
      <c r="I4" s="120"/>
      <c r="J4" s="114"/>
      <c r="K4" s="114"/>
      <c r="L4" s="125"/>
    </row>
    <row r="5" spans="1:12" ht="14.25" customHeight="1" x14ac:dyDescent="0.25">
      <c r="A5" s="32" t="s">
        <v>70</v>
      </c>
      <c r="B5" s="30">
        <v>114.77</v>
      </c>
      <c r="C5" s="30">
        <v>118.96</v>
      </c>
      <c r="D5" s="29">
        <f t="shared" si="1"/>
        <v>4189.9999999999982</v>
      </c>
      <c r="E5" s="64">
        <f>ROUND(D5*D23,0)</f>
        <v>340</v>
      </c>
      <c r="F5" s="29">
        <v>1000</v>
      </c>
      <c r="G5" s="29">
        <f t="shared" si="0"/>
        <v>1340</v>
      </c>
      <c r="H5" s="120" t="s">
        <v>311</v>
      </c>
      <c r="I5" s="120"/>
      <c r="J5" s="114"/>
      <c r="K5" s="114"/>
      <c r="L5" s="125"/>
    </row>
    <row r="6" spans="1:12" ht="14.25" customHeight="1" x14ac:dyDescent="0.25">
      <c r="A6" s="32" t="s">
        <v>16</v>
      </c>
      <c r="B6" s="29">
        <v>213.14</v>
      </c>
      <c r="C6" s="29">
        <v>224.33</v>
      </c>
      <c r="D6" s="29">
        <f t="shared" si="1"/>
        <v>11190.000000000025</v>
      </c>
      <c r="E6" s="64">
        <f>ROUND(D6*D23,0)</f>
        <v>908</v>
      </c>
      <c r="F6" s="29">
        <v>1000</v>
      </c>
      <c r="G6" s="29">
        <f t="shared" si="0"/>
        <v>1908</v>
      </c>
      <c r="H6" s="120" t="s">
        <v>311</v>
      </c>
      <c r="I6" s="120"/>
      <c r="J6" s="114"/>
      <c r="K6" s="114"/>
      <c r="L6" s="114"/>
    </row>
    <row r="7" spans="1:12" ht="14.25" customHeight="1" x14ac:dyDescent="0.25">
      <c r="A7" s="32" t="s">
        <v>13</v>
      </c>
      <c r="B7" s="29">
        <v>183.46</v>
      </c>
      <c r="C7" s="29">
        <v>189.76</v>
      </c>
      <c r="D7" s="29">
        <f t="shared" si="1"/>
        <v>6299.9999999999827</v>
      </c>
      <c r="E7" s="64">
        <f>ROUND(D7*D23,0)</f>
        <v>511</v>
      </c>
      <c r="F7" s="29">
        <v>1000</v>
      </c>
      <c r="G7" s="29">
        <f t="shared" si="0"/>
        <v>1511</v>
      </c>
      <c r="H7" s="120" t="s">
        <v>311</v>
      </c>
      <c r="I7" s="120"/>
      <c r="J7" s="114"/>
      <c r="K7" s="114"/>
      <c r="L7" s="114"/>
    </row>
    <row r="8" spans="1:12" ht="14.25" customHeight="1" x14ac:dyDescent="0.25">
      <c r="A8" s="73">
        <v>101</v>
      </c>
      <c r="B8" s="29">
        <v>0.38</v>
      </c>
      <c r="C8" s="29">
        <v>0.38</v>
      </c>
      <c r="D8" s="29">
        <f t="shared" si="1"/>
        <v>0</v>
      </c>
      <c r="E8" s="64">
        <f>ROUND(D8*D23,0)</f>
        <v>0</v>
      </c>
      <c r="F8" s="64">
        <v>1000</v>
      </c>
      <c r="G8" s="29">
        <v>2000</v>
      </c>
      <c r="H8" s="126" t="s">
        <v>311</v>
      </c>
      <c r="I8" s="126"/>
      <c r="J8" s="126" t="s">
        <v>334</v>
      </c>
      <c r="K8" s="114"/>
      <c r="L8" s="114"/>
    </row>
    <row r="9" spans="1:12" ht="14.25" customHeight="1" x14ac:dyDescent="0.25">
      <c r="A9" s="32">
        <v>102</v>
      </c>
      <c r="B9" s="29">
        <v>317.67</v>
      </c>
      <c r="C9" s="29">
        <v>330.04</v>
      </c>
      <c r="D9" s="29">
        <f t="shared" si="1"/>
        <v>12370.000000000004</v>
      </c>
      <c r="E9" s="64">
        <f>ROUND(D9*D23,0)</f>
        <v>1004</v>
      </c>
      <c r="F9" s="29">
        <v>1000</v>
      </c>
      <c r="G9" s="29">
        <f t="shared" ref="G9:G20" si="2">SUM(E9:F9)</f>
        <v>2004</v>
      </c>
      <c r="H9" s="120" t="s">
        <v>311</v>
      </c>
      <c r="I9" s="120"/>
      <c r="J9" s="114"/>
      <c r="K9" s="114"/>
      <c r="L9" s="114"/>
    </row>
    <row r="10" spans="1:12" ht="14.25" customHeight="1" x14ac:dyDescent="0.25">
      <c r="A10" s="32">
        <v>103</v>
      </c>
      <c r="B10" s="29">
        <v>29.25</v>
      </c>
      <c r="C10" s="29">
        <v>31.67</v>
      </c>
      <c r="D10" s="29">
        <f t="shared" si="1"/>
        <v>2420.0000000000018</v>
      </c>
      <c r="E10" s="64">
        <f>ROUND(D10*D23,0)</f>
        <v>196</v>
      </c>
      <c r="F10" s="29">
        <v>1000</v>
      </c>
      <c r="G10" s="29">
        <f t="shared" si="2"/>
        <v>1196</v>
      </c>
      <c r="H10" s="120" t="s">
        <v>311</v>
      </c>
      <c r="I10" s="120"/>
      <c r="J10" s="344" t="s">
        <v>239</v>
      </c>
      <c r="K10" s="337"/>
      <c r="L10" s="114"/>
    </row>
    <row r="11" spans="1:12" ht="14.25" customHeight="1" x14ac:dyDescent="0.25">
      <c r="A11" s="32">
        <v>104</v>
      </c>
      <c r="B11" s="29">
        <v>210.48</v>
      </c>
      <c r="C11" s="29">
        <v>225.2</v>
      </c>
      <c r="D11" s="29">
        <f t="shared" si="1"/>
        <v>14719.999999999998</v>
      </c>
      <c r="E11" s="64">
        <f>ROUND(D11*D23,0)</f>
        <v>1195</v>
      </c>
      <c r="F11" s="29">
        <v>1000</v>
      </c>
      <c r="G11" s="29">
        <f t="shared" si="2"/>
        <v>2195</v>
      </c>
      <c r="H11" s="120" t="s">
        <v>311</v>
      </c>
      <c r="I11" s="120"/>
      <c r="J11" s="121" t="s">
        <v>335</v>
      </c>
      <c r="K11" s="114">
        <v>6700</v>
      </c>
      <c r="L11" s="125">
        <v>44632</v>
      </c>
    </row>
    <row r="12" spans="1:12" ht="14.25" customHeight="1" x14ac:dyDescent="0.25">
      <c r="A12" s="112">
        <v>201</v>
      </c>
      <c r="B12" s="29">
        <v>1.8</v>
      </c>
      <c r="C12" s="29">
        <v>1.8</v>
      </c>
      <c r="D12" s="29">
        <f t="shared" si="1"/>
        <v>0</v>
      </c>
      <c r="E12" s="64">
        <f>ROUND(D12*D23,0)</f>
        <v>0</v>
      </c>
      <c r="F12" s="64">
        <v>1000</v>
      </c>
      <c r="G12" s="29">
        <f t="shared" si="2"/>
        <v>1000</v>
      </c>
      <c r="H12" s="51" t="s">
        <v>316</v>
      </c>
      <c r="I12" s="114" t="s">
        <v>317</v>
      </c>
      <c r="J12" s="114" t="s">
        <v>336</v>
      </c>
      <c r="K12" s="114">
        <v>10000</v>
      </c>
      <c r="L12" s="125">
        <v>44632</v>
      </c>
    </row>
    <row r="13" spans="1:12" ht="14.25" customHeight="1" x14ac:dyDescent="0.25">
      <c r="A13" s="32">
        <v>202</v>
      </c>
      <c r="B13" s="29">
        <v>193.15</v>
      </c>
      <c r="C13" s="29">
        <v>196.82</v>
      </c>
      <c r="D13" s="29">
        <f t="shared" si="1"/>
        <v>3669.9999999999873</v>
      </c>
      <c r="E13" s="64">
        <f>ROUND(D13*D23,0)</f>
        <v>298</v>
      </c>
      <c r="F13" s="29">
        <v>1000</v>
      </c>
      <c r="G13" s="29">
        <f t="shared" si="2"/>
        <v>1298</v>
      </c>
      <c r="H13" s="120" t="s">
        <v>311</v>
      </c>
      <c r="I13" s="120"/>
      <c r="J13" s="114" t="s">
        <v>337</v>
      </c>
      <c r="K13" s="114">
        <v>2851</v>
      </c>
      <c r="L13" s="125">
        <v>44693</v>
      </c>
    </row>
    <row r="14" spans="1:12" ht="14.25" customHeight="1" x14ac:dyDescent="0.25">
      <c r="A14" s="32">
        <v>203</v>
      </c>
      <c r="B14" s="29">
        <v>202.28</v>
      </c>
      <c r="C14" s="29">
        <v>212.73</v>
      </c>
      <c r="D14" s="29">
        <f t="shared" si="1"/>
        <v>10449.999999999989</v>
      </c>
      <c r="E14" s="64">
        <f>ROUND(D14*D23,0)</f>
        <v>848</v>
      </c>
      <c r="F14" s="29">
        <v>1000</v>
      </c>
      <c r="G14" s="29">
        <f t="shared" si="2"/>
        <v>1848</v>
      </c>
      <c r="H14" s="120" t="s">
        <v>311</v>
      </c>
      <c r="I14" s="120"/>
      <c r="J14" s="114" t="s">
        <v>338</v>
      </c>
      <c r="K14" s="114">
        <v>2044</v>
      </c>
      <c r="L14" s="125">
        <v>44846</v>
      </c>
    </row>
    <row r="15" spans="1:12" ht="14.25" customHeight="1" x14ac:dyDescent="0.25">
      <c r="A15" s="32">
        <v>204</v>
      </c>
      <c r="B15" s="29">
        <v>132.66</v>
      </c>
      <c r="C15" s="29">
        <v>139.46</v>
      </c>
      <c r="D15" s="29">
        <f t="shared" si="1"/>
        <v>6800.0000000000109</v>
      </c>
      <c r="E15" s="64">
        <f>ROUND(D15*D23,0)</f>
        <v>552</v>
      </c>
      <c r="F15" s="29">
        <v>1000</v>
      </c>
      <c r="G15" s="29">
        <f t="shared" si="2"/>
        <v>1552</v>
      </c>
      <c r="H15" s="120" t="s">
        <v>311</v>
      </c>
      <c r="I15" s="120"/>
      <c r="J15" s="114" t="s">
        <v>339</v>
      </c>
      <c r="K15" s="114">
        <v>15147</v>
      </c>
      <c r="L15" s="125">
        <v>44907</v>
      </c>
    </row>
    <row r="16" spans="1:12" ht="14.25" customHeight="1" x14ac:dyDescent="0.25">
      <c r="A16" s="73">
        <v>301</v>
      </c>
      <c r="B16" s="29">
        <v>0.8</v>
      </c>
      <c r="C16" s="29">
        <v>0.8</v>
      </c>
      <c r="D16" s="29">
        <f t="shared" si="1"/>
        <v>0</v>
      </c>
      <c r="E16" s="64">
        <f>ROUND(D16*D23,0)</f>
        <v>0</v>
      </c>
      <c r="F16" s="64">
        <v>1000</v>
      </c>
      <c r="G16" s="29">
        <f t="shared" si="2"/>
        <v>1000</v>
      </c>
      <c r="H16" s="51" t="s">
        <v>316</v>
      </c>
      <c r="I16" s="114" t="s">
        <v>317</v>
      </c>
      <c r="J16" s="114" t="s">
        <v>340</v>
      </c>
      <c r="K16" s="114">
        <v>7680</v>
      </c>
      <c r="L16" s="125">
        <v>44907</v>
      </c>
    </row>
    <row r="17" spans="1:12" ht="14.25" customHeight="1" x14ac:dyDescent="0.25">
      <c r="A17" s="73">
        <v>302</v>
      </c>
      <c r="B17" s="29">
        <v>19.59</v>
      </c>
      <c r="C17" s="29">
        <v>25.19</v>
      </c>
      <c r="D17" s="29">
        <f t="shared" si="1"/>
        <v>5600.0000000000018</v>
      </c>
      <c r="E17" s="64">
        <f>ROUND(D17*D23,0)</f>
        <v>454</v>
      </c>
      <c r="F17" s="29">
        <v>1000</v>
      </c>
      <c r="G17" s="29">
        <f t="shared" si="2"/>
        <v>1454</v>
      </c>
      <c r="H17" s="120" t="s">
        <v>311</v>
      </c>
      <c r="I17" s="120"/>
      <c r="J17" s="114" t="s">
        <v>341</v>
      </c>
      <c r="K17" s="114">
        <v>150</v>
      </c>
      <c r="L17" s="125">
        <v>44907</v>
      </c>
    </row>
    <row r="18" spans="1:12" ht="14.25" customHeight="1" x14ac:dyDescent="0.25">
      <c r="A18" s="32">
        <v>303</v>
      </c>
      <c r="B18" s="29">
        <v>496.19</v>
      </c>
      <c r="C18" s="29">
        <v>513</v>
      </c>
      <c r="D18" s="29">
        <f t="shared" si="1"/>
        <v>16810.000000000004</v>
      </c>
      <c r="E18" s="64">
        <f>ROUND(D18*D23,0)</f>
        <v>1364</v>
      </c>
      <c r="F18" s="29">
        <v>1000</v>
      </c>
      <c r="G18" s="29">
        <f t="shared" si="2"/>
        <v>2364</v>
      </c>
      <c r="H18" s="120" t="s">
        <v>311</v>
      </c>
      <c r="I18" s="120"/>
      <c r="J18" s="114" t="s">
        <v>342</v>
      </c>
      <c r="K18" s="114">
        <v>245</v>
      </c>
      <c r="L18" s="125">
        <v>44907</v>
      </c>
    </row>
    <row r="19" spans="1:12" ht="14.25" customHeight="1" x14ac:dyDescent="0.25">
      <c r="A19" s="32">
        <v>304</v>
      </c>
      <c r="B19" s="30">
        <v>80.45</v>
      </c>
      <c r="C19" s="30">
        <v>91.05</v>
      </c>
      <c r="D19" s="29">
        <f t="shared" si="1"/>
        <v>10599.999999999995</v>
      </c>
      <c r="E19" s="64">
        <f>ROUND(D19*D23,0)</f>
        <v>860</v>
      </c>
      <c r="F19" s="29">
        <v>1000</v>
      </c>
      <c r="G19" s="29">
        <f t="shared" si="2"/>
        <v>1860</v>
      </c>
      <c r="H19" s="120" t="s">
        <v>311</v>
      </c>
      <c r="I19" s="120"/>
      <c r="J19" s="114" t="s">
        <v>343</v>
      </c>
      <c r="K19" s="114">
        <v>330</v>
      </c>
      <c r="L19" s="125">
        <v>44907</v>
      </c>
    </row>
    <row r="20" spans="1:12" ht="14.25" customHeight="1" x14ac:dyDescent="0.25">
      <c r="A20" s="29" t="s">
        <v>287</v>
      </c>
      <c r="B20" s="29">
        <v>36.299999999999997</v>
      </c>
      <c r="C20" s="29">
        <v>49.63</v>
      </c>
      <c r="D20" s="29">
        <f t="shared" si="1"/>
        <v>13330.000000000005</v>
      </c>
      <c r="E20" s="64">
        <v>0</v>
      </c>
      <c r="F20" s="123">
        <v>0</v>
      </c>
      <c r="G20" s="29">
        <f t="shared" si="2"/>
        <v>0</v>
      </c>
      <c r="H20" s="51"/>
      <c r="I20" s="51"/>
      <c r="J20" s="114" t="s">
        <v>344</v>
      </c>
      <c r="K20" s="114">
        <v>2000</v>
      </c>
      <c r="L20" s="114" t="s">
        <v>345</v>
      </c>
    </row>
    <row r="21" spans="1:12" ht="14.25" customHeight="1" x14ac:dyDescent="0.25">
      <c r="A21" s="29"/>
      <c r="B21" s="29"/>
      <c r="C21" s="29"/>
      <c r="D21" s="29"/>
      <c r="E21" s="49"/>
      <c r="F21" s="49">
        <f>SUM(F2:F20)</f>
        <v>16600</v>
      </c>
      <c r="G21" s="49"/>
      <c r="H21" s="29"/>
      <c r="I21" s="29"/>
      <c r="J21" s="114" t="s">
        <v>346</v>
      </c>
      <c r="K21" s="114">
        <v>436</v>
      </c>
      <c r="L21" s="114" t="s">
        <v>347</v>
      </c>
    </row>
    <row r="22" spans="1:12" ht="14.25" customHeight="1" x14ac:dyDescent="0.25">
      <c r="A22" s="29"/>
      <c r="B22" s="29" t="s">
        <v>75</v>
      </c>
      <c r="C22" s="29"/>
      <c r="D22" s="30">
        <f>SUM(D4:D20)</f>
        <v>123220</v>
      </c>
      <c r="E22" s="29"/>
      <c r="F22" s="29"/>
      <c r="G22" s="29"/>
      <c r="H22" s="29"/>
      <c r="I22" s="29"/>
      <c r="J22" s="114"/>
      <c r="K22" s="114">
        <f>SUM(K11:K21)</f>
        <v>47583</v>
      </c>
      <c r="L22" s="114"/>
    </row>
    <row r="23" spans="1:12" ht="14.25" customHeight="1" x14ac:dyDescent="0.25">
      <c r="A23" s="29"/>
      <c r="B23" s="29" t="s">
        <v>243</v>
      </c>
      <c r="C23" s="29" t="s">
        <v>244</v>
      </c>
      <c r="D23" s="111">
        <f>B24/D22</f>
        <v>8.115565654926149E-2</v>
      </c>
      <c r="E23" s="29"/>
      <c r="F23" s="29"/>
      <c r="G23" s="29" t="s">
        <v>205</v>
      </c>
      <c r="H23" s="29">
        <v>7957</v>
      </c>
      <c r="I23" s="29"/>
      <c r="J23" s="114"/>
      <c r="K23" s="114"/>
      <c r="L23" s="114"/>
    </row>
    <row r="24" spans="1:12" ht="14.25" customHeight="1" x14ac:dyDescent="0.25">
      <c r="A24" s="29" t="s">
        <v>85</v>
      </c>
      <c r="B24" s="30">
        <v>10000</v>
      </c>
      <c r="C24" s="119" t="s">
        <v>308</v>
      </c>
      <c r="D24" s="29"/>
      <c r="E24" s="29">
        <v>10000</v>
      </c>
      <c r="F24" s="29"/>
      <c r="G24" s="29"/>
      <c r="H24" s="29"/>
      <c r="I24" s="29"/>
      <c r="J24" s="114"/>
      <c r="K24" s="114"/>
      <c r="L24" s="114"/>
    </row>
    <row r="25" spans="1:12" ht="14.25" customHeight="1" x14ac:dyDescent="0.25">
      <c r="A25" s="114"/>
      <c r="B25" s="114"/>
      <c r="C25" s="114"/>
      <c r="D25" s="114"/>
      <c r="E25" s="114"/>
      <c r="F25" s="114"/>
      <c r="G25" s="114"/>
      <c r="H25" s="114"/>
      <c r="I25" s="114"/>
      <c r="J25" s="114"/>
      <c r="K25" s="114"/>
      <c r="L25" s="114"/>
    </row>
    <row r="26" spans="1:12" ht="14.25" customHeight="1" x14ac:dyDescent="0.25">
      <c r="A26" s="114"/>
      <c r="B26" s="114"/>
      <c r="C26" s="114" t="s">
        <v>348</v>
      </c>
      <c r="D26" s="127">
        <v>44897</v>
      </c>
      <c r="E26" s="114"/>
      <c r="F26" s="114"/>
      <c r="G26" s="114"/>
      <c r="H26" s="114"/>
      <c r="I26" s="114"/>
      <c r="J26" s="114"/>
      <c r="K26" s="114"/>
      <c r="L26" s="114"/>
    </row>
    <row r="27" spans="1:12" ht="14.25" customHeight="1" x14ac:dyDescent="0.25">
      <c r="A27" s="114"/>
      <c r="B27" s="114"/>
      <c r="C27" s="114" t="s">
        <v>349</v>
      </c>
      <c r="D27" s="127">
        <v>44901</v>
      </c>
      <c r="E27" s="114"/>
      <c r="F27" s="114"/>
      <c r="G27" s="114"/>
      <c r="H27" s="114"/>
      <c r="I27" s="114"/>
      <c r="J27" s="114"/>
      <c r="K27" s="114"/>
      <c r="L27" s="114"/>
    </row>
    <row r="28" spans="1:12" ht="14.25" customHeight="1" x14ac:dyDescent="0.25">
      <c r="A28" s="114"/>
      <c r="B28" s="114"/>
      <c r="C28" s="114"/>
      <c r="D28" s="127">
        <v>44905</v>
      </c>
      <c r="E28" s="114"/>
      <c r="F28" s="114"/>
      <c r="G28" s="114"/>
      <c r="H28" s="114"/>
      <c r="I28" s="114"/>
      <c r="J28" s="114"/>
      <c r="K28" s="114"/>
      <c r="L28" s="114"/>
    </row>
    <row r="29" spans="1:12" ht="14.25" customHeight="1" x14ac:dyDescent="0.25">
      <c r="A29" s="114"/>
      <c r="B29" s="114"/>
      <c r="C29" s="114"/>
      <c r="D29" s="127">
        <v>44910</v>
      </c>
      <c r="E29" s="114"/>
      <c r="F29" s="114"/>
      <c r="G29" s="114"/>
      <c r="H29" s="114"/>
      <c r="I29" s="114"/>
      <c r="J29" s="114"/>
      <c r="K29" s="114"/>
      <c r="L29" s="114"/>
    </row>
    <row r="30" spans="1:12" ht="14.25" customHeight="1" x14ac:dyDescent="0.25">
      <c r="A30" s="114"/>
      <c r="B30" s="114"/>
      <c r="C30" s="114"/>
      <c r="D30" s="127">
        <v>44912</v>
      </c>
      <c r="E30" s="114"/>
      <c r="F30" s="114"/>
      <c r="G30" s="114"/>
      <c r="H30" s="114"/>
      <c r="I30" s="114"/>
      <c r="J30" s="114"/>
      <c r="K30" s="114"/>
      <c r="L30" s="114"/>
    </row>
    <row r="31" spans="1:12" ht="14.25" customHeight="1" x14ac:dyDescent="0.25">
      <c r="A31" s="114"/>
      <c r="B31" s="114"/>
      <c r="C31" s="114"/>
      <c r="D31" s="127">
        <v>44916</v>
      </c>
      <c r="E31" s="114"/>
      <c r="F31" s="114"/>
      <c r="G31" s="114"/>
      <c r="H31" s="114"/>
      <c r="I31" s="114"/>
      <c r="J31" s="114"/>
      <c r="K31" s="114"/>
      <c r="L31" s="114"/>
    </row>
    <row r="32" spans="1:12" ht="14.25" customHeight="1" x14ac:dyDescent="0.25">
      <c r="A32" s="114"/>
      <c r="B32" s="114"/>
      <c r="C32" s="114"/>
      <c r="D32" s="127">
        <v>44919</v>
      </c>
      <c r="E32" s="114"/>
      <c r="F32" s="114"/>
      <c r="G32" s="114"/>
      <c r="H32" s="114"/>
      <c r="I32" s="114"/>
      <c r="J32" s="114"/>
      <c r="K32" s="114"/>
      <c r="L32" s="114"/>
    </row>
    <row r="33" spans="3:4" ht="14.25" customHeight="1" x14ac:dyDescent="0.25">
      <c r="C33" s="114"/>
      <c r="D33" s="127">
        <v>44922</v>
      </c>
    </row>
    <row r="34" spans="3:4" ht="14.25" customHeight="1" x14ac:dyDescent="0.25">
      <c r="C34" s="114"/>
      <c r="D34" s="127">
        <v>44925</v>
      </c>
    </row>
  </sheetData>
  <mergeCells count="1">
    <mergeCell ref="J10:K10"/>
  </mergeCells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M25"/>
  <sheetViews>
    <sheetView workbookViewId="0"/>
  </sheetViews>
  <sheetFormatPr defaultColWidth="14.42578125" defaultRowHeight="15" customHeight="1" x14ac:dyDescent="0.25"/>
  <cols>
    <col min="1" max="1" width="14.5703125" customWidth="1"/>
    <col min="2" max="2" width="22.7109375" customWidth="1"/>
    <col min="3" max="3" width="34.5703125" customWidth="1"/>
    <col min="4" max="4" width="10.5703125" customWidth="1"/>
    <col min="5" max="5" width="9.85546875" customWidth="1"/>
    <col min="6" max="6" width="20.85546875" customWidth="1"/>
    <col min="7" max="7" width="14.5703125" customWidth="1"/>
    <col min="8" max="8" width="14.85546875" customWidth="1"/>
    <col min="9" max="9" width="55.28515625" customWidth="1"/>
    <col min="10" max="10" width="32.140625" customWidth="1"/>
    <col min="11" max="11" width="6.140625" customWidth="1"/>
    <col min="12" max="12" width="7.85546875" customWidth="1"/>
    <col min="13" max="13" width="16.42578125" customWidth="1"/>
  </cols>
  <sheetData>
    <row r="1" spans="1:13" ht="14.25" customHeight="1" x14ac:dyDescent="0.25">
      <c r="A1" s="49" t="s">
        <v>64</v>
      </c>
      <c r="B1" s="49" t="s">
        <v>80</v>
      </c>
      <c r="C1" s="49" t="s">
        <v>236</v>
      </c>
      <c r="D1" s="49" t="s">
        <v>66</v>
      </c>
      <c r="E1" s="113" t="s">
        <v>52</v>
      </c>
      <c r="F1" s="29" t="s">
        <v>81</v>
      </c>
      <c r="G1" s="29" t="s">
        <v>82</v>
      </c>
      <c r="H1" s="49" t="s">
        <v>128</v>
      </c>
      <c r="I1" s="49" t="s">
        <v>331</v>
      </c>
      <c r="J1" s="124" t="s">
        <v>350</v>
      </c>
      <c r="K1" s="128">
        <v>7957</v>
      </c>
      <c r="L1" s="114"/>
      <c r="M1" s="114" t="s">
        <v>351</v>
      </c>
    </row>
    <row r="2" spans="1:13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 t="shared" ref="G2:G20" si="0">SUM(E2:F2)</f>
        <v>300</v>
      </c>
      <c r="H2" s="120"/>
      <c r="I2" s="120"/>
      <c r="J2" s="114"/>
      <c r="K2" s="114"/>
      <c r="L2" s="114"/>
      <c r="M2" s="114"/>
    </row>
    <row r="3" spans="1:13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f t="shared" si="0"/>
        <v>300</v>
      </c>
      <c r="H3" s="120"/>
      <c r="I3" s="120"/>
      <c r="J3" s="114"/>
      <c r="K3" s="114"/>
      <c r="L3" s="114"/>
      <c r="M3" s="114"/>
    </row>
    <row r="4" spans="1:13" ht="14.25" customHeight="1" x14ac:dyDescent="0.25">
      <c r="A4" s="32" t="s">
        <v>68</v>
      </c>
      <c r="B4" s="30">
        <v>28.11</v>
      </c>
      <c r="C4" s="30">
        <v>32.39</v>
      </c>
      <c r="D4" s="29">
        <f t="shared" ref="D4:D20" si="1">(C4-B4)*1000</f>
        <v>4280.0000000000009</v>
      </c>
      <c r="E4" s="64">
        <f>ROUND(D4*D23,0)</f>
        <v>513</v>
      </c>
      <c r="F4" s="29">
        <v>1000</v>
      </c>
      <c r="G4" s="29">
        <f t="shared" si="0"/>
        <v>1513</v>
      </c>
      <c r="H4" s="120" t="s">
        <v>311</v>
      </c>
      <c r="I4" s="120"/>
      <c r="J4" s="114"/>
      <c r="K4" s="114"/>
      <c r="L4" s="114"/>
      <c r="M4" s="114"/>
    </row>
    <row r="5" spans="1:13" ht="14.25" customHeight="1" x14ac:dyDescent="0.25">
      <c r="A5" s="32" t="s">
        <v>70</v>
      </c>
      <c r="B5" s="30">
        <v>118.96</v>
      </c>
      <c r="C5" s="30">
        <v>121.4</v>
      </c>
      <c r="D5" s="29">
        <f t="shared" si="1"/>
        <v>2440.0000000000118</v>
      </c>
      <c r="E5" s="64">
        <f>ROUND(D5*D23,0)</f>
        <v>292</v>
      </c>
      <c r="F5" s="29">
        <v>1000</v>
      </c>
      <c r="G5" s="29">
        <f t="shared" si="0"/>
        <v>1292</v>
      </c>
      <c r="H5" s="120" t="s">
        <v>311</v>
      </c>
      <c r="I5" s="120"/>
      <c r="J5" s="114"/>
      <c r="K5" s="114"/>
      <c r="L5" s="114"/>
      <c r="M5" s="114">
        <v>50</v>
      </c>
    </row>
    <row r="6" spans="1:13" ht="14.25" customHeight="1" x14ac:dyDescent="0.25">
      <c r="A6" s="32" t="s">
        <v>16</v>
      </c>
      <c r="B6" s="29">
        <v>224.33</v>
      </c>
      <c r="C6" s="29">
        <v>230.53</v>
      </c>
      <c r="D6" s="29">
        <f t="shared" si="1"/>
        <v>6199.9999999999891</v>
      </c>
      <c r="E6" s="64">
        <f>ROUND(D6*D23,0)</f>
        <v>742</v>
      </c>
      <c r="F6" s="29">
        <v>1000</v>
      </c>
      <c r="G6" s="29">
        <f t="shared" si="0"/>
        <v>1742</v>
      </c>
      <c r="H6" s="120" t="s">
        <v>311</v>
      </c>
      <c r="I6" s="120"/>
      <c r="J6" s="114"/>
      <c r="K6" s="114"/>
      <c r="L6" s="114"/>
      <c r="M6" s="114">
        <v>50</v>
      </c>
    </row>
    <row r="7" spans="1:13" ht="14.25" customHeight="1" x14ac:dyDescent="0.25">
      <c r="A7" s="32" t="s">
        <v>13</v>
      </c>
      <c r="B7" s="29">
        <v>189.76</v>
      </c>
      <c r="C7" s="29">
        <v>194.08</v>
      </c>
      <c r="D7" s="29">
        <f t="shared" si="1"/>
        <v>4320.0000000000218</v>
      </c>
      <c r="E7" s="64">
        <f>ROUND(D7*D23,0)</f>
        <v>517</v>
      </c>
      <c r="F7" s="29">
        <v>1000</v>
      </c>
      <c r="G7" s="29">
        <f t="shared" si="0"/>
        <v>1517</v>
      </c>
      <c r="H7" s="120" t="s">
        <v>311</v>
      </c>
      <c r="I7" s="120"/>
      <c r="J7" s="114"/>
      <c r="K7" s="114"/>
      <c r="L7" s="114"/>
      <c r="M7" s="114"/>
    </row>
    <row r="8" spans="1:13" ht="14.25" customHeight="1" x14ac:dyDescent="0.25">
      <c r="A8" s="73">
        <v>101</v>
      </c>
      <c r="B8" s="29">
        <v>0.38</v>
      </c>
      <c r="C8" s="29">
        <v>0.55000000000000004</v>
      </c>
      <c r="D8" s="29">
        <f t="shared" si="1"/>
        <v>170.00000000000003</v>
      </c>
      <c r="E8" s="64">
        <f>ROUND(D8*D23,0)</f>
        <v>20</v>
      </c>
      <c r="F8" s="64">
        <v>1000</v>
      </c>
      <c r="G8" s="29">
        <f t="shared" si="0"/>
        <v>1020</v>
      </c>
      <c r="H8" s="51" t="s">
        <v>311</v>
      </c>
      <c r="I8" s="126"/>
      <c r="J8" s="114"/>
      <c r="K8" s="114"/>
      <c r="L8" s="114"/>
      <c r="M8" s="114"/>
    </row>
    <row r="9" spans="1:13" ht="14.25" customHeight="1" x14ac:dyDescent="0.25">
      <c r="A9" s="32">
        <v>102</v>
      </c>
      <c r="B9" s="29">
        <v>330.04</v>
      </c>
      <c r="C9" s="29">
        <v>338.84</v>
      </c>
      <c r="D9" s="29">
        <f t="shared" si="1"/>
        <v>8799.9999999999545</v>
      </c>
      <c r="E9" s="64">
        <f>ROUND(D9*D23,0)</f>
        <v>1054</v>
      </c>
      <c r="F9" s="29">
        <v>1000</v>
      </c>
      <c r="G9" s="29">
        <f t="shared" si="0"/>
        <v>2054</v>
      </c>
      <c r="H9" s="120" t="s">
        <v>311</v>
      </c>
      <c r="I9" s="120"/>
      <c r="J9" s="114"/>
      <c r="K9" s="114"/>
      <c r="L9" s="114"/>
      <c r="M9" s="114"/>
    </row>
    <row r="10" spans="1:13" ht="14.25" customHeight="1" x14ac:dyDescent="0.25">
      <c r="A10" s="32">
        <v>103</v>
      </c>
      <c r="B10" s="29">
        <v>31.67</v>
      </c>
      <c r="C10" s="29">
        <v>32.549999999999997</v>
      </c>
      <c r="D10" s="29">
        <f t="shared" si="1"/>
        <v>879.99999999999545</v>
      </c>
      <c r="E10" s="64">
        <f>ROUND(D10*D23,0)</f>
        <v>105</v>
      </c>
      <c r="F10" s="29">
        <v>1000</v>
      </c>
      <c r="G10" s="29">
        <f t="shared" si="0"/>
        <v>1105</v>
      </c>
      <c r="H10" s="120" t="s">
        <v>311</v>
      </c>
      <c r="I10" s="120"/>
      <c r="J10" s="344" t="s">
        <v>239</v>
      </c>
      <c r="K10" s="337"/>
      <c r="L10" s="129"/>
      <c r="M10" s="114"/>
    </row>
    <row r="11" spans="1:13" ht="14.25" customHeight="1" x14ac:dyDescent="0.25">
      <c r="A11" s="32">
        <v>104</v>
      </c>
      <c r="B11" s="29">
        <v>225.2</v>
      </c>
      <c r="C11" s="29">
        <v>236.82</v>
      </c>
      <c r="D11" s="29">
        <f t="shared" si="1"/>
        <v>11620.000000000004</v>
      </c>
      <c r="E11" s="64">
        <f>ROUND(D11*D23,0)</f>
        <v>1391</v>
      </c>
      <c r="F11" s="29">
        <v>1000</v>
      </c>
      <c r="G11" s="29">
        <f t="shared" si="0"/>
        <v>2391</v>
      </c>
      <c r="H11" s="120" t="s">
        <v>311</v>
      </c>
      <c r="I11" s="120"/>
      <c r="J11" s="121" t="s">
        <v>352</v>
      </c>
      <c r="K11" s="114">
        <v>9000</v>
      </c>
      <c r="L11" s="114" t="s">
        <v>353</v>
      </c>
      <c r="M11" s="114">
        <v>50</v>
      </c>
    </row>
    <row r="12" spans="1:13" ht="14.25" customHeight="1" x14ac:dyDescent="0.25">
      <c r="A12" s="112">
        <v>201</v>
      </c>
      <c r="B12" s="29">
        <v>1.8</v>
      </c>
      <c r="C12" s="29">
        <v>1.81</v>
      </c>
      <c r="D12" s="29">
        <f t="shared" si="1"/>
        <v>10.000000000000009</v>
      </c>
      <c r="E12" s="64">
        <f>ROUND(D12*D23,0)</f>
        <v>1</v>
      </c>
      <c r="F12" s="64">
        <v>1000</v>
      </c>
      <c r="G12" s="29">
        <f t="shared" si="0"/>
        <v>1001</v>
      </c>
      <c r="H12" s="51" t="s">
        <v>316</v>
      </c>
      <c r="I12" s="114" t="s">
        <v>317</v>
      </c>
      <c r="J12" s="114" t="s">
        <v>354</v>
      </c>
      <c r="K12" s="114">
        <v>4700</v>
      </c>
      <c r="L12" s="114" t="s">
        <v>353</v>
      </c>
      <c r="M12" s="114"/>
    </row>
    <row r="13" spans="1:13" ht="14.25" customHeight="1" x14ac:dyDescent="0.25">
      <c r="A13" s="32">
        <v>202</v>
      </c>
      <c r="B13" s="29">
        <v>196.82</v>
      </c>
      <c r="C13" s="29">
        <v>199.62</v>
      </c>
      <c r="D13" s="29">
        <f t="shared" si="1"/>
        <v>2800.0000000000114</v>
      </c>
      <c r="E13" s="64">
        <f>ROUND(D13*D23,0)</f>
        <v>335</v>
      </c>
      <c r="F13" s="29">
        <v>1000</v>
      </c>
      <c r="G13" s="29">
        <f t="shared" si="0"/>
        <v>1335</v>
      </c>
      <c r="H13" s="120" t="s">
        <v>311</v>
      </c>
      <c r="I13" s="120"/>
      <c r="J13" s="114" t="s">
        <v>355</v>
      </c>
      <c r="K13" s="114">
        <v>2375</v>
      </c>
      <c r="L13" s="114" t="s">
        <v>356</v>
      </c>
      <c r="M13" s="114">
        <v>50</v>
      </c>
    </row>
    <row r="14" spans="1:13" ht="14.25" customHeight="1" x14ac:dyDescent="0.25">
      <c r="A14" s="32">
        <v>203</v>
      </c>
      <c r="B14" s="29">
        <v>212.73</v>
      </c>
      <c r="C14" s="29">
        <v>218.77</v>
      </c>
      <c r="D14" s="29">
        <f t="shared" si="1"/>
        <v>6040.00000000002</v>
      </c>
      <c r="E14" s="64">
        <f>ROUND(D14*D23,0)</f>
        <v>723</v>
      </c>
      <c r="F14" s="29">
        <v>1000</v>
      </c>
      <c r="G14" s="29">
        <f t="shared" si="0"/>
        <v>1723</v>
      </c>
      <c r="H14" s="120" t="s">
        <v>311</v>
      </c>
      <c r="I14" s="120"/>
      <c r="J14" s="122" t="s">
        <v>357</v>
      </c>
      <c r="K14" s="122">
        <v>245</v>
      </c>
      <c r="L14" s="122" t="s">
        <v>358</v>
      </c>
      <c r="M14" s="122">
        <v>50</v>
      </c>
    </row>
    <row r="15" spans="1:13" ht="14.25" customHeight="1" x14ac:dyDescent="0.25">
      <c r="A15" s="32">
        <v>204</v>
      </c>
      <c r="B15" s="29">
        <v>139.46</v>
      </c>
      <c r="C15" s="29">
        <v>143.57</v>
      </c>
      <c r="D15" s="29">
        <f t="shared" si="1"/>
        <v>4109.9999999999854</v>
      </c>
      <c r="E15" s="64">
        <f>ROUND(D15*D23,0)</f>
        <v>492</v>
      </c>
      <c r="F15" s="29">
        <v>1000</v>
      </c>
      <c r="G15" s="29">
        <f t="shared" si="0"/>
        <v>1492</v>
      </c>
      <c r="H15" s="120" t="s">
        <v>311</v>
      </c>
      <c r="I15" s="120"/>
      <c r="J15" s="114" t="s">
        <v>338</v>
      </c>
      <c r="K15" s="114">
        <v>2044</v>
      </c>
      <c r="L15" s="122" t="s">
        <v>359</v>
      </c>
      <c r="M15" s="122"/>
    </row>
    <row r="16" spans="1:13" ht="14.25" customHeight="1" x14ac:dyDescent="0.25">
      <c r="A16" s="73">
        <v>301</v>
      </c>
      <c r="B16" s="29">
        <v>0.8</v>
      </c>
      <c r="C16" s="29">
        <v>0.85</v>
      </c>
      <c r="D16" s="29">
        <f t="shared" si="1"/>
        <v>49.999999999999936</v>
      </c>
      <c r="E16" s="64">
        <f>ROUND(D16*D23,0)</f>
        <v>6</v>
      </c>
      <c r="F16" s="64">
        <v>1000</v>
      </c>
      <c r="G16" s="29">
        <f t="shared" si="0"/>
        <v>1006</v>
      </c>
      <c r="H16" s="51" t="s">
        <v>316</v>
      </c>
      <c r="I16" s="114" t="s">
        <v>317</v>
      </c>
      <c r="J16" s="114" t="s">
        <v>360</v>
      </c>
      <c r="K16" s="114">
        <v>6000</v>
      </c>
      <c r="L16" s="114" t="s">
        <v>361</v>
      </c>
      <c r="M16" s="114"/>
    </row>
    <row r="17" spans="1:13" ht="14.25" customHeight="1" x14ac:dyDescent="0.25">
      <c r="A17" s="73">
        <v>302</v>
      </c>
      <c r="B17" s="29">
        <v>25.19</v>
      </c>
      <c r="C17" s="29">
        <v>27.85</v>
      </c>
      <c r="D17" s="29">
        <f t="shared" si="1"/>
        <v>2660</v>
      </c>
      <c r="E17" s="64">
        <f>ROUND(D17*D23,0)</f>
        <v>319</v>
      </c>
      <c r="F17" s="29">
        <v>1000</v>
      </c>
      <c r="G17" s="29">
        <f t="shared" si="0"/>
        <v>1319</v>
      </c>
      <c r="H17" s="120" t="s">
        <v>311</v>
      </c>
      <c r="I17" s="120"/>
      <c r="J17" s="114" t="s">
        <v>329</v>
      </c>
      <c r="K17" s="114">
        <v>100</v>
      </c>
      <c r="L17" s="114"/>
      <c r="M17" s="114"/>
    </row>
    <row r="18" spans="1:13" ht="14.25" customHeight="1" x14ac:dyDescent="0.25">
      <c r="A18" s="32">
        <v>303</v>
      </c>
      <c r="B18" s="29">
        <v>513</v>
      </c>
      <c r="C18" s="29">
        <v>525.33000000000004</v>
      </c>
      <c r="D18" s="29">
        <f t="shared" si="1"/>
        <v>12330.00000000004</v>
      </c>
      <c r="E18" s="64">
        <f>ROUND(D18*D23,0)</f>
        <v>1476</v>
      </c>
      <c r="F18" s="29">
        <v>1000</v>
      </c>
      <c r="G18" s="29">
        <f t="shared" si="0"/>
        <v>2476</v>
      </c>
      <c r="H18" s="120" t="s">
        <v>311</v>
      </c>
      <c r="I18" s="120"/>
      <c r="J18" s="114" t="s">
        <v>362</v>
      </c>
      <c r="K18" s="114">
        <v>150</v>
      </c>
      <c r="L18" s="114" t="s">
        <v>363</v>
      </c>
      <c r="M18" s="114">
        <v>50</v>
      </c>
    </row>
    <row r="19" spans="1:13" ht="14.25" customHeight="1" x14ac:dyDescent="0.25">
      <c r="A19" s="32">
        <v>304</v>
      </c>
      <c r="B19" s="30">
        <v>91.05</v>
      </c>
      <c r="C19" s="30">
        <v>99.5</v>
      </c>
      <c r="D19" s="29">
        <f t="shared" si="1"/>
        <v>8450.0000000000036</v>
      </c>
      <c r="E19" s="64">
        <f>ROUND(D19*D23,0)</f>
        <v>1012</v>
      </c>
      <c r="F19" s="29">
        <v>1000</v>
      </c>
      <c r="G19" s="29">
        <f t="shared" si="0"/>
        <v>2012</v>
      </c>
      <c r="H19" s="120" t="s">
        <v>311</v>
      </c>
      <c r="I19" s="120"/>
      <c r="J19" s="114"/>
      <c r="K19" s="128">
        <f>SUM(K11:K18)</f>
        <v>24614</v>
      </c>
      <c r="L19" s="114"/>
      <c r="M19" s="114">
        <v>50</v>
      </c>
    </row>
    <row r="20" spans="1:13" ht="14.25" customHeight="1" x14ac:dyDescent="0.25">
      <c r="A20" s="29" t="s">
        <v>287</v>
      </c>
      <c r="B20" s="29">
        <v>49.63</v>
      </c>
      <c r="C20" s="29">
        <v>49.63</v>
      </c>
      <c r="D20" s="29">
        <f t="shared" si="1"/>
        <v>0</v>
      </c>
      <c r="E20" s="64">
        <v>0</v>
      </c>
      <c r="F20" s="123">
        <v>0</v>
      </c>
      <c r="G20" s="29">
        <f t="shared" si="0"/>
        <v>0</v>
      </c>
      <c r="H20" s="51"/>
      <c r="I20" s="51"/>
      <c r="J20" s="122"/>
      <c r="K20" s="122"/>
      <c r="L20" s="122"/>
      <c r="M20" s="114"/>
    </row>
    <row r="21" spans="1:13" ht="14.25" customHeight="1" x14ac:dyDescent="0.25">
      <c r="A21" s="29"/>
      <c r="B21" s="29"/>
      <c r="C21" s="29"/>
      <c r="D21" s="29"/>
      <c r="E21" s="49"/>
      <c r="F21" s="49"/>
      <c r="G21" s="49"/>
      <c r="H21" s="29"/>
      <c r="I21" s="29"/>
      <c r="J21" s="114"/>
      <c r="K21" s="114"/>
      <c r="L21" s="114"/>
      <c r="M21" s="114"/>
    </row>
    <row r="22" spans="1:13" ht="14.25" customHeight="1" x14ac:dyDescent="0.25">
      <c r="A22" s="29"/>
      <c r="B22" s="29" t="s">
        <v>75</v>
      </c>
      <c r="C22" s="29"/>
      <c r="D22" s="30">
        <f>SUM(D4:D20)</f>
        <v>75160.000000000044</v>
      </c>
      <c r="E22" s="29"/>
      <c r="F22" s="29"/>
      <c r="G22" s="29"/>
      <c r="H22" s="29"/>
      <c r="I22" s="29"/>
      <c r="J22" s="114"/>
      <c r="K22" s="114"/>
      <c r="L22" s="114"/>
      <c r="M22" s="114"/>
    </row>
    <row r="23" spans="1:13" ht="14.25" customHeight="1" x14ac:dyDescent="0.25">
      <c r="A23" s="29"/>
      <c r="B23" s="29" t="s">
        <v>243</v>
      </c>
      <c r="C23" s="29" t="s">
        <v>244</v>
      </c>
      <c r="D23" s="111">
        <f>B24/D22</f>
        <v>0.11974454497072905</v>
      </c>
      <c r="E23" s="29"/>
      <c r="F23" s="29"/>
      <c r="G23" s="29" t="s">
        <v>205</v>
      </c>
      <c r="H23" s="29">
        <v>6684</v>
      </c>
      <c r="I23" s="29"/>
      <c r="J23" s="114"/>
      <c r="K23" s="114"/>
      <c r="L23" s="114"/>
      <c r="M23" s="114"/>
    </row>
    <row r="24" spans="1:13" ht="14.25" customHeight="1" x14ac:dyDescent="0.25">
      <c r="A24" s="29" t="s">
        <v>85</v>
      </c>
      <c r="B24" s="30">
        <v>9000</v>
      </c>
      <c r="C24" s="119" t="s">
        <v>273</v>
      </c>
      <c r="D24" s="29"/>
      <c r="E24" s="29"/>
      <c r="F24" s="29"/>
      <c r="G24" s="29"/>
      <c r="H24" s="29"/>
      <c r="I24" s="29"/>
      <c r="J24" s="114"/>
      <c r="K24" s="114"/>
      <c r="L24" s="114"/>
      <c r="M24" s="128">
        <v>350</v>
      </c>
    </row>
    <row r="25" spans="1:13" ht="14.25" customHeight="1" x14ac:dyDescent="0.25">
      <c r="G25" s="130" t="s">
        <v>364</v>
      </c>
    </row>
  </sheetData>
  <mergeCells count="1">
    <mergeCell ref="J10:K10"/>
  </mergeCells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N24"/>
  <sheetViews>
    <sheetView workbookViewId="0"/>
  </sheetViews>
  <sheetFormatPr defaultColWidth="14.42578125" defaultRowHeight="15" customHeight="1" x14ac:dyDescent="0.25"/>
  <cols>
    <col min="1" max="1" width="15.7109375" customWidth="1"/>
    <col min="2" max="2" width="22.7109375" customWidth="1"/>
    <col min="3" max="3" width="35.5703125" customWidth="1"/>
    <col min="4" max="4" width="10.5703125" customWidth="1"/>
    <col min="5" max="5" width="9.85546875" customWidth="1"/>
    <col min="6" max="6" width="21.42578125" customWidth="1"/>
    <col min="7" max="7" width="11.7109375" customWidth="1"/>
    <col min="8" max="9" width="16.5703125" customWidth="1"/>
    <col min="10" max="10" width="14.85546875" customWidth="1"/>
    <col min="11" max="11" width="47.7109375" customWidth="1"/>
    <col min="12" max="12" width="35.5703125" customWidth="1"/>
    <col min="13" max="13" width="6.140625" customWidth="1"/>
    <col min="14" max="14" width="8.42578125" customWidth="1"/>
  </cols>
  <sheetData>
    <row r="1" spans="1:14" ht="14.25" customHeight="1" x14ac:dyDescent="0.25">
      <c r="A1" s="49" t="s">
        <v>64</v>
      </c>
      <c r="B1" s="49" t="s">
        <v>80</v>
      </c>
      <c r="C1" s="49" t="s">
        <v>236</v>
      </c>
      <c r="D1" s="49" t="s">
        <v>66</v>
      </c>
      <c r="E1" s="113" t="s">
        <v>52</v>
      </c>
      <c r="F1" s="29" t="s">
        <v>81</v>
      </c>
      <c r="G1" s="29" t="s">
        <v>365</v>
      </c>
      <c r="H1" s="29" t="s">
        <v>366</v>
      </c>
      <c r="I1" s="29" t="s">
        <v>367</v>
      </c>
      <c r="J1" s="49" t="s">
        <v>128</v>
      </c>
      <c r="K1" s="49" t="s">
        <v>331</v>
      </c>
      <c r="L1" s="124" t="s">
        <v>368</v>
      </c>
      <c r="M1" s="128">
        <v>6684</v>
      </c>
      <c r="N1" s="114"/>
    </row>
    <row r="2" spans="1:14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 t="shared" ref="G2:G20" si="0">SUM(E2:F2)</f>
        <v>300</v>
      </c>
      <c r="H2" s="29">
        <v>0</v>
      </c>
      <c r="I2" s="29">
        <f t="shared" ref="I2:I20" si="1">G2+H2</f>
        <v>300</v>
      </c>
      <c r="J2" s="120" t="s">
        <v>369</v>
      </c>
      <c r="K2" s="120"/>
      <c r="L2" s="114"/>
      <c r="M2" s="114"/>
      <c r="N2" s="114"/>
    </row>
    <row r="3" spans="1:14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f t="shared" si="0"/>
        <v>300</v>
      </c>
      <c r="H3" s="29">
        <v>0</v>
      </c>
      <c r="I3" s="29">
        <f t="shared" si="1"/>
        <v>300</v>
      </c>
      <c r="J3" s="120" t="s">
        <v>369</v>
      </c>
      <c r="K3" s="120"/>
      <c r="L3" s="114"/>
      <c r="M3" s="114"/>
      <c r="N3" s="114"/>
    </row>
    <row r="4" spans="1:14" ht="14.25" customHeight="1" x14ac:dyDescent="0.25">
      <c r="A4" s="32" t="s">
        <v>68</v>
      </c>
      <c r="B4" s="30">
        <v>32.39</v>
      </c>
      <c r="C4" s="30">
        <v>37.06</v>
      </c>
      <c r="D4" s="29">
        <f t="shared" ref="D4:D20" si="2">(C4-B4)*1000</f>
        <v>4670.0000000000018</v>
      </c>
      <c r="E4" s="64">
        <f>ROUND(D4*D23,0)</f>
        <v>376</v>
      </c>
      <c r="F4" s="29">
        <v>1000</v>
      </c>
      <c r="G4" s="29">
        <f t="shared" si="0"/>
        <v>1376</v>
      </c>
      <c r="H4" s="29">
        <v>50</v>
      </c>
      <c r="I4" s="29">
        <f t="shared" si="1"/>
        <v>1426</v>
      </c>
      <c r="J4" s="120" t="s">
        <v>316</v>
      </c>
      <c r="K4" s="120"/>
      <c r="L4" s="114"/>
      <c r="M4" s="114"/>
      <c r="N4" s="114"/>
    </row>
    <row r="5" spans="1:14" ht="14.25" customHeight="1" x14ac:dyDescent="0.25">
      <c r="A5" s="32" t="s">
        <v>70</v>
      </c>
      <c r="B5" s="30">
        <v>121.4</v>
      </c>
      <c r="C5" s="30">
        <v>124.75</v>
      </c>
      <c r="D5" s="29">
        <f t="shared" si="2"/>
        <v>3349.9999999999945</v>
      </c>
      <c r="E5" s="64">
        <f>ROUND(D5*D23,0)</f>
        <v>270</v>
      </c>
      <c r="F5" s="29">
        <v>1000</v>
      </c>
      <c r="G5" s="29">
        <f t="shared" si="0"/>
        <v>1270</v>
      </c>
      <c r="H5" s="29">
        <v>50</v>
      </c>
      <c r="I5" s="29">
        <f t="shared" si="1"/>
        <v>1320</v>
      </c>
      <c r="J5" s="120" t="s">
        <v>316</v>
      </c>
      <c r="K5" s="120"/>
      <c r="L5" s="114"/>
      <c r="M5" s="114"/>
      <c r="N5" s="114"/>
    </row>
    <row r="6" spans="1:14" ht="14.25" customHeight="1" x14ac:dyDescent="0.25">
      <c r="A6" s="32" t="s">
        <v>16</v>
      </c>
      <c r="B6" s="29">
        <v>230.53</v>
      </c>
      <c r="C6" s="30">
        <v>240.21</v>
      </c>
      <c r="D6" s="29">
        <f t="shared" si="2"/>
        <v>9680.0000000000073</v>
      </c>
      <c r="E6" s="64">
        <f>ROUND(D6*D23,0)</f>
        <v>780</v>
      </c>
      <c r="F6" s="29">
        <v>1000</v>
      </c>
      <c r="G6" s="29">
        <f t="shared" si="0"/>
        <v>1780</v>
      </c>
      <c r="H6" s="29">
        <v>50</v>
      </c>
      <c r="I6" s="29">
        <f t="shared" si="1"/>
        <v>1830</v>
      </c>
      <c r="J6" s="120" t="s">
        <v>316</v>
      </c>
      <c r="K6" s="120"/>
      <c r="L6" s="114"/>
      <c r="M6" s="114"/>
      <c r="N6" s="114"/>
    </row>
    <row r="7" spans="1:14" ht="14.25" customHeight="1" x14ac:dyDescent="0.25">
      <c r="A7" s="32" t="s">
        <v>13</v>
      </c>
      <c r="B7" s="29">
        <v>194.08</v>
      </c>
      <c r="C7" s="30">
        <v>200.82</v>
      </c>
      <c r="D7" s="29">
        <f t="shared" si="2"/>
        <v>6739.9999999999809</v>
      </c>
      <c r="E7" s="64">
        <f>ROUND(D7*D23,0)</f>
        <v>543</v>
      </c>
      <c r="F7" s="29">
        <v>1000</v>
      </c>
      <c r="G7" s="29">
        <f t="shared" si="0"/>
        <v>1543</v>
      </c>
      <c r="H7" s="29">
        <v>50</v>
      </c>
      <c r="I7" s="29">
        <f t="shared" si="1"/>
        <v>1593</v>
      </c>
      <c r="J7" s="120" t="s">
        <v>316</v>
      </c>
      <c r="K7" s="120"/>
      <c r="L7" s="114"/>
      <c r="M7" s="114"/>
      <c r="N7" s="114"/>
    </row>
    <row r="8" spans="1:14" ht="14.25" customHeight="1" x14ac:dyDescent="0.25">
      <c r="A8" s="73">
        <v>101</v>
      </c>
      <c r="B8" s="29">
        <v>0.55000000000000004</v>
      </c>
      <c r="C8" s="30">
        <v>0.55000000000000004</v>
      </c>
      <c r="D8" s="29">
        <f t="shared" si="2"/>
        <v>0</v>
      </c>
      <c r="E8" s="64">
        <f>ROUND(D8*D23,0)</f>
        <v>0</v>
      </c>
      <c r="F8" s="64">
        <v>1000</v>
      </c>
      <c r="G8" s="29">
        <f t="shared" si="0"/>
        <v>1000</v>
      </c>
      <c r="H8" s="29">
        <v>0</v>
      </c>
      <c r="I8" s="29">
        <f t="shared" si="1"/>
        <v>1000</v>
      </c>
      <c r="J8" s="51" t="s">
        <v>316</v>
      </c>
      <c r="K8" s="126"/>
      <c r="L8" s="114"/>
      <c r="M8" s="114"/>
      <c r="N8" s="114"/>
    </row>
    <row r="9" spans="1:14" ht="14.25" customHeight="1" x14ac:dyDescent="0.25">
      <c r="A9" s="32">
        <v>102</v>
      </c>
      <c r="B9" s="29">
        <v>338.84</v>
      </c>
      <c r="C9" s="30">
        <v>366.51</v>
      </c>
      <c r="D9" s="29">
        <f t="shared" si="2"/>
        <v>27670.000000000015</v>
      </c>
      <c r="E9" s="64">
        <f>ROUND(D9*D23,0)</f>
        <v>2229</v>
      </c>
      <c r="F9" s="29">
        <v>1000</v>
      </c>
      <c r="G9" s="29">
        <f t="shared" si="0"/>
        <v>3229</v>
      </c>
      <c r="H9" s="29">
        <v>50</v>
      </c>
      <c r="I9" s="29">
        <f t="shared" si="1"/>
        <v>3279</v>
      </c>
      <c r="J9" s="120" t="s">
        <v>316</v>
      </c>
      <c r="K9" s="120"/>
      <c r="L9" s="114"/>
      <c r="M9" s="114"/>
      <c r="N9" s="114"/>
    </row>
    <row r="10" spans="1:14" ht="14.25" customHeight="1" x14ac:dyDescent="0.25">
      <c r="A10" s="32">
        <v>103</v>
      </c>
      <c r="B10" s="29">
        <v>32.549999999999997</v>
      </c>
      <c r="C10" s="30">
        <v>35.090000000000003</v>
      </c>
      <c r="D10" s="29">
        <f t="shared" si="2"/>
        <v>2540.0000000000064</v>
      </c>
      <c r="E10" s="64">
        <f>ROUND(D10*D23,0)</f>
        <v>205</v>
      </c>
      <c r="F10" s="29">
        <v>1000</v>
      </c>
      <c r="G10" s="29">
        <f t="shared" si="0"/>
        <v>1205</v>
      </c>
      <c r="H10" s="29">
        <v>50</v>
      </c>
      <c r="I10" s="29">
        <f t="shared" si="1"/>
        <v>1255</v>
      </c>
      <c r="J10" s="120" t="s">
        <v>316</v>
      </c>
      <c r="K10" s="120"/>
      <c r="L10" s="344" t="s">
        <v>239</v>
      </c>
      <c r="M10" s="337"/>
      <c r="N10" s="60"/>
    </row>
    <row r="11" spans="1:14" ht="14.25" customHeight="1" x14ac:dyDescent="0.25">
      <c r="A11" s="32">
        <v>104</v>
      </c>
      <c r="B11" s="29">
        <v>236.82</v>
      </c>
      <c r="C11" s="30">
        <v>246.88</v>
      </c>
      <c r="D11" s="29">
        <f t="shared" si="2"/>
        <v>10060.000000000002</v>
      </c>
      <c r="E11" s="64">
        <f>ROUND(D11*D23,0)</f>
        <v>811</v>
      </c>
      <c r="F11" s="29">
        <v>1000</v>
      </c>
      <c r="G11" s="29">
        <f t="shared" si="0"/>
        <v>1811</v>
      </c>
      <c r="H11" s="29">
        <v>50</v>
      </c>
      <c r="I11" s="29">
        <f t="shared" si="1"/>
        <v>1861</v>
      </c>
      <c r="J11" s="120" t="s">
        <v>316</v>
      </c>
      <c r="K11" s="120"/>
      <c r="L11" s="121" t="s">
        <v>354</v>
      </c>
      <c r="M11" s="114">
        <v>6700</v>
      </c>
      <c r="N11" s="114" t="s">
        <v>370</v>
      </c>
    </row>
    <row r="12" spans="1:14" ht="14.25" customHeight="1" x14ac:dyDescent="0.25">
      <c r="A12" s="112">
        <v>201</v>
      </c>
      <c r="B12" s="29">
        <v>1.81</v>
      </c>
      <c r="C12" s="30">
        <v>1.81</v>
      </c>
      <c r="D12" s="29">
        <f t="shared" si="2"/>
        <v>0</v>
      </c>
      <c r="E12" s="64">
        <f>ROUND(D12*D23,0)</f>
        <v>0</v>
      </c>
      <c r="F12" s="64">
        <v>1000</v>
      </c>
      <c r="G12" s="29">
        <f t="shared" si="0"/>
        <v>1000</v>
      </c>
      <c r="H12" s="29">
        <v>0</v>
      </c>
      <c r="I12" s="29">
        <f t="shared" si="1"/>
        <v>1000</v>
      </c>
      <c r="J12" s="51"/>
      <c r="K12" s="114" t="s">
        <v>371</v>
      </c>
      <c r="L12" s="114" t="s">
        <v>372</v>
      </c>
      <c r="M12" s="114">
        <v>11000</v>
      </c>
      <c r="N12" s="114" t="s">
        <v>370</v>
      </c>
    </row>
    <row r="13" spans="1:14" ht="14.25" customHeight="1" x14ac:dyDescent="0.25">
      <c r="A13" s="32">
        <v>202</v>
      </c>
      <c r="B13" s="29">
        <v>199.62</v>
      </c>
      <c r="C13" s="30">
        <v>203.83</v>
      </c>
      <c r="D13" s="29">
        <f t="shared" si="2"/>
        <v>4210.0000000000082</v>
      </c>
      <c r="E13" s="64">
        <f>ROUND(D13*D23,0)</f>
        <v>339</v>
      </c>
      <c r="F13" s="29">
        <v>1000</v>
      </c>
      <c r="G13" s="29">
        <f t="shared" si="0"/>
        <v>1339</v>
      </c>
      <c r="H13" s="29">
        <v>50</v>
      </c>
      <c r="I13" s="29">
        <f t="shared" si="1"/>
        <v>1389</v>
      </c>
      <c r="J13" s="120" t="s">
        <v>316</v>
      </c>
      <c r="K13" s="120"/>
      <c r="L13" s="114" t="s">
        <v>373</v>
      </c>
      <c r="M13" s="114">
        <v>2044</v>
      </c>
      <c r="N13" s="114" t="s">
        <v>374</v>
      </c>
    </row>
    <row r="14" spans="1:14" ht="14.25" customHeight="1" x14ac:dyDescent="0.25">
      <c r="A14" s="32">
        <v>203</v>
      </c>
      <c r="B14" s="29">
        <v>218.77</v>
      </c>
      <c r="C14" s="30">
        <v>226.54</v>
      </c>
      <c r="D14" s="29">
        <f t="shared" si="2"/>
        <v>7769.9999999999818</v>
      </c>
      <c r="E14" s="64">
        <f>ROUND(D14*D23,0)</f>
        <v>626</v>
      </c>
      <c r="F14" s="29">
        <v>1000</v>
      </c>
      <c r="G14" s="29">
        <f t="shared" si="0"/>
        <v>1626</v>
      </c>
      <c r="H14" s="29">
        <v>50</v>
      </c>
      <c r="I14" s="29">
        <f t="shared" si="1"/>
        <v>1676</v>
      </c>
      <c r="J14" s="120" t="s">
        <v>316</v>
      </c>
      <c r="K14" s="120"/>
      <c r="L14" s="114" t="s">
        <v>375</v>
      </c>
      <c r="M14" s="114">
        <v>2224</v>
      </c>
      <c r="N14" s="114" t="s">
        <v>374</v>
      </c>
    </row>
    <row r="15" spans="1:14" ht="14.25" customHeight="1" x14ac:dyDescent="0.25">
      <c r="A15" s="32">
        <v>204</v>
      </c>
      <c r="B15" s="29">
        <v>143.57</v>
      </c>
      <c r="C15" s="30">
        <v>150.28</v>
      </c>
      <c r="D15" s="29">
        <f t="shared" si="2"/>
        <v>6710.0000000000082</v>
      </c>
      <c r="E15" s="64">
        <f>ROUND(D15*D23,0)</f>
        <v>541</v>
      </c>
      <c r="F15" s="29">
        <v>1000</v>
      </c>
      <c r="G15" s="29">
        <f t="shared" si="0"/>
        <v>1541</v>
      </c>
      <c r="H15" s="29">
        <v>50</v>
      </c>
      <c r="I15" s="29">
        <f t="shared" si="1"/>
        <v>1591</v>
      </c>
      <c r="J15" s="120" t="s">
        <v>316</v>
      </c>
      <c r="K15" s="120"/>
      <c r="L15" s="114" t="s">
        <v>376</v>
      </c>
      <c r="M15" s="114">
        <v>350</v>
      </c>
      <c r="N15" s="114" t="s">
        <v>377</v>
      </c>
    </row>
    <row r="16" spans="1:14" ht="14.25" customHeight="1" x14ac:dyDescent="0.25">
      <c r="A16" s="73">
        <v>301</v>
      </c>
      <c r="B16" s="29">
        <v>0.85</v>
      </c>
      <c r="C16" s="30">
        <v>0.88</v>
      </c>
      <c r="D16" s="29">
        <f t="shared" si="2"/>
        <v>30.000000000000028</v>
      </c>
      <c r="E16" s="64">
        <f>ROUND(D16*D23,0)</f>
        <v>2</v>
      </c>
      <c r="F16" s="64">
        <v>1000</v>
      </c>
      <c r="G16" s="29">
        <f t="shared" si="0"/>
        <v>1002</v>
      </c>
      <c r="H16" s="29">
        <v>0</v>
      </c>
      <c r="I16" s="29">
        <f t="shared" si="1"/>
        <v>1002</v>
      </c>
      <c r="J16" s="51" t="s">
        <v>316</v>
      </c>
      <c r="K16" s="114" t="s">
        <v>371</v>
      </c>
      <c r="L16" s="114" t="s">
        <v>99</v>
      </c>
      <c r="M16" s="114">
        <v>40</v>
      </c>
      <c r="N16" s="114" t="s">
        <v>378</v>
      </c>
    </row>
    <row r="17" spans="1:14" ht="14.25" customHeight="1" x14ac:dyDescent="0.25">
      <c r="A17" s="73">
        <v>302</v>
      </c>
      <c r="B17" s="29">
        <v>27.85</v>
      </c>
      <c r="C17" s="30">
        <v>31.31</v>
      </c>
      <c r="D17" s="29">
        <f t="shared" si="2"/>
        <v>3459.9999999999973</v>
      </c>
      <c r="E17" s="64">
        <f>ROUND(D17*D23,0)</f>
        <v>279</v>
      </c>
      <c r="F17" s="29">
        <v>1000</v>
      </c>
      <c r="G17" s="29">
        <f t="shared" si="0"/>
        <v>1279</v>
      </c>
      <c r="H17" s="29">
        <v>50</v>
      </c>
      <c r="I17" s="29">
        <f t="shared" si="1"/>
        <v>1329</v>
      </c>
      <c r="J17" s="120" t="s">
        <v>316</v>
      </c>
      <c r="K17" s="120"/>
      <c r="L17" s="114" t="s">
        <v>379</v>
      </c>
      <c r="M17" s="114">
        <v>1200</v>
      </c>
      <c r="N17" s="114" t="s">
        <v>380</v>
      </c>
    </row>
    <row r="18" spans="1:14" ht="14.25" customHeight="1" x14ac:dyDescent="0.25">
      <c r="A18" s="32">
        <v>303</v>
      </c>
      <c r="B18" s="29">
        <v>525.33000000000004</v>
      </c>
      <c r="C18" s="30">
        <v>543.96</v>
      </c>
      <c r="D18" s="29">
        <f t="shared" si="2"/>
        <v>18629.999999999996</v>
      </c>
      <c r="E18" s="64">
        <f>ROUND(D18*D23,0)</f>
        <v>1501</v>
      </c>
      <c r="F18" s="29">
        <v>1000</v>
      </c>
      <c r="G18" s="29">
        <f t="shared" si="0"/>
        <v>2501</v>
      </c>
      <c r="H18" s="29">
        <v>50</v>
      </c>
      <c r="I18" s="29">
        <f t="shared" si="1"/>
        <v>2551</v>
      </c>
      <c r="J18" s="120" t="s">
        <v>316</v>
      </c>
      <c r="K18" s="120"/>
      <c r="L18" s="114"/>
      <c r="M18" s="114"/>
      <c r="N18" s="114"/>
    </row>
    <row r="19" spans="1:14" ht="14.25" customHeight="1" x14ac:dyDescent="0.25">
      <c r="A19" s="32">
        <v>304</v>
      </c>
      <c r="B19" s="30">
        <v>99.5</v>
      </c>
      <c r="C19" s="30">
        <v>107.33</v>
      </c>
      <c r="D19" s="29">
        <f t="shared" si="2"/>
        <v>7829.9999999999982</v>
      </c>
      <c r="E19" s="64">
        <f>ROUND(D19*D23,0)</f>
        <v>631</v>
      </c>
      <c r="F19" s="29">
        <v>1000</v>
      </c>
      <c r="G19" s="29">
        <f t="shared" si="0"/>
        <v>1631</v>
      </c>
      <c r="H19" s="29">
        <v>50</v>
      </c>
      <c r="I19" s="29">
        <f t="shared" si="1"/>
        <v>1681</v>
      </c>
      <c r="J19" s="120" t="s">
        <v>316</v>
      </c>
      <c r="K19" s="120"/>
      <c r="L19" s="114"/>
      <c r="M19" s="114"/>
      <c r="N19" s="114"/>
    </row>
    <row r="20" spans="1:14" ht="14.25" customHeight="1" x14ac:dyDescent="0.25">
      <c r="A20" s="29" t="s">
        <v>287</v>
      </c>
      <c r="B20" s="29">
        <v>49.63</v>
      </c>
      <c r="C20" s="30">
        <v>72.811000000000007</v>
      </c>
      <c r="D20" s="29">
        <f t="shared" si="2"/>
        <v>23181.000000000004</v>
      </c>
      <c r="E20" s="64">
        <v>0</v>
      </c>
      <c r="F20" s="123">
        <v>0</v>
      </c>
      <c r="G20" s="29">
        <f t="shared" si="0"/>
        <v>0</v>
      </c>
      <c r="H20" s="29">
        <v>0</v>
      </c>
      <c r="I20" s="29">
        <f t="shared" si="1"/>
        <v>0</v>
      </c>
      <c r="J20" s="51"/>
      <c r="K20" s="51"/>
      <c r="L20" s="114"/>
      <c r="M20" s="114"/>
      <c r="N20" s="114"/>
    </row>
    <row r="21" spans="1:14" ht="14.25" customHeight="1" x14ac:dyDescent="0.25">
      <c r="A21" s="29"/>
      <c r="B21" s="29"/>
      <c r="C21" s="29"/>
      <c r="D21" s="29"/>
      <c r="E21" s="49"/>
      <c r="F21" s="49"/>
      <c r="G21" s="49"/>
      <c r="H21" s="49">
        <f>SUM(H2:H20)</f>
        <v>650</v>
      </c>
      <c r="I21" s="49"/>
      <c r="J21" s="29"/>
      <c r="K21" s="29"/>
      <c r="L21" s="114"/>
      <c r="M21" s="114"/>
      <c r="N21" s="114"/>
    </row>
    <row r="22" spans="1:14" ht="14.25" customHeight="1" x14ac:dyDescent="0.25">
      <c r="A22" s="29"/>
      <c r="B22" s="29" t="s">
        <v>75</v>
      </c>
      <c r="C22" s="29"/>
      <c r="D22" s="30">
        <f>SUM(D4:D20)</f>
        <v>136531.00000000003</v>
      </c>
      <c r="E22" s="29"/>
      <c r="F22" s="29"/>
      <c r="G22" s="29"/>
      <c r="H22" s="29"/>
      <c r="I22" s="29"/>
      <c r="J22" s="29"/>
      <c r="K22" s="29"/>
      <c r="L22" s="114"/>
      <c r="M22" s="114"/>
      <c r="N22" s="114"/>
    </row>
    <row r="23" spans="1:14" ht="14.25" customHeight="1" x14ac:dyDescent="0.25">
      <c r="A23" s="29"/>
      <c r="B23" s="29" t="s">
        <v>243</v>
      </c>
      <c r="C23" s="29" t="s">
        <v>244</v>
      </c>
      <c r="D23" s="111">
        <f>B24/D22</f>
        <v>8.0567783140825147E-2</v>
      </c>
      <c r="E23" s="29"/>
      <c r="F23" s="29"/>
      <c r="G23" s="29" t="s">
        <v>205</v>
      </c>
      <c r="H23" s="29">
        <v>6907</v>
      </c>
      <c r="I23" s="29"/>
      <c r="J23" s="29"/>
      <c r="K23" s="29"/>
      <c r="L23" s="114"/>
      <c r="M23" s="114"/>
      <c r="N23" s="114"/>
    </row>
    <row r="24" spans="1:14" ht="14.25" customHeight="1" x14ac:dyDescent="0.25">
      <c r="A24" s="29" t="s">
        <v>85</v>
      </c>
      <c r="B24" s="30">
        <v>11000</v>
      </c>
      <c r="C24" s="119" t="s">
        <v>381</v>
      </c>
      <c r="D24" s="29"/>
      <c r="E24" s="29"/>
      <c r="F24" s="29"/>
      <c r="G24" s="29"/>
      <c r="H24" s="29"/>
      <c r="I24" s="29"/>
      <c r="J24" s="29"/>
      <c r="K24" s="29"/>
      <c r="L24" s="114"/>
      <c r="M24" s="114"/>
      <c r="N24" s="114"/>
    </row>
  </sheetData>
  <mergeCells count="1">
    <mergeCell ref="L10:M10"/>
  </mergeCells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N24"/>
  <sheetViews>
    <sheetView workbookViewId="0"/>
  </sheetViews>
  <sheetFormatPr defaultColWidth="14.42578125" defaultRowHeight="15" customHeight="1" x14ac:dyDescent="0.25"/>
  <cols>
    <col min="1" max="1" width="15.7109375" customWidth="1"/>
    <col min="2" max="2" width="22.7109375" customWidth="1"/>
    <col min="3" max="3" width="35.5703125" customWidth="1"/>
    <col min="4" max="4" width="10.5703125" customWidth="1"/>
    <col min="5" max="5" width="9.85546875" customWidth="1"/>
    <col min="6" max="6" width="21.42578125" customWidth="1"/>
    <col min="7" max="7" width="17.7109375" customWidth="1"/>
    <col min="8" max="9" width="16.5703125" customWidth="1"/>
    <col min="10" max="10" width="14.85546875" customWidth="1"/>
    <col min="11" max="11" width="47.140625" customWidth="1"/>
    <col min="12" max="12" width="21.7109375" customWidth="1"/>
    <col min="13" max="13" width="15.140625" customWidth="1"/>
    <col min="14" max="14" width="8.7109375" customWidth="1"/>
  </cols>
  <sheetData>
    <row r="1" spans="1:14" ht="14.25" customHeight="1" x14ac:dyDescent="0.25">
      <c r="A1" s="131" t="s">
        <v>64</v>
      </c>
      <c r="B1" s="131" t="s">
        <v>80</v>
      </c>
      <c r="C1" s="131" t="s">
        <v>236</v>
      </c>
      <c r="D1" s="131" t="s">
        <v>66</v>
      </c>
      <c r="E1" s="132" t="s">
        <v>52</v>
      </c>
      <c r="F1" s="133" t="s">
        <v>81</v>
      </c>
      <c r="G1" s="133" t="s">
        <v>365</v>
      </c>
      <c r="H1" s="133" t="s">
        <v>366</v>
      </c>
      <c r="I1" s="133" t="s">
        <v>367</v>
      </c>
      <c r="J1" s="131" t="s">
        <v>128</v>
      </c>
      <c r="K1" s="131" t="s">
        <v>331</v>
      </c>
      <c r="L1" s="134" t="s">
        <v>382</v>
      </c>
      <c r="M1" s="135">
        <v>6907</v>
      </c>
      <c r="N1" s="136"/>
    </row>
    <row r="2" spans="1:14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 t="shared" ref="G2:G20" si="0">SUM(E2:F2)</f>
        <v>300</v>
      </c>
      <c r="H2" s="29">
        <v>0</v>
      </c>
      <c r="I2" s="29">
        <f t="shared" ref="I2:I20" si="1">G2+H2</f>
        <v>300</v>
      </c>
      <c r="J2" s="120" t="s">
        <v>369</v>
      </c>
      <c r="K2" s="120"/>
      <c r="L2" s="114"/>
      <c r="M2" s="114"/>
      <c r="N2" s="114"/>
    </row>
    <row r="3" spans="1:14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f t="shared" si="0"/>
        <v>300</v>
      </c>
      <c r="H3" s="29">
        <v>0</v>
      </c>
      <c r="I3" s="29">
        <f t="shared" si="1"/>
        <v>300</v>
      </c>
      <c r="J3" s="120" t="s">
        <v>369</v>
      </c>
      <c r="K3" s="120"/>
      <c r="L3" s="114"/>
      <c r="M3" s="114"/>
      <c r="N3" s="114"/>
    </row>
    <row r="4" spans="1:14" ht="14.25" customHeight="1" x14ac:dyDescent="0.25">
      <c r="A4" s="32" t="s">
        <v>68</v>
      </c>
      <c r="B4" s="30">
        <v>37.06</v>
      </c>
      <c r="C4" s="30">
        <v>40.83</v>
      </c>
      <c r="D4" s="29">
        <f t="shared" ref="D4:D20" si="2">(C4-B4)*1000</f>
        <v>3769.9999999999959</v>
      </c>
      <c r="E4" s="64">
        <f>ROUND(D4*D23,0)</f>
        <v>388</v>
      </c>
      <c r="F4" s="29">
        <v>1000</v>
      </c>
      <c r="G4" s="29">
        <f t="shared" si="0"/>
        <v>1388</v>
      </c>
      <c r="H4" s="29">
        <v>50</v>
      </c>
      <c r="I4" s="29">
        <f t="shared" si="1"/>
        <v>1438</v>
      </c>
      <c r="J4" s="120" t="s">
        <v>316</v>
      </c>
      <c r="K4" s="120"/>
      <c r="L4" s="114"/>
      <c r="M4" s="114"/>
      <c r="N4" s="114"/>
    </row>
    <row r="5" spans="1:14" ht="14.25" customHeight="1" x14ac:dyDescent="0.25">
      <c r="A5" s="32" t="s">
        <v>70</v>
      </c>
      <c r="B5" s="30">
        <v>124.75</v>
      </c>
      <c r="C5" s="30">
        <v>128.22999999999999</v>
      </c>
      <c r="D5" s="29">
        <f t="shared" si="2"/>
        <v>3479.99999999999</v>
      </c>
      <c r="E5" s="64">
        <f>ROUND(D5*D23,0)</f>
        <v>358</v>
      </c>
      <c r="F5" s="29">
        <v>1000</v>
      </c>
      <c r="G5" s="29">
        <f t="shared" si="0"/>
        <v>1358</v>
      </c>
      <c r="H5" s="29">
        <v>50</v>
      </c>
      <c r="I5" s="29">
        <f t="shared" si="1"/>
        <v>1408</v>
      </c>
      <c r="J5" s="120" t="s">
        <v>316</v>
      </c>
      <c r="K5" s="120"/>
      <c r="L5" s="114"/>
      <c r="M5" s="114"/>
      <c r="N5" s="114"/>
    </row>
    <row r="6" spans="1:14" ht="14.25" customHeight="1" x14ac:dyDescent="0.25">
      <c r="A6" s="32" t="s">
        <v>16</v>
      </c>
      <c r="B6" s="29">
        <v>240.21</v>
      </c>
      <c r="C6" s="30">
        <v>249.13</v>
      </c>
      <c r="D6" s="29">
        <f t="shared" si="2"/>
        <v>8919.9999999999873</v>
      </c>
      <c r="E6" s="64">
        <f>ROUND(D6*D23,0)</f>
        <v>918</v>
      </c>
      <c r="F6" s="29">
        <v>1000</v>
      </c>
      <c r="G6" s="29">
        <f t="shared" si="0"/>
        <v>1918</v>
      </c>
      <c r="H6" s="29">
        <v>50</v>
      </c>
      <c r="I6" s="29">
        <f t="shared" si="1"/>
        <v>1968</v>
      </c>
      <c r="J6" s="120" t="s">
        <v>316</v>
      </c>
      <c r="K6" s="120"/>
      <c r="L6" s="114"/>
      <c r="M6" s="114"/>
      <c r="N6" s="114"/>
    </row>
    <row r="7" spans="1:14" ht="14.25" customHeight="1" x14ac:dyDescent="0.25">
      <c r="A7" s="32" t="s">
        <v>13</v>
      </c>
      <c r="B7" s="29">
        <v>200.82</v>
      </c>
      <c r="C7" s="30">
        <v>206.28</v>
      </c>
      <c r="D7" s="29">
        <f t="shared" si="2"/>
        <v>5460.0000000000082</v>
      </c>
      <c r="E7" s="64">
        <f>ROUND(D7*D23,0)</f>
        <v>562</v>
      </c>
      <c r="F7" s="29">
        <v>1000</v>
      </c>
      <c r="G7" s="29">
        <f t="shared" si="0"/>
        <v>1562</v>
      </c>
      <c r="H7" s="29">
        <v>50</v>
      </c>
      <c r="I7" s="29">
        <f t="shared" si="1"/>
        <v>1612</v>
      </c>
      <c r="J7" s="120" t="s">
        <v>316</v>
      </c>
      <c r="K7" s="120"/>
      <c r="L7" s="114"/>
      <c r="M7" s="114"/>
      <c r="N7" s="114"/>
    </row>
    <row r="8" spans="1:14" ht="14.25" customHeight="1" x14ac:dyDescent="0.25">
      <c r="A8" s="73">
        <v>101</v>
      </c>
      <c r="B8" s="29">
        <v>0.55000000000000004</v>
      </c>
      <c r="C8" s="30">
        <v>0.55000000000000004</v>
      </c>
      <c r="D8" s="29">
        <f t="shared" si="2"/>
        <v>0</v>
      </c>
      <c r="E8" s="64">
        <f>ROUND(D8*D23,0)</f>
        <v>0</v>
      </c>
      <c r="F8" s="64">
        <v>1000</v>
      </c>
      <c r="G8" s="29">
        <f t="shared" si="0"/>
        <v>1000</v>
      </c>
      <c r="H8" s="29">
        <v>0</v>
      </c>
      <c r="I8" s="29">
        <f t="shared" si="1"/>
        <v>1000</v>
      </c>
      <c r="J8" s="51" t="s">
        <v>316</v>
      </c>
      <c r="K8" s="126"/>
      <c r="L8" s="114"/>
      <c r="M8" s="114"/>
      <c r="N8" s="114"/>
    </row>
    <row r="9" spans="1:14" ht="14.25" customHeight="1" x14ac:dyDescent="0.25">
      <c r="A9" s="32">
        <v>102</v>
      </c>
      <c r="B9" s="29">
        <v>366.51</v>
      </c>
      <c r="C9" s="30">
        <v>387.55</v>
      </c>
      <c r="D9" s="29">
        <f t="shared" si="2"/>
        <v>21040.000000000022</v>
      </c>
      <c r="E9" s="64">
        <f>ROUND(D9*D23,0)</f>
        <v>2166</v>
      </c>
      <c r="F9" s="29">
        <v>1000</v>
      </c>
      <c r="G9" s="29">
        <f t="shared" si="0"/>
        <v>3166</v>
      </c>
      <c r="H9" s="29">
        <v>50</v>
      </c>
      <c r="I9" s="29">
        <f t="shared" si="1"/>
        <v>3216</v>
      </c>
      <c r="J9" s="120" t="s">
        <v>316</v>
      </c>
      <c r="K9" s="120"/>
      <c r="L9" s="114"/>
      <c r="M9" s="114"/>
      <c r="N9" s="114"/>
    </row>
    <row r="10" spans="1:14" ht="14.25" customHeight="1" x14ac:dyDescent="0.25">
      <c r="A10" s="32">
        <v>103</v>
      </c>
      <c r="B10" s="29">
        <v>35.090000000000003</v>
      </c>
      <c r="C10" s="30">
        <v>42.33</v>
      </c>
      <c r="D10" s="29">
        <f t="shared" si="2"/>
        <v>7239.9999999999945</v>
      </c>
      <c r="E10" s="64">
        <f>ROUND(D10*D23,0)</f>
        <v>745</v>
      </c>
      <c r="F10" s="29">
        <v>1000</v>
      </c>
      <c r="G10" s="29">
        <f t="shared" si="0"/>
        <v>1745</v>
      </c>
      <c r="H10" s="29">
        <v>50</v>
      </c>
      <c r="I10" s="29">
        <f t="shared" si="1"/>
        <v>1795</v>
      </c>
      <c r="J10" s="120" t="s">
        <v>316</v>
      </c>
      <c r="K10" s="120"/>
      <c r="L10" s="344" t="s">
        <v>239</v>
      </c>
      <c r="M10" s="337"/>
      <c r="N10" s="60"/>
    </row>
    <row r="11" spans="1:14" ht="14.25" customHeight="1" x14ac:dyDescent="0.25">
      <c r="A11" s="32">
        <v>104</v>
      </c>
      <c r="B11" s="29">
        <v>246.88</v>
      </c>
      <c r="C11" s="30">
        <v>257.74</v>
      </c>
      <c r="D11" s="29">
        <f t="shared" si="2"/>
        <v>10860.000000000015</v>
      </c>
      <c r="E11" s="64">
        <f>ROUND(D11*D23,0)</f>
        <v>1118</v>
      </c>
      <c r="F11" s="29">
        <v>1000</v>
      </c>
      <c r="G11" s="29">
        <f t="shared" si="0"/>
        <v>2118</v>
      </c>
      <c r="H11" s="29">
        <v>50</v>
      </c>
      <c r="I11" s="29">
        <f t="shared" si="1"/>
        <v>2168</v>
      </c>
      <c r="J11" s="120" t="s">
        <v>316</v>
      </c>
      <c r="K11" s="120"/>
      <c r="L11" s="121" t="s">
        <v>354</v>
      </c>
      <c r="M11" s="114">
        <v>6300</v>
      </c>
      <c r="N11" s="114"/>
    </row>
    <row r="12" spans="1:14" ht="14.25" customHeight="1" x14ac:dyDescent="0.25">
      <c r="A12" s="112">
        <v>201</v>
      </c>
      <c r="B12" s="29">
        <v>1.81</v>
      </c>
      <c r="C12" s="30">
        <v>1.81</v>
      </c>
      <c r="D12" s="29">
        <f t="shared" si="2"/>
        <v>0</v>
      </c>
      <c r="E12" s="64">
        <f>ROUND(D12*D23,0)</f>
        <v>0</v>
      </c>
      <c r="F12" s="64">
        <v>1000</v>
      </c>
      <c r="G12" s="29">
        <f t="shared" si="0"/>
        <v>1000</v>
      </c>
      <c r="H12" s="29">
        <v>0</v>
      </c>
      <c r="I12" s="29">
        <f t="shared" si="1"/>
        <v>1000</v>
      </c>
      <c r="J12" s="51"/>
      <c r="K12" s="114" t="s">
        <v>371</v>
      </c>
      <c r="L12" s="114" t="s">
        <v>338</v>
      </c>
      <c r="M12" s="114">
        <v>2044</v>
      </c>
      <c r="N12" s="114"/>
    </row>
    <row r="13" spans="1:14" ht="14.25" customHeight="1" x14ac:dyDescent="0.25">
      <c r="A13" s="32">
        <v>202</v>
      </c>
      <c r="B13" s="29">
        <v>203.83</v>
      </c>
      <c r="C13" s="30">
        <v>206.73</v>
      </c>
      <c r="D13" s="29">
        <f t="shared" si="2"/>
        <v>2899.9999999999773</v>
      </c>
      <c r="E13" s="64">
        <f>ROUND(D13*D23,0)</f>
        <v>299</v>
      </c>
      <c r="F13" s="29">
        <v>1000</v>
      </c>
      <c r="G13" s="29">
        <f t="shared" si="0"/>
        <v>1299</v>
      </c>
      <c r="H13" s="29">
        <v>50</v>
      </c>
      <c r="I13" s="29">
        <f t="shared" si="1"/>
        <v>1349</v>
      </c>
      <c r="J13" s="120" t="s">
        <v>316</v>
      </c>
      <c r="K13" s="120"/>
      <c r="L13" s="114" t="s">
        <v>383</v>
      </c>
      <c r="M13" s="114">
        <v>11000</v>
      </c>
      <c r="N13" s="114"/>
    </row>
    <row r="14" spans="1:14" ht="14.25" customHeight="1" x14ac:dyDescent="0.25">
      <c r="A14" s="32">
        <v>203</v>
      </c>
      <c r="B14" s="29">
        <v>226.54</v>
      </c>
      <c r="C14" s="30">
        <v>234.61</v>
      </c>
      <c r="D14" s="29">
        <f t="shared" si="2"/>
        <v>8070.0000000000218</v>
      </c>
      <c r="E14" s="64">
        <f>ROUND(D14*D23,0)</f>
        <v>831</v>
      </c>
      <c r="F14" s="29">
        <v>1000</v>
      </c>
      <c r="G14" s="29">
        <f t="shared" si="0"/>
        <v>1831</v>
      </c>
      <c r="H14" s="29">
        <v>50</v>
      </c>
      <c r="I14" s="29">
        <f t="shared" si="1"/>
        <v>1881</v>
      </c>
      <c r="J14" s="120" t="s">
        <v>316</v>
      </c>
      <c r="K14" s="120"/>
      <c r="L14" s="114" t="s">
        <v>342</v>
      </c>
      <c r="M14" s="114">
        <v>538</v>
      </c>
      <c r="N14" s="114"/>
    </row>
    <row r="15" spans="1:14" ht="14.25" customHeight="1" x14ac:dyDescent="0.25">
      <c r="A15" s="32">
        <v>204</v>
      </c>
      <c r="B15" s="29">
        <v>150.28</v>
      </c>
      <c r="C15" s="30">
        <v>154.97</v>
      </c>
      <c r="D15" s="29">
        <f t="shared" si="2"/>
        <v>4689.9999999999982</v>
      </c>
      <c r="E15" s="64">
        <f>ROUND(D15*D23,0)</f>
        <v>483</v>
      </c>
      <c r="F15" s="29">
        <v>1000</v>
      </c>
      <c r="G15" s="29">
        <f t="shared" si="0"/>
        <v>1483</v>
      </c>
      <c r="H15" s="29">
        <v>50</v>
      </c>
      <c r="I15" s="29">
        <f t="shared" si="1"/>
        <v>1533</v>
      </c>
      <c r="J15" s="120" t="s">
        <v>316</v>
      </c>
      <c r="K15" s="120"/>
      <c r="L15" s="114" t="s">
        <v>384</v>
      </c>
      <c r="M15" s="114">
        <v>2137</v>
      </c>
      <c r="N15" s="114"/>
    </row>
    <row r="16" spans="1:14" ht="14.25" customHeight="1" x14ac:dyDescent="0.25">
      <c r="A16" s="73">
        <v>301</v>
      </c>
      <c r="B16" s="29">
        <v>0.88</v>
      </c>
      <c r="C16" s="30">
        <v>0.9</v>
      </c>
      <c r="D16" s="29">
        <f t="shared" si="2"/>
        <v>20.000000000000018</v>
      </c>
      <c r="E16" s="64">
        <f>ROUND(D16*D23,0)</f>
        <v>2</v>
      </c>
      <c r="F16" s="64">
        <v>1000</v>
      </c>
      <c r="G16" s="29">
        <f t="shared" si="0"/>
        <v>1002</v>
      </c>
      <c r="H16" s="29">
        <v>0</v>
      </c>
      <c r="I16" s="29">
        <f t="shared" si="1"/>
        <v>1002</v>
      </c>
      <c r="J16" s="51"/>
      <c r="K16" s="114" t="s">
        <v>371</v>
      </c>
      <c r="L16" s="114" t="s">
        <v>385</v>
      </c>
      <c r="M16" s="114">
        <v>625</v>
      </c>
      <c r="N16" s="114"/>
    </row>
    <row r="17" spans="1:14" ht="14.25" customHeight="1" x14ac:dyDescent="0.25">
      <c r="A17" s="73">
        <v>302</v>
      </c>
      <c r="B17" s="29">
        <v>31.31</v>
      </c>
      <c r="C17" s="30">
        <v>32.44</v>
      </c>
      <c r="D17" s="29">
        <f t="shared" si="2"/>
        <v>1129.9999999999991</v>
      </c>
      <c r="E17" s="64">
        <f>ROUND(D17*D23,0)</f>
        <v>116</v>
      </c>
      <c r="F17" s="29">
        <v>1000</v>
      </c>
      <c r="G17" s="29">
        <f t="shared" si="0"/>
        <v>1116</v>
      </c>
      <c r="H17" s="29">
        <v>50</v>
      </c>
      <c r="I17" s="29">
        <f t="shared" si="1"/>
        <v>1166</v>
      </c>
      <c r="J17" s="120" t="s">
        <v>316</v>
      </c>
      <c r="K17" s="120"/>
      <c r="L17" s="114" t="s">
        <v>386</v>
      </c>
      <c r="M17" s="114">
        <v>30</v>
      </c>
      <c r="N17" s="114"/>
    </row>
    <row r="18" spans="1:14" ht="14.25" customHeight="1" x14ac:dyDescent="0.25">
      <c r="A18" s="32">
        <v>303</v>
      </c>
      <c r="B18" s="29">
        <v>543.96</v>
      </c>
      <c r="C18" s="30">
        <v>557.16999999999996</v>
      </c>
      <c r="D18" s="29">
        <f t="shared" si="2"/>
        <v>13209.999999999924</v>
      </c>
      <c r="E18" s="64">
        <f>ROUND(D18*D23,0)</f>
        <v>1360</v>
      </c>
      <c r="F18" s="29">
        <v>1000</v>
      </c>
      <c r="G18" s="29">
        <f t="shared" si="0"/>
        <v>2360</v>
      </c>
      <c r="H18" s="29">
        <v>50</v>
      </c>
      <c r="I18" s="29">
        <f t="shared" si="1"/>
        <v>2410</v>
      </c>
      <c r="J18" s="120" t="s">
        <v>316</v>
      </c>
      <c r="K18" s="120"/>
      <c r="L18" s="114" t="s">
        <v>387</v>
      </c>
      <c r="M18" s="114">
        <v>500</v>
      </c>
      <c r="N18" s="114"/>
    </row>
    <row r="19" spans="1:14" ht="14.25" customHeight="1" x14ac:dyDescent="0.25">
      <c r="A19" s="32">
        <v>304</v>
      </c>
      <c r="B19" s="30">
        <v>107.33</v>
      </c>
      <c r="C19" s="30">
        <v>111.12</v>
      </c>
      <c r="D19" s="29">
        <f t="shared" si="2"/>
        <v>3790.0000000000064</v>
      </c>
      <c r="E19" s="64">
        <f>ROUND(D19*D23,0)</f>
        <v>390</v>
      </c>
      <c r="F19" s="29">
        <v>1000</v>
      </c>
      <c r="G19" s="29">
        <f t="shared" si="0"/>
        <v>1390</v>
      </c>
      <c r="H19" s="29">
        <v>50</v>
      </c>
      <c r="I19" s="29">
        <f t="shared" si="1"/>
        <v>1440</v>
      </c>
      <c r="J19" s="120" t="s">
        <v>316</v>
      </c>
      <c r="K19" s="120"/>
      <c r="L19" s="114" t="s">
        <v>388</v>
      </c>
      <c r="M19" s="114">
        <v>350</v>
      </c>
      <c r="N19" s="114"/>
    </row>
    <row r="20" spans="1:14" ht="14.25" customHeight="1" x14ac:dyDescent="0.25">
      <c r="A20" s="29" t="s">
        <v>287</v>
      </c>
      <c r="B20" s="29">
        <v>72.81</v>
      </c>
      <c r="C20" s="30">
        <v>85.075000000000003</v>
      </c>
      <c r="D20" s="29">
        <f t="shared" si="2"/>
        <v>12265</v>
      </c>
      <c r="E20" s="64">
        <v>0</v>
      </c>
      <c r="F20" s="123">
        <v>0</v>
      </c>
      <c r="G20" s="29">
        <f t="shared" si="0"/>
        <v>0</v>
      </c>
      <c r="H20" s="29">
        <v>0</v>
      </c>
      <c r="I20" s="29">
        <f t="shared" si="1"/>
        <v>0</v>
      </c>
      <c r="J20" s="51"/>
      <c r="K20" s="51"/>
      <c r="L20" s="114" t="s">
        <v>389</v>
      </c>
      <c r="M20" s="114">
        <v>800</v>
      </c>
      <c r="N20" s="114"/>
    </row>
    <row r="21" spans="1:14" ht="14.25" customHeight="1" x14ac:dyDescent="0.25">
      <c r="A21" s="29"/>
      <c r="B21" s="29"/>
      <c r="C21" s="29"/>
      <c r="D21" s="29"/>
      <c r="E21" s="49"/>
      <c r="F21" s="49"/>
      <c r="G21" s="49"/>
      <c r="H21" s="49">
        <f>SUM(H2:H20)</f>
        <v>650</v>
      </c>
      <c r="I21" s="49"/>
      <c r="J21" s="29"/>
      <c r="K21" s="29"/>
      <c r="L21" s="114" t="s">
        <v>390</v>
      </c>
      <c r="M21" s="114">
        <v>70</v>
      </c>
      <c r="N21" s="114"/>
    </row>
    <row r="22" spans="1:14" ht="14.25" customHeight="1" x14ac:dyDescent="0.25">
      <c r="A22" s="133"/>
      <c r="B22" s="133" t="s">
        <v>75</v>
      </c>
      <c r="C22" s="133"/>
      <c r="D22" s="137">
        <f>SUM(D4:D20)</f>
        <v>106844.99999999993</v>
      </c>
      <c r="E22" s="133"/>
      <c r="F22" s="133"/>
      <c r="G22" s="133"/>
      <c r="H22" s="133"/>
      <c r="I22" s="133"/>
      <c r="J22" s="133"/>
      <c r="K22" s="133"/>
      <c r="L22" s="134" t="s">
        <v>391</v>
      </c>
      <c r="M22" s="136"/>
      <c r="N22" s="136">
        <v>6000</v>
      </c>
    </row>
    <row r="23" spans="1:14" ht="14.25" customHeight="1" x14ac:dyDescent="0.25">
      <c r="A23" s="29"/>
      <c r="B23" s="29" t="s">
        <v>243</v>
      </c>
      <c r="C23" s="29" t="s">
        <v>244</v>
      </c>
      <c r="D23" s="111">
        <f>B24/D22</f>
        <v>0.10295287566100433</v>
      </c>
      <c r="E23" s="29"/>
      <c r="F23" s="29"/>
      <c r="G23" s="29" t="s">
        <v>205</v>
      </c>
      <c r="H23" s="29">
        <v>12897</v>
      </c>
      <c r="I23" s="29"/>
      <c r="J23" s="29"/>
      <c r="K23" s="29"/>
      <c r="L23" s="114"/>
      <c r="M23" s="114"/>
      <c r="N23" s="114"/>
    </row>
    <row r="24" spans="1:14" ht="14.25" customHeight="1" x14ac:dyDescent="0.25">
      <c r="A24" s="29" t="s">
        <v>85</v>
      </c>
      <c r="B24" s="30">
        <v>11000</v>
      </c>
      <c r="C24" s="119" t="s">
        <v>381</v>
      </c>
      <c r="D24" s="29"/>
      <c r="E24" s="29"/>
      <c r="F24" s="29"/>
      <c r="G24" s="29"/>
      <c r="H24" s="29"/>
      <c r="I24" s="29"/>
      <c r="J24" s="29"/>
      <c r="K24" s="29"/>
      <c r="L24" s="114"/>
      <c r="M24" s="114"/>
      <c r="N24" s="114"/>
    </row>
  </sheetData>
  <mergeCells count="1">
    <mergeCell ref="L10:M10"/>
  </mergeCells>
  <pageMargins left="0.7" right="0.7" top="0.75" bottom="0.75" header="0" footer="0"/>
  <pageSetup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M31"/>
  <sheetViews>
    <sheetView workbookViewId="0"/>
  </sheetViews>
  <sheetFormatPr defaultColWidth="14.42578125" defaultRowHeight="15" customHeight="1" x14ac:dyDescent="0.25"/>
  <cols>
    <col min="1" max="1" width="15.85546875" customWidth="1"/>
    <col min="2" max="2" width="22.85546875" customWidth="1"/>
    <col min="3" max="3" width="35.7109375" customWidth="1"/>
    <col min="4" max="4" width="11" customWidth="1"/>
    <col min="5" max="5" width="10" customWidth="1"/>
    <col min="6" max="6" width="21.5703125" customWidth="1"/>
    <col min="7" max="7" width="17.85546875" customWidth="1"/>
    <col min="8" max="8" width="16.7109375" customWidth="1"/>
    <col min="9" max="9" width="16.5703125" customWidth="1"/>
    <col min="10" max="10" width="14.85546875" customWidth="1"/>
    <col min="11" max="11" width="35.5703125" customWidth="1"/>
    <col min="12" max="12" width="7.42578125" customWidth="1"/>
    <col min="13" max="13" width="8.42578125" customWidth="1"/>
  </cols>
  <sheetData>
    <row r="1" spans="1:13" ht="14.25" customHeight="1" x14ac:dyDescent="0.25">
      <c r="A1" s="49" t="s">
        <v>287</v>
      </c>
      <c r="B1" s="49" t="s">
        <v>80</v>
      </c>
      <c r="C1" s="49" t="s">
        <v>236</v>
      </c>
      <c r="D1" s="49" t="s">
        <v>66</v>
      </c>
      <c r="E1" s="113" t="s">
        <v>52</v>
      </c>
      <c r="F1" s="29" t="s">
        <v>81</v>
      </c>
      <c r="G1" s="29" t="s">
        <v>365</v>
      </c>
      <c r="H1" s="29" t="s">
        <v>366</v>
      </c>
      <c r="I1" s="29" t="s">
        <v>367</v>
      </c>
      <c r="J1" s="49" t="s">
        <v>128</v>
      </c>
      <c r="K1" s="124" t="s">
        <v>392</v>
      </c>
      <c r="L1" s="128">
        <v>12897</v>
      </c>
      <c r="M1" s="114"/>
    </row>
    <row r="2" spans="1:13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 t="shared" ref="G2:G20" si="0">SUM(E2:F2)</f>
        <v>300</v>
      </c>
      <c r="H2" s="29">
        <v>0</v>
      </c>
      <c r="I2" s="29">
        <f t="shared" ref="I2:I20" si="1">G2+H2</f>
        <v>300</v>
      </c>
      <c r="J2" s="120" t="s">
        <v>316</v>
      </c>
      <c r="K2" s="121" t="s">
        <v>393</v>
      </c>
      <c r="L2" s="114"/>
      <c r="M2" s="114"/>
    </row>
    <row r="3" spans="1:13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f t="shared" si="0"/>
        <v>300</v>
      </c>
      <c r="H3" s="29">
        <v>0</v>
      </c>
      <c r="I3" s="29">
        <f t="shared" si="1"/>
        <v>300</v>
      </c>
      <c r="J3" s="120" t="s">
        <v>369</v>
      </c>
      <c r="K3" s="114">
        <v>301</v>
      </c>
      <c r="L3" s="114">
        <v>1000</v>
      </c>
      <c r="M3" s="114"/>
    </row>
    <row r="4" spans="1:13" ht="14.25" customHeight="1" x14ac:dyDescent="0.25">
      <c r="A4" s="32" t="s">
        <v>68</v>
      </c>
      <c r="B4" s="30">
        <v>40.83</v>
      </c>
      <c r="C4" s="30">
        <v>44.65</v>
      </c>
      <c r="D4" s="29">
        <f t="shared" ref="D4:D20" si="2">(C4-B4)*1000</f>
        <v>3820.0000000000005</v>
      </c>
      <c r="E4" s="64">
        <f>ROUND(D4*D23,0)</f>
        <v>460</v>
      </c>
      <c r="F4" s="29">
        <v>1000</v>
      </c>
      <c r="G4" s="29">
        <f t="shared" si="0"/>
        <v>1460</v>
      </c>
      <c r="H4" s="29">
        <v>50</v>
      </c>
      <c r="I4" s="29">
        <f t="shared" si="1"/>
        <v>1510</v>
      </c>
      <c r="J4" s="120" t="s">
        <v>316</v>
      </c>
      <c r="K4" s="114"/>
      <c r="L4" s="114"/>
      <c r="M4" s="114"/>
    </row>
    <row r="5" spans="1:13" ht="14.25" customHeight="1" x14ac:dyDescent="0.25">
      <c r="A5" s="32" t="s">
        <v>70</v>
      </c>
      <c r="B5" s="30">
        <v>128.22999999999999</v>
      </c>
      <c r="C5" s="30">
        <v>131.44</v>
      </c>
      <c r="D5" s="29">
        <f t="shared" si="2"/>
        <v>3210.0000000000082</v>
      </c>
      <c r="E5" s="64">
        <f>ROUND(D5*D23,0)</f>
        <v>386</v>
      </c>
      <c r="F5" s="29">
        <v>1000</v>
      </c>
      <c r="G5" s="29">
        <f t="shared" si="0"/>
        <v>1386</v>
      </c>
      <c r="H5" s="29">
        <v>50</v>
      </c>
      <c r="I5" s="29">
        <f t="shared" si="1"/>
        <v>1436</v>
      </c>
      <c r="J5" s="120" t="s">
        <v>316</v>
      </c>
      <c r="K5" s="114"/>
      <c r="L5" s="114"/>
      <c r="M5" s="114"/>
    </row>
    <row r="6" spans="1:13" ht="14.25" customHeight="1" x14ac:dyDescent="0.25">
      <c r="A6" s="32" t="s">
        <v>16</v>
      </c>
      <c r="B6" s="30">
        <v>249.13</v>
      </c>
      <c r="C6" s="30">
        <v>261.20999999999998</v>
      </c>
      <c r="D6" s="29">
        <f t="shared" si="2"/>
        <v>12079.999999999984</v>
      </c>
      <c r="E6" s="64">
        <f>ROUND(D6*D23,0)</f>
        <v>1454</v>
      </c>
      <c r="F6" s="29">
        <v>1000</v>
      </c>
      <c r="G6" s="29">
        <f t="shared" si="0"/>
        <v>2454</v>
      </c>
      <c r="H6" s="29">
        <v>50</v>
      </c>
      <c r="I6" s="29">
        <f t="shared" si="1"/>
        <v>2504</v>
      </c>
      <c r="J6" s="120" t="s">
        <v>316</v>
      </c>
      <c r="K6" s="114"/>
      <c r="L6" s="114"/>
      <c r="M6" s="114"/>
    </row>
    <row r="7" spans="1:13" ht="14.25" customHeight="1" x14ac:dyDescent="0.25">
      <c r="A7" s="32" t="s">
        <v>13</v>
      </c>
      <c r="B7" s="30">
        <v>206.28</v>
      </c>
      <c r="C7" s="30">
        <v>213.24</v>
      </c>
      <c r="D7" s="29">
        <f t="shared" si="2"/>
        <v>6960.0000000000082</v>
      </c>
      <c r="E7" s="64">
        <f>ROUND(D7*D23,0)</f>
        <v>838</v>
      </c>
      <c r="F7" s="29">
        <v>1000</v>
      </c>
      <c r="G7" s="29">
        <f t="shared" si="0"/>
        <v>1838</v>
      </c>
      <c r="H7" s="29">
        <v>50</v>
      </c>
      <c r="I7" s="29">
        <f t="shared" si="1"/>
        <v>1888</v>
      </c>
      <c r="J7" s="120" t="s">
        <v>316</v>
      </c>
      <c r="K7" s="114"/>
      <c r="L7" s="114"/>
      <c r="M7" s="114"/>
    </row>
    <row r="8" spans="1:13" ht="14.25" customHeight="1" x14ac:dyDescent="0.25">
      <c r="A8" s="73">
        <v>101</v>
      </c>
      <c r="B8" s="30">
        <v>0.55000000000000004</v>
      </c>
      <c r="C8" s="30">
        <v>0.55000000000000004</v>
      </c>
      <c r="D8" s="29">
        <f t="shared" si="2"/>
        <v>0</v>
      </c>
      <c r="E8" s="64">
        <f>ROUND(D8*D23,0)</f>
        <v>0</v>
      </c>
      <c r="F8" s="64">
        <v>1000</v>
      </c>
      <c r="G8" s="29">
        <f t="shared" si="0"/>
        <v>1000</v>
      </c>
      <c r="H8" s="29">
        <v>0</v>
      </c>
      <c r="I8" s="29">
        <f t="shared" si="1"/>
        <v>1000</v>
      </c>
      <c r="J8" s="51" t="s">
        <v>316</v>
      </c>
      <c r="K8" s="114"/>
      <c r="L8" s="114"/>
      <c r="M8" s="114"/>
    </row>
    <row r="9" spans="1:13" ht="14.25" customHeight="1" x14ac:dyDescent="0.25">
      <c r="A9" s="32">
        <v>102</v>
      </c>
      <c r="B9" s="30">
        <v>387.55</v>
      </c>
      <c r="C9" s="30">
        <v>403.55</v>
      </c>
      <c r="D9" s="29">
        <f t="shared" si="2"/>
        <v>16000</v>
      </c>
      <c r="E9" s="64">
        <f>ROUND(D9*D23,0)</f>
        <v>1926</v>
      </c>
      <c r="F9" s="29">
        <v>1000</v>
      </c>
      <c r="G9" s="29">
        <f t="shared" si="0"/>
        <v>2926</v>
      </c>
      <c r="H9" s="29">
        <v>50</v>
      </c>
      <c r="I9" s="29">
        <f t="shared" si="1"/>
        <v>2976</v>
      </c>
      <c r="J9" s="120" t="s">
        <v>316</v>
      </c>
      <c r="K9" s="114"/>
      <c r="L9" s="114"/>
      <c r="M9" s="114"/>
    </row>
    <row r="10" spans="1:13" ht="14.25" customHeight="1" x14ac:dyDescent="0.25">
      <c r="A10" s="32">
        <v>103</v>
      </c>
      <c r="B10" s="30">
        <v>42.33</v>
      </c>
      <c r="C10" s="30">
        <v>50.71</v>
      </c>
      <c r="D10" s="29">
        <f t="shared" si="2"/>
        <v>8380.0000000000018</v>
      </c>
      <c r="E10" s="64">
        <f>ROUND(D10*D23,0)</f>
        <v>1009</v>
      </c>
      <c r="F10" s="29">
        <v>1000</v>
      </c>
      <c r="G10" s="29">
        <f t="shared" si="0"/>
        <v>2009</v>
      </c>
      <c r="H10" s="29">
        <v>50</v>
      </c>
      <c r="I10" s="29">
        <f t="shared" si="1"/>
        <v>2059</v>
      </c>
      <c r="J10" s="120" t="s">
        <v>316</v>
      </c>
      <c r="K10" s="344" t="s">
        <v>239</v>
      </c>
      <c r="L10" s="337"/>
      <c r="M10" s="60"/>
    </row>
    <row r="11" spans="1:13" ht="14.25" customHeight="1" x14ac:dyDescent="0.25">
      <c r="A11" s="32">
        <v>104</v>
      </c>
      <c r="B11" s="30">
        <v>257.74</v>
      </c>
      <c r="C11" s="30">
        <v>268.57</v>
      </c>
      <c r="D11" s="29">
        <f t="shared" si="2"/>
        <v>10829.999999999984</v>
      </c>
      <c r="E11" s="64">
        <f>ROUND(D11*D23,0)</f>
        <v>1304</v>
      </c>
      <c r="F11" s="29">
        <v>1000</v>
      </c>
      <c r="G11" s="29">
        <f t="shared" si="0"/>
        <v>2304</v>
      </c>
      <c r="H11" s="29">
        <v>50</v>
      </c>
      <c r="I11" s="29">
        <f t="shared" si="1"/>
        <v>2354</v>
      </c>
      <c r="J11" s="120" t="s">
        <v>316</v>
      </c>
      <c r="K11" s="121" t="s">
        <v>314</v>
      </c>
      <c r="L11" s="114">
        <v>6700</v>
      </c>
      <c r="M11" s="114"/>
    </row>
    <row r="12" spans="1:13" ht="14.25" customHeight="1" x14ac:dyDescent="0.25">
      <c r="A12" s="32">
        <v>201</v>
      </c>
      <c r="B12" s="30">
        <v>1.81</v>
      </c>
      <c r="C12" s="30">
        <v>8.8800000000000008</v>
      </c>
      <c r="D12" s="29">
        <f t="shared" si="2"/>
        <v>7070</v>
      </c>
      <c r="E12" s="64">
        <f>ROUND(D12*D23,0)</f>
        <v>851</v>
      </c>
      <c r="F12" s="64">
        <v>1000</v>
      </c>
      <c r="G12" s="29">
        <f t="shared" si="0"/>
        <v>1851</v>
      </c>
      <c r="H12" s="29">
        <v>50</v>
      </c>
      <c r="I12" s="29">
        <f t="shared" si="1"/>
        <v>1901</v>
      </c>
      <c r="J12" s="51" t="s">
        <v>316</v>
      </c>
      <c r="K12" s="114" t="s">
        <v>394</v>
      </c>
      <c r="L12" s="114">
        <v>15000</v>
      </c>
      <c r="M12" s="114"/>
    </row>
    <row r="13" spans="1:13" ht="14.25" customHeight="1" x14ac:dyDescent="0.25">
      <c r="A13" s="32">
        <v>202</v>
      </c>
      <c r="B13" s="30">
        <v>206.73</v>
      </c>
      <c r="C13" s="30">
        <v>208.36</v>
      </c>
      <c r="D13" s="29">
        <f t="shared" si="2"/>
        <v>1630.0000000000239</v>
      </c>
      <c r="E13" s="64">
        <f>ROUND(D13*D23,0)</f>
        <v>196</v>
      </c>
      <c r="F13" s="29">
        <v>1000</v>
      </c>
      <c r="G13" s="29">
        <f t="shared" si="0"/>
        <v>1196</v>
      </c>
      <c r="H13" s="29">
        <v>50</v>
      </c>
      <c r="I13" s="29">
        <f t="shared" si="1"/>
        <v>1246</v>
      </c>
      <c r="J13" s="120" t="s">
        <v>316</v>
      </c>
      <c r="K13" s="114" t="s">
        <v>395</v>
      </c>
      <c r="L13" s="114">
        <v>2459</v>
      </c>
      <c r="M13" s="114"/>
    </row>
    <row r="14" spans="1:13" ht="14.25" customHeight="1" x14ac:dyDescent="0.25">
      <c r="A14" s="32">
        <v>203</v>
      </c>
      <c r="B14" s="30">
        <v>234.61</v>
      </c>
      <c r="C14" s="30">
        <v>243.65</v>
      </c>
      <c r="D14" s="29">
        <f t="shared" si="2"/>
        <v>9039.9999999999927</v>
      </c>
      <c r="E14" s="64">
        <f>ROUND(D14*D23,0)</f>
        <v>1088</v>
      </c>
      <c r="F14" s="29">
        <v>1000</v>
      </c>
      <c r="G14" s="29">
        <f t="shared" si="0"/>
        <v>2088</v>
      </c>
      <c r="H14" s="29">
        <v>50</v>
      </c>
      <c r="I14" s="29">
        <f t="shared" si="1"/>
        <v>2138</v>
      </c>
      <c r="J14" s="120" t="s">
        <v>316</v>
      </c>
      <c r="K14" s="114" t="s">
        <v>396</v>
      </c>
      <c r="L14" s="114">
        <v>2400</v>
      </c>
      <c r="M14" s="114"/>
    </row>
    <row r="15" spans="1:13" ht="14.25" customHeight="1" x14ac:dyDescent="0.25">
      <c r="A15" s="32">
        <v>204</v>
      </c>
      <c r="B15" s="30">
        <v>154.97</v>
      </c>
      <c r="C15" s="30">
        <v>161.03</v>
      </c>
      <c r="D15" s="29">
        <f t="shared" si="2"/>
        <v>6060.0000000000018</v>
      </c>
      <c r="E15" s="64">
        <f>ROUND(D15*D23,0)</f>
        <v>730</v>
      </c>
      <c r="F15" s="29">
        <v>1000</v>
      </c>
      <c r="G15" s="29">
        <f t="shared" si="0"/>
        <v>1730</v>
      </c>
      <c r="H15" s="29">
        <v>50</v>
      </c>
      <c r="I15" s="29">
        <f t="shared" si="1"/>
        <v>1780</v>
      </c>
      <c r="J15" s="120" t="s">
        <v>316</v>
      </c>
      <c r="K15" s="114" t="s">
        <v>397</v>
      </c>
      <c r="L15" s="114">
        <v>2044</v>
      </c>
      <c r="M15" s="114"/>
    </row>
    <row r="16" spans="1:13" ht="14.25" customHeight="1" x14ac:dyDescent="0.25">
      <c r="A16" s="73">
        <v>301</v>
      </c>
      <c r="B16" s="30">
        <v>0.9</v>
      </c>
      <c r="C16" s="30">
        <v>1.2</v>
      </c>
      <c r="D16" s="29">
        <f t="shared" si="2"/>
        <v>299.99999999999994</v>
      </c>
      <c r="E16" s="64">
        <f>ROUND(D16*D23,0)</f>
        <v>36</v>
      </c>
      <c r="F16" s="64">
        <v>1000</v>
      </c>
      <c r="G16" s="29">
        <f t="shared" si="0"/>
        <v>1036</v>
      </c>
      <c r="H16" s="29">
        <v>0</v>
      </c>
      <c r="I16" s="29">
        <f t="shared" si="1"/>
        <v>1036</v>
      </c>
      <c r="J16" s="51" t="s">
        <v>369</v>
      </c>
      <c r="K16" s="114" t="s">
        <v>398</v>
      </c>
      <c r="L16" s="114">
        <v>400</v>
      </c>
      <c r="M16" s="114"/>
    </row>
    <row r="17" spans="1:13" ht="14.25" customHeight="1" x14ac:dyDescent="0.25">
      <c r="A17" s="32">
        <v>302</v>
      </c>
      <c r="B17" s="30">
        <v>32.44</v>
      </c>
      <c r="C17" s="30">
        <v>32.44</v>
      </c>
      <c r="D17" s="29">
        <f t="shared" si="2"/>
        <v>0</v>
      </c>
      <c r="E17" s="64">
        <f>ROUND(D17*D23,0)</f>
        <v>0</v>
      </c>
      <c r="F17" s="29">
        <v>1000</v>
      </c>
      <c r="G17" s="29">
        <f t="shared" si="0"/>
        <v>1000</v>
      </c>
      <c r="H17" s="29">
        <v>50</v>
      </c>
      <c r="I17" s="29">
        <f t="shared" si="1"/>
        <v>1050</v>
      </c>
      <c r="J17" s="120" t="s">
        <v>316</v>
      </c>
      <c r="K17" s="114" t="s">
        <v>399</v>
      </c>
      <c r="L17" s="114">
        <v>200</v>
      </c>
      <c r="M17" s="114"/>
    </row>
    <row r="18" spans="1:13" ht="14.25" customHeight="1" x14ac:dyDescent="0.25">
      <c r="A18" s="32">
        <v>303</v>
      </c>
      <c r="B18" s="30">
        <v>557.16999999999996</v>
      </c>
      <c r="C18" s="30">
        <v>574.63</v>
      </c>
      <c r="D18" s="29">
        <f t="shared" si="2"/>
        <v>17460.000000000036</v>
      </c>
      <c r="E18" s="64">
        <f>ROUND(D18*D23,0)</f>
        <v>2102</v>
      </c>
      <c r="F18" s="29">
        <v>1000</v>
      </c>
      <c r="G18" s="29">
        <f t="shared" si="0"/>
        <v>3102</v>
      </c>
      <c r="H18" s="29">
        <v>50</v>
      </c>
      <c r="I18" s="29">
        <f t="shared" si="1"/>
        <v>3152</v>
      </c>
      <c r="J18" s="120" t="s">
        <v>316</v>
      </c>
      <c r="K18" s="114" t="s">
        <v>400</v>
      </c>
      <c r="L18" s="114">
        <v>100</v>
      </c>
      <c r="M18" s="114"/>
    </row>
    <row r="19" spans="1:13" ht="14.25" customHeight="1" x14ac:dyDescent="0.25">
      <c r="A19" s="32">
        <v>304</v>
      </c>
      <c r="B19" s="30">
        <v>111.12</v>
      </c>
      <c r="C19" s="30">
        <v>117.71</v>
      </c>
      <c r="D19" s="29">
        <f t="shared" si="2"/>
        <v>6589.9999999999891</v>
      </c>
      <c r="E19" s="64">
        <f>ROUND(D19*D23,0)</f>
        <v>793</v>
      </c>
      <c r="F19" s="29">
        <v>1000</v>
      </c>
      <c r="G19" s="29">
        <f t="shared" si="0"/>
        <v>1793</v>
      </c>
      <c r="H19" s="29">
        <v>50</v>
      </c>
      <c r="I19" s="29">
        <f t="shared" si="1"/>
        <v>1843</v>
      </c>
      <c r="J19" s="120" t="s">
        <v>316</v>
      </c>
      <c r="K19" s="114" t="s">
        <v>401</v>
      </c>
      <c r="L19" s="114">
        <v>500</v>
      </c>
      <c r="M19" s="114"/>
    </row>
    <row r="20" spans="1:13" ht="14.25" customHeight="1" x14ac:dyDescent="0.25">
      <c r="A20" s="29" t="s">
        <v>287</v>
      </c>
      <c r="B20" s="30">
        <v>85.075000000000003</v>
      </c>
      <c r="C20" s="30">
        <v>100.236</v>
      </c>
      <c r="D20" s="29">
        <f t="shared" si="2"/>
        <v>15161.000000000002</v>
      </c>
      <c r="E20" s="64">
        <v>0</v>
      </c>
      <c r="F20" s="123">
        <v>0</v>
      </c>
      <c r="G20" s="29">
        <f t="shared" si="0"/>
        <v>0</v>
      </c>
      <c r="H20" s="29">
        <v>0</v>
      </c>
      <c r="I20" s="29">
        <f t="shared" si="1"/>
        <v>0</v>
      </c>
      <c r="J20" s="51"/>
      <c r="K20" s="114" t="s">
        <v>402</v>
      </c>
      <c r="L20" s="114">
        <v>200</v>
      </c>
      <c r="M20" s="114"/>
    </row>
    <row r="21" spans="1:13" ht="14.25" customHeight="1" x14ac:dyDescent="0.25">
      <c r="A21" s="29"/>
      <c r="B21" s="29"/>
      <c r="C21" s="29"/>
      <c r="D21" s="29"/>
      <c r="E21" s="49"/>
      <c r="F21" s="49"/>
      <c r="G21" s="49"/>
      <c r="H21" s="49">
        <f>SUM(H2:H20)</f>
        <v>700</v>
      </c>
      <c r="I21" s="49"/>
      <c r="J21" s="29"/>
      <c r="K21" s="114" t="s">
        <v>403</v>
      </c>
      <c r="L21" s="114"/>
      <c r="M21" s="114">
        <v>4000</v>
      </c>
    </row>
    <row r="22" spans="1:13" ht="14.25" customHeight="1" x14ac:dyDescent="0.25">
      <c r="A22" s="29"/>
      <c r="B22" s="29" t="s">
        <v>75</v>
      </c>
      <c r="C22" s="29"/>
      <c r="D22" s="30">
        <f>SUM(D4:D20)</f>
        <v>124591.00000000001</v>
      </c>
      <c r="E22" s="29"/>
      <c r="F22" s="29"/>
      <c r="G22" s="29"/>
      <c r="H22" s="29"/>
      <c r="I22" s="29"/>
      <c r="J22" s="29"/>
      <c r="K22" s="114"/>
      <c r="L22" s="114"/>
      <c r="M22" s="114"/>
    </row>
    <row r="23" spans="1:13" ht="14.25" customHeight="1" x14ac:dyDescent="0.25">
      <c r="A23" s="29"/>
      <c r="B23" s="29" t="s">
        <v>243</v>
      </c>
      <c r="C23" s="29" t="s">
        <v>244</v>
      </c>
      <c r="D23" s="111">
        <f>B24/D22</f>
        <v>0.12039392893547686</v>
      </c>
      <c r="E23" s="29"/>
      <c r="F23" s="29"/>
      <c r="G23" s="29" t="s">
        <v>205</v>
      </c>
      <c r="H23" s="29">
        <v>16031</v>
      </c>
      <c r="I23" s="29"/>
      <c r="J23" s="29"/>
      <c r="K23" s="114"/>
      <c r="L23" s="114"/>
      <c r="M23" s="114"/>
    </row>
    <row r="24" spans="1:13" ht="14.25" customHeight="1" x14ac:dyDescent="0.25">
      <c r="A24" s="29" t="s">
        <v>85</v>
      </c>
      <c r="B24" s="30">
        <v>15000</v>
      </c>
      <c r="C24" s="119" t="s">
        <v>404</v>
      </c>
      <c r="D24" s="29"/>
      <c r="E24" s="29"/>
      <c r="F24" s="29"/>
      <c r="G24" s="29"/>
      <c r="H24" s="29"/>
      <c r="I24" s="29"/>
      <c r="J24" s="29"/>
      <c r="K24" s="114"/>
      <c r="L24" s="114"/>
      <c r="M24" s="114"/>
    </row>
    <row r="25" spans="1:13" ht="14.25" customHeight="1" x14ac:dyDescent="0.25"/>
    <row r="26" spans="1:13" ht="14.25" customHeight="1" x14ac:dyDescent="0.25"/>
    <row r="27" spans="1:13" ht="14.25" customHeight="1" x14ac:dyDescent="0.25"/>
    <row r="28" spans="1:13" ht="14.25" customHeight="1" x14ac:dyDescent="0.25"/>
    <row r="29" spans="1:13" ht="14.25" customHeight="1" x14ac:dyDescent="0.25"/>
    <row r="30" spans="1:13" ht="14.25" customHeight="1" x14ac:dyDescent="0.25"/>
    <row r="31" spans="1:13" ht="14.25" customHeight="1" x14ac:dyDescent="0.25">
      <c r="C31" s="1">
        <v>4</v>
      </c>
    </row>
  </sheetData>
  <mergeCells count="1">
    <mergeCell ref="K10:L10"/>
  </mergeCells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M31"/>
  <sheetViews>
    <sheetView workbookViewId="0"/>
  </sheetViews>
  <sheetFormatPr defaultColWidth="14.42578125" defaultRowHeight="15" customHeight="1" x14ac:dyDescent="0.25"/>
  <cols>
    <col min="1" max="1" width="15.85546875" customWidth="1"/>
    <col min="2" max="2" width="22.85546875" customWidth="1"/>
    <col min="3" max="3" width="23.7109375" customWidth="1"/>
    <col min="4" max="4" width="11" customWidth="1"/>
    <col min="5" max="5" width="10" customWidth="1"/>
    <col min="6" max="6" width="19.5703125" customWidth="1"/>
    <col min="7" max="7" width="19.140625" customWidth="1"/>
    <col min="8" max="8" width="16.7109375" customWidth="1"/>
    <col min="9" max="9" width="12.7109375" customWidth="1"/>
    <col min="10" max="10" width="15.7109375" customWidth="1"/>
    <col min="11" max="11" width="14.28515625" customWidth="1"/>
    <col min="12" max="12" width="28.28515625" customWidth="1"/>
    <col min="13" max="13" width="7.42578125" customWidth="1"/>
    <col min="14" max="14" width="9.28515625" customWidth="1"/>
  </cols>
  <sheetData>
    <row r="1" spans="1:13" ht="14.25" customHeight="1" x14ac:dyDescent="0.25">
      <c r="A1" s="138" t="s">
        <v>287</v>
      </c>
      <c r="B1" s="138" t="s">
        <v>80</v>
      </c>
      <c r="C1" s="138" t="s">
        <v>236</v>
      </c>
      <c r="D1" s="138" t="s">
        <v>66</v>
      </c>
      <c r="E1" s="139" t="s">
        <v>52</v>
      </c>
      <c r="F1" s="140" t="s">
        <v>81</v>
      </c>
      <c r="G1" s="140" t="s">
        <v>365</v>
      </c>
      <c r="H1" s="140" t="s">
        <v>366</v>
      </c>
      <c r="I1" s="140" t="s">
        <v>405</v>
      </c>
      <c r="J1" s="140" t="s">
        <v>406</v>
      </c>
      <c r="K1" s="138" t="s">
        <v>128</v>
      </c>
      <c r="L1" s="141" t="s">
        <v>407</v>
      </c>
      <c r="M1" s="142">
        <v>16031</v>
      </c>
    </row>
    <row r="2" spans="1:13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v>300</v>
      </c>
      <c r="H2" s="29">
        <v>0</v>
      </c>
      <c r="I2" s="29">
        <f t="shared" ref="I2:I20" si="0">G2+H2</f>
        <v>300</v>
      </c>
      <c r="J2" s="29">
        <v>300</v>
      </c>
      <c r="K2" s="120" t="s">
        <v>311</v>
      </c>
      <c r="L2" s="143" t="s">
        <v>393</v>
      </c>
      <c r="M2" s="144"/>
    </row>
    <row r="3" spans="1:13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f t="shared" si="0"/>
        <v>300</v>
      </c>
      <c r="J3" s="29">
        <v>300</v>
      </c>
      <c r="K3" s="120" t="s">
        <v>311</v>
      </c>
      <c r="L3" s="143" t="s">
        <v>408</v>
      </c>
      <c r="M3" s="143">
        <v>500</v>
      </c>
    </row>
    <row r="4" spans="1:13" ht="14.25" customHeight="1" x14ac:dyDescent="0.25">
      <c r="A4" s="32" t="s">
        <v>68</v>
      </c>
      <c r="B4" s="30">
        <v>44.65</v>
      </c>
      <c r="C4" s="30">
        <v>49.96</v>
      </c>
      <c r="D4" s="29">
        <f t="shared" ref="D4:D20" si="1">(C4-B4)*1000</f>
        <v>5310.0000000000018</v>
      </c>
      <c r="E4" s="64">
        <f>ROUND(D4*D23,0)</f>
        <v>468</v>
      </c>
      <c r="F4" s="29">
        <v>1000</v>
      </c>
      <c r="G4" s="29">
        <v>1468</v>
      </c>
      <c r="H4" s="29">
        <v>50</v>
      </c>
      <c r="I4" s="29">
        <f t="shared" si="0"/>
        <v>1518</v>
      </c>
      <c r="J4" s="29">
        <v>1518</v>
      </c>
      <c r="K4" s="120" t="s">
        <v>311</v>
      </c>
      <c r="L4" s="143" t="s">
        <v>409</v>
      </c>
      <c r="M4" s="143">
        <v>1000</v>
      </c>
    </row>
    <row r="5" spans="1:13" ht="14.25" customHeight="1" x14ac:dyDescent="0.25">
      <c r="A5" s="32" t="s">
        <v>70</v>
      </c>
      <c r="B5" s="30">
        <v>131.44</v>
      </c>
      <c r="C5" s="30">
        <v>135.72999999999999</v>
      </c>
      <c r="D5" s="29">
        <f t="shared" si="1"/>
        <v>4289.9999999999918</v>
      </c>
      <c r="E5" s="64">
        <f>ROUND(D5*D23,0)</f>
        <v>378</v>
      </c>
      <c r="F5" s="29">
        <v>1000</v>
      </c>
      <c r="G5" s="29">
        <v>1378</v>
      </c>
      <c r="H5" s="29">
        <v>50</v>
      </c>
      <c r="I5" s="29">
        <f t="shared" si="0"/>
        <v>1428</v>
      </c>
      <c r="J5" s="29">
        <v>1428</v>
      </c>
      <c r="K5" s="120" t="s">
        <v>311</v>
      </c>
      <c r="L5" s="114"/>
      <c r="M5" s="114"/>
    </row>
    <row r="6" spans="1:13" ht="14.25" customHeight="1" x14ac:dyDescent="0.25">
      <c r="A6" s="32" t="s">
        <v>16</v>
      </c>
      <c r="B6" s="30">
        <v>261.20999999999998</v>
      </c>
      <c r="C6" s="30">
        <v>270.73</v>
      </c>
      <c r="D6" s="29">
        <f t="shared" si="1"/>
        <v>9520.0000000000382</v>
      </c>
      <c r="E6" s="64">
        <f>ROUND(D6*D23,0)</f>
        <v>839</v>
      </c>
      <c r="F6" s="29">
        <v>1000</v>
      </c>
      <c r="G6" s="29">
        <v>1839</v>
      </c>
      <c r="H6" s="29">
        <v>50</v>
      </c>
      <c r="I6" s="29">
        <f t="shared" si="0"/>
        <v>1889</v>
      </c>
      <c r="J6" s="29">
        <v>1889</v>
      </c>
      <c r="K6" s="120" t="s">
        <v>311</v>
      </c>
      <c r="L6" s="114"/>
      <c r="M6" s="114"/>
    </row>
    <row r="7" spans="1:13" ht="14.25" customHeight="1" x14ac:dyDescent="0.25">
      <c r="A7" s="32" t="s">
        <v>13</v>
      </c>
      <c r="B7" s="30">
        <v>213.24</v>
      </c>
      <c r="C7" s="30">
        <v>219.28</v>
      </c>
      <c r="D7" s="29">
        <f t="shared" si="1"/>
        <v>6039.9999999999918</v>
      </c>
      <c r="E7" s="64">
        <f>ROUND(D7*D23,0)</f>
        <v>533</v>
      </c>
      <c r="F7" s="29">
        <v>1000</v>
      </c>
      <c r="G7" s="29">
        <v>1533</v>
      </c>
      <c r="H7" s="29">
        <v>50</v>
      </c>
      <c r="I7" s="29">
        <f t="shared" si="0"/>
        <v>1583</v>
      </c>
      <c r="J7" s="29">
        <v>1583</v>
      </c>
      <c r="K7" s="120" t="s">
        <v>311</v>
      </c>
      <c r="L7" s="114"/>
      <c r="M7" s="114"/>
    </row>
    <row r="8" spans="1:13" ht="14.25" customHeight="1" x14ac:dyDescent="0.25">
      <c r="A8" s="64">
        <v>101</v>
      </c>
      <c r="B8" s="30">
        <v>0.55000000000000004</v>
      </c>
      <c r="C8" s="30">
        <v>0.59</v>
      </c>
      <c r="D8" s="29">
        <f t="shared" si="1"/>
        <v>39.999999999999922</v>
      </c>
      <c r="E8" s="64">
        <f>ROUND(D8*D23,0)</f>
        <v>4</v>
      </c>
      <c r="F8" s="64">
        <v>1000</v>
      </c>
      <c r="G8" s="29">
        <v>1004</v>
      </c>
      <c r="H8" s="29">
        <v>0</v>
      </c>
      <c r="I8" s="29">
        <f t="shared" si="0"/>
        <v>1004</v>
      </c>
      <c r="J8" s="29">
        <v>1004</v>
      </c>
      <c r="K8" s="120" t="s">
        <v>311</v>
      </c>
      <c r="L8" s="114"/>
      <c r="M8" s="114"/>
    </row>
    <row r="9" spans="1:13" ht="14.25" customHeight="1" x14ac:dyDescent="0.25">
      <c r="A9" s="32">
        <v>102</v>
      </c>
      <c r="B9" s="30">
        <v>403.55</v>
      </c>
      <c r="C9" s="30">
        <v>414.59</v>
      </c>
      <c r="D9" s="29">
        <f t="shared" si="1"/>
        <v>11039.999999999964</v>
      </c>
      <c r="E9" s="64">
        <f>ROUND(D9*D23,0)</f>
        <v>973</v>
      </c>
      <c r="F9" s="29">
        <v>1000</v>
      </c>
      <c r="G9" s="29">
        <v>1973</v>
      </c>
      <c r="H9" s="29">
        <v>50</v>
      </c>
      <c r="I9" s="29">
        <f t="shared" si="0"/>
        <v>2023</v>
      </c>
      <c r="J9" s="29">
        <v>2023</v>
      </c>
      <c r="K9" s="120" t="s">
        <v>311</v>
      </c>
      <c r="L9" s="114"/>
      <c r="M9" s="114"/>
    </row>
    <row r="10" spans="1:13" ht="14.25" customHeight="1" x14ac:dyDescent="0.25">
      <c r="A10" s="32">
        <v>103</v>
      </c>
      <c r="B10" s="30">
        <v>50.71</v>
      </c>
      <c r="C10" s="30">
        <v>63.12</v>
      </c>
      <c r="D10" s="29">
        <f t="shared" si="1"/>
        <v>12409.999999999996</v>
      </c>
      <c r="E10" s="64">
        <f>ROUND(D10*D23,0)</f>
        <v>1094</v>
      </c>
      <c r="F10" s="29">
        <v>1000</v>
      </c>
      <c r="G10" s="29">
        <v>2094</v>
      </c>
      <c r="H10" s="29">
        <v>50</v>
      </c>
      <c r="I10" s="29">
        <f t="shared" si="0"/>
        <v>2144</v>
      </c>
      <c r="J10" s="29">
        <v>2144</v>
      </c>
      <c r="K10" s="120" t="s">
        <v>311</v>
      </c>
      <c r="L10" s="345" t="s">
        <v>239</v>
      </c>
      <c r="M10" s="337"/>
    </row>
    <row r="11" spans="1:13" ht="14.25" customHeight="1" x14ac:dyDescent="0.25">
      <c r="A11" s="32">
        <v>104</v>
      </c>
      <c r="B11" s="30">
        <v>268.57</v>
      </c>
      <c r="C11" s="30">
        <v>274.64999999999998</v>
      </c>
      <c r="D11" s="29">
        <f t="shared" si="1"/>
        <v>6079.9999999999836</v>
      </c>
      <c r="E11" s="64">
        <f>ROUND(D11*D23,0)</f>
        <v>536</v>
      </c>
      <c r="F11" s="29">
        <v>1000</v>
      </c>
      <c r="G11" s="29">
        <v>1536</v>
      </c>
      <c r="H11" s="29">
        <v>50</v>
      </c>
      <c r="I11" s="29">
        <f t="shared" si="0"/>
        <v>1586</v>
      </c>
      <c r="J11" s="29">
        <v>1586</v>
      </c>
      <c r="K11" s="120" t="s">
        <v>311</v>
      </c>
      <c r="L11" s="114" t="s">
        <v>410</v>
      </c>
      <c r="M11" s="114">
        <v>6700</v>
      </c>
    </row>
    <row r="12" spans="1:13" ht="14.25" customHeight="1" x14ac:dyDescent="0.25">
      <c r="A12" s="32">
        <v>201</v>
      </c>
      <c r="B12" s="30">
        <v>8.8800000000000008</v>
      </c>
      <c r="C12" s="30">
        <v>21.34</v>
      </c>
      <c r="D12" s="29">
        <f t="shared" si="1"/>
        <v>12459.999999999998</v>
      </c>
      <c r="E12" s="64">
        <f>ROUND(D12*D23,0)</f>
        <v>1099</v>
      </c>
      <c r="F12" s="29">
        <v>1000</v>
      </c>
      <c r="G12" s="29">
        <v>2099</v>
      </c>
      <c r="H12" s="29">
        <v>50</v>
      </c>
      <c r="I12" s="29">
        <f t="shared" si="0"/>
        <v>2149</v>
      </c>
      <c r="J12" s="29">
        <v>2149</v>
      </c>
      <c r="K12" s="120" t="s">
        <v>311</v>
      </c>
      <c r="L12" s="114" t="s">
        <v>223</v>
      </c>
      <c r="M12" s="114">
        <v>12000</v>
      </c>
    </row>
    <row r="13" spans="1:13" ht="14.25" customHeight="1" x14ac:dyDescent="0.25">
      <c r="A13" s="32">
        <v>202</v>
      </c>
      <c r="B13" s="30">
        <v>208.36</v>
      </c>
      <c r="C13" s="30">
        <v>211.05</v>
      </c>
      <c r="D13" s="29">
        <f t="shared" si="1"/>
        <v>2689.9999999999977</v>
      </c>
      <c r="E13" s="64">
        <f>ROUND(D13*D23,0)</f>
        <v>237</v>
      </c>
      <c r="F13" s="29">
        <v>1000</v>
      </c>
      <c r="G13" s="29">
        <v>1237</v>
      </c>
      <c r="H13" s="29">
        <v>50</v>
      </c>
      <c r="I13" s="29">
        <f t="shared" si="0"/>
        <v>1287</v>
      </c>
      <c r="J13" s="29">
        <v>1287</v>
      </c>
      <c r="K13" s="120" t="s">
        <v>311</v>
      </c>
      <c r="L13" s="114" t="s">
        <v>411</v>
      </c>
      <c r="M13" s="114">
        <v>500</v>
      </c>
    </row>
    <row r="14" spans="1:13" ht="14.25" customHeight="1" x14ac:dyDescent="0.25">
      <c r="A14" s="32">
        <v>203</v>
      </c>
      <c r="B14" s="30">
        <v>243.65</v>
      </c>
      <c r="C14" s="30">
        <v>250.28</v>
      </c>
      <c r="D14" s="29">
        <f t="shared" si="1"/>
        <v>6629.9999999999955</v>
      </c>
      <c r="E14" s="64">
        <f>ROUND(D14*D23,0)</f>
        <v>585</v>
      </c>
      <c r="F14" s="29">
        <v>1000</v>
      </c>
      <c r="G14" s="29">
        <v>1585</v>
      </c>
      <c r="H14" s="29">
        <v>50</v>
      </c>
      <c r="I14" s="29">
        <f t="shared" si="0"/>
        <v>1635</v>
      </c>
      <c r="J14" s="29">
        <v>1635</v>
      </c>
      <c r="K14" s="120" t="s">
        <v>311</v>
      </c>
      <c r="L14" s="114" t="s">
        <v>412</v>
      </c>
      <c r="M14" s="114">
        <v>200</v>
      </c>
    </row>
    <row r="15" spans="1:13" ht="14.25" customHeight="1" x14ac:dyDescent="0.25">
      <c r="A15" s="32">
        <v>204</v>
      </c>
      <c r="B15" s="30">
        <v>161.03</v>
      </c>
      <c r="C15" s="30">
        <v>170.04</v>
      </c>
      <c r="D15" s="29">
        <f t="shared" si="1"/>
        <v>9009.9999999999909</v>
      </c>
      <c r="E15" s="64">
        <f>ROUND(D15*D23,0)</f>
        <v>794</v>
      </c>
      <c r="F15" s="29">
        <v>1000</v>
      </c>
      <c r="G15" s="29">
        <v>1794</v>
      </c>
      <c r="H15" s="29">
        <v>50</v>
      </c>
      <c r="I15" s="29">
        <f t="shared" si="0"/>
        <v>1844</v>
      </c>
      <c r="J15" s="29">
        <v>1844</v>
      </c>
      <c r="K15" s="120" t="s">
        <v>311</v>
      </c>
      <c r="L15" s="114" t="s">
        <v>413</v>
      </c>
      <c r="M15" s="114">
        <v>1460</v>
      </c>
    </row>
    <row r="16" spans="1:13" ht="14.25" customHeight="1" x14ac:dyDescent="0.25">
      <c r="A16" s="32">
        <v>301</v>
      </c>
      <c r="B16" s="30">
        <v>1.2</v>
      </c>
      <c r="C16" s="30">
        <v>1.36</v>
      </c>
      <c r="D16" s="29">
        <f t="shared" si="1"/>
        <v>160.00000000000014</v>
      </c>
      <c r="E16" s="64">
        <f>ROUND(D16*D23,0)</f>
        <v>14</v>
      </c>
      <c r="F16" s="29">
        <v>1000</v>
      </c>
      <c r="G16" s="29">
        <v>1014</v>
      </c>
      <c r="H16" s="29">
        <v>0</v>
      </c>
      <c r="I16" s="29">
        <f t="shared" si="0"/>
        <v>1014</v>
      </c>
      <c r="J16" s="29">
        <v>1014</v>
      </c>
      <c r="K16" s="120" t="s">
        <v>311</v>
      </c>
      <c r="L16" s="114" t="s">
        <v>414</v>
      </c>
      <c r="M16" s="114">
        <v>300</v>
      </c>
    </row>
    <row r="17" spans="1:13" ht="14.25" customHeight="1" x14ac:dyDescent="0.25">
      <c r="A17" s="32">
        <v>302</v>
      </c>
      <c r="B17" s="30">
        <v>32.44</v>
      </c>
      <c r="C17" s="30">
        <v>41.18</v>
      </c>
      <c r="D17" s="29">
        <f t="shared" si="1"/>
        <v>8740.0000000000018</v>
      </c>
      <c r="E17" s="64">
        <f>ROUND(D17*D23,0)</f>
        <v>771</v>
      </c>
      <c r="F17" s="29">
        <v>1000</v>
      </c>
      <c r="G17" s="29">
        <v>1771</v>
      </c>
      <c r="H17" s="29">
        <v>50</v>
      </c>
      <c r="I17" s="113">
        <f t="shared" si="0"/>
        <v>1821</v>
      </c>
      <c r="J17" s="113">
        <v>1321</v>
      </c>
      <c r="K17" s="145" t="s">
        <v>415</v>
      </c>
      <c r="L17" s="114" t="s">
        <v>416</v>
      </c>
      <c r="M17" s="114">
        <v>162</v>
      </c>
    </row>
    <row r="18" spans="1:13" ht="14.25" customHeight="1" x14ac:dyDescent="0.25">
      <c r="A18" s="32">
        <v>303</v>
      </c>
      <c r="B18" s="30">
        <v>574.63</v>
      </c>
      <c r="C18" s="30">
        <v>593.59</v>
      </c>
      <c r="D18" s="29">
        <f t="shared" si="1"/>
        <v>18960.000000000036</v>
      </c>
      <c r="E18" s="64">
        <f>ROUND(D18*D23,0)</f>
        <v>1672</v>
      </c>
      <c r="F18" s="29">
        <v>1000</v>
      </c>
      <c r="G18" s="29">
        <v>2672</v>
      </c>
      <c r="H18" s="29">
        <v>50</v>
      </c>
      <c r="I18" s="29">
        <f t="shared" si="0"/>
        <v>2722</v>
      </c>
      <c r="J18" s="29">
        <v>2722</v>
      </c>
      <c r="K18" s="120" t="s">
        <v>311</v>
      </c>
      <c r="L18" s="121" t="s">
        <v>417</v>
      </c>
      <c r="M18" s="121">
        <v>21362</v>
      </c>
    </row>
    <row r="19" spans="1:13" ht="14.25" customHeight="1" x14ac:dyDescent="0.25">
      <c r="A19" s="32">
        <v>304</v>
      </c>
      <c r="B19" s="30">
        <v>117.71</v>
      </c>
      <c r="C19" s="30">
        <v>124.01</v>
      </c>
      <c r="D19" s="29">
        <f t="shared" si="1"/>
        <v>6300.0000000000109</v>
      </c>
      <c r="E19" s="64">
        <f>ROUND(D19*D23,0)</f>
        <v>556</v>
      </c>
      <c r="F19" s="29">
        <v>1000</v>
      </c>
      <c r="G19" s="29">
        <v>1556</v>
      </c>
      <c r="H19" s="29">
        <v>50</v>
      </c>
      <c r="I19" s="29">
        <f t="shared" si="0"/>
        <v>1606</v>
      </c>
      <c r="J19" s="29">
        <v>1606</v>
      </c>
      <c r="K19" s="120" t="s">
        <v>311</v>
      </c>
      <c r="L19" s="114"/>
      <c r="M19" s="114"/>
    </row>
    <row r="20" spans="1:13" ht="14.25" customHeight="1" x14ac:dyDescent="0.25">
      <c r="A20" s="29" t="s">
        <v>287</v>
      </c>
      <c r="B20" s="30">
        <v>100.236</v>
      </c>
      <c r="C20" s="30">
        <v>116.64400000000001</v>
      </c>
      <c r="D20" s="29">
        <f t="shared" si="1"/>
        <v>16408</v>
      </c>
      <c r="E20" s="64">
        <v>0</v>
      </c>
      <c r="F20" s="123">
        <v>0</v>
      </c>
      <c r="G20" s="29"/>
      <c r="H20" s="29">
        <v>0</v>
      </c>
      <c r="I20" s="29">
        <f t="shared" si="0"/>
        <v>0</v>
      </c>
      <c r="J20" s="29">
        <f>H20+I20</f>
        <v>0</v>
      </c>
      <c r="K20" s="51"/>
      <c r="L20" s="114"/>
      <c r="M20" s="114"/>
    </row>
    <row r="21" spans="1:13" ht="14.25" customHeight="1" x14ac:dyDescent="0.25">
      <c r="A21" s="29"/>
      <c r="B21" s="29"/>
      <c r="C21" s="29"/>
      <c r="D21" s="29"/>
      <c r="E21" s="49"/>
      <c r="F21" s="49"/>
      <c r="G21" s="49"/>
      <c r="H21" s="49">
        <f t="shared" ref="H21:I21" si="2">SUM(H2:H20)</f>
        <v>700</v>
      </c>
      <c r="I21" s="49">
        <f t="shared" si="2"/>
        <v>27853</v>
      </c>
      <c r="J21" s="49">
        <f>SUM(J2:J19)</f>
        <v>27353</v>
      </c>
      <c r="K21" s="29"/>
      <c r="L21" s="121" t="s">
        <v>418</v>
      </c>
      <c r="M21" s="121">
        <f>J21-M18</f>
        <v>5991</v>
      </c>
    </row>
    <row r="22" spans="1:13" ht="14.25" customHeight="1" x14ac:dyDescent="0.25">
      <c r="A22" s="29"/>
      <c r="B22" s="29" t="s">
        <v>75</v>
      </c>
      <c r="C22" s="29"/>
      <c r="D22" s="30">
        <f>SUM(D4:D20)</f>
        <v>136088</v>
      </c>
      <c r="E22" s="29"/>
      <c r="F22" s="29"/>
      <c r="G22" s="29"/>
      <c r="H22" s="29"/>
      <c r="I22" s="29"/>
      <c r="J22" s="29"/>
      <c r="K22" s="29"/>
      <c r="L22" s="114"/>
      <c r="M22" s="114"/>
    </row>
    <row r="23" spans="1:13" ht="14.25" customHeight="1" x14ac:dyDescent="0.25">
      <c r="A23" s="29"/>
      <c r="B23" s="29" t="s">
        <v>243</v>
      </c>
      <c r="C23" s="119" t="s">
        <v>244</v>
      </c>
      <c r="D23" s="111">
        <f>B24/D22</f>
        <v>8.817823761095761E-2</v>
      </c>
      <c r="E23" s="29"/>
      <c r="F23" s="29"/>
      <c r="G23" s="72" t="s">
        <v>419</v>
      </c>
      <c r="H23" s="72">
        <f>SUM(M1,M21)</f>
        <v>22022</v>
      </c>
      <c r="I23" s="29"/>
      <c r="J23" s="29"/>
      <c r="K23" s="29"/>
      <c r="L23" s="114"/>
      <c r="M23" s="114"/>
    </row>
    <row r="24" spans="1:13" ht="14.25" customHeight="1" x14ac:dyDescent="0.25">
      <c r="A24" s="29" t="s">
        <v>85</v>
      </c>
      <c r="B24" s="30">
        <v>12000</v>
      </c>
      <c r="C24" s="119" t="s">
        <v>420</v>
      </c>
      <c r="D24" s="29"/>
      <c r="E24" s="29"/>
      <c r="F24" s="29"/>
      <c r="G24" s="29"/>
      <c r="H24" s="29"/>
      <c r="I24" s="29"/>
      <c r="J24" s="29"/>
      <c r="K24" s="29"/>
      <c r="L24" s="114"/>
      <c r="M24" s="114"/>
    </row>
    <row r="25" spans="1:13" ht="14.25" customHeight="1" x14ac:dyDescent="0.25"/>
    <row r="26" spans="1:13" ht="14.25" customHeight="1" x14ac:dyDescent="0.25"/>
    <row r="27" spans="1:13" ht="14.25" customHeight="1" x14ac:dyDescent="0.25"/>
    <row r="28" spans="1:13" ht="14.25" customHeight="1" x14ac:dyDescent="0.25"/>
    <row r="29" spans="1:13" ht="14.25" customHeight="1" x14ac:dyDescent="0.25"/>
    <row r="30" spans="1:13" ht="14.25" customHeight="1" x14ac:dyDescent="0.25"/>
    <row r="31" spans="1:13" ht="14.25" customHeight="1" x14ac:dyDescent="0.25">
      <c r="C31" s="1">
        <v>4</v>
      </c>
    </row>
  </sheetData>
  <mergeCells count="1">
    <mergeCell ref="L10:M10"/>
  </mergeCells>
  <pageMargins left="0.7" right="0.7" top="0.75" bottom="0.75" header="0" footer="0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N24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4" customWidth="1"/>
    <col min="3" max="3" width="20.28515625" customWidth="1"/>
    <col min="4" max="4" width="18.7109375" customWidth="1"/>
    <col min="5" max="5" width="18.42578125" customWidth="1"/>
    <col min="6" max="6" width="20.42578125" customWidth="1"/>
    <col min="7" max="7" width="16.140625" customWidth="1"/>
    <col min="8" max="8" width="15.28515625" customWidth="1"/>
    <col min="9" max="9" width="8.28515625" customWidth="1"/>
    <col min="10" max="10" width="14.85546875" customWidth="1"/>
    <col min="11" max="11" width="16.7109375" customWidth="1"/>
    <col min="12" max="12" width="26" customWidth="1"/>
    <col min="13" max="13" width="7.28515625" customWidth="1"/>
    <col min="14" max="14" width="8.7109375" customWidth="1"/>
  </cols>
  <sheetData>
    <row r="1" spans="1:14" ht="14.25" customHeight="1" x14ac:dyDescent="0.25">
      <c r="A1" s="49" t="s">
        <v>287</v>
      </c>
      <c r="B1" s="49" t="s">
        <v>80</v>
      </c>
      <c r="C1" s="49" t="s">
        <v>236</v>
      </c>
      <c r="D1" s="146" t="s">
        <v>66</v>
      </c>
      <c r="E1" s="147" t="s">
        <v>52</v>
      </c>
      <c r="F1" s="118" t="s">
        <v>81</v>
      </c>
      <c r="G1" s="118" t="s">
        <v>365</v>
      </c>
      <c r="H1" s="118" t="s">
        <v>366</v>
      </c>
      <c r="I1" s="118" t="s">
        <v>367</v>
      </c>
      <c r="J1" s="118" t="s">
        <v>421</v>
      </c>
      <c r="K1" s="146" t="s">
        <v>128</v>
      </c>
      <c r="L1" s="124" t="s">
        <v>422</v>
      </c>
      <c r="M1" s="128">
        <v>22022</v>
      </c>
      <c r="N1" s="114"/>
    </row>
    <row r="2" spans="1:14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f t="shared" ref="I2:I20" si="0">G2+H2</f>
        <v>300</v>
      </c>
      <c r="J2" s="29">
        <v>300</v>
      </c>
      <c r="K2" s="120" t="s">
        <v>311</v>
      </c>
      <c r="L2" s="148" t="s">
        <v>393</v>
      </c>
      <c r="M2" s="149"/>
      <c r="N2" s="114"/>
    </row>
    <row r="3" spans="1:14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f t="shared" si="0"/>
        <v>300</v>
      </c>
      <c r="J3" s="29">
        <v>300</v>
      </c>
      <c r="K3" s="120" t="s">
        <v>311</v>
      </c>
      <c r="L3" s="148" t="s">
        <v>408</v>
      </c>
      <c r="M3" s="148">
        <v>500</v>
      </c>
      <c r="N3" s="148" t="s">
        <v>311</v>
      </c>
    </row>
    <row r="4" spans="1:14" ht="14.25" customHeight="1" x14ac:dyDescent="0.25">
      <c r="A4" s="32" t="s">
        <v>68</v>
      </c>
      <c r="B4" s="30">
        <v>49.96</v>
      </c>
      <c r="C4" s="30">
        <v>56.78</v>
      </c>
      <c r="D4" s="29">
        <f t="shared" ref="D4:D20" si="1">(C4-B4)*1000</f>
        <v>6820</v>
      </c>
      <c r="E4" s="64">
        <f>ROUND(D4*D23,0)</f>
        <v>457</v>
      </c>
      <c r="F4" s="29">
        <v>1000</v>
      </c>
      <c r="G4" s="29">
        <f t="shared" ref="G4:G19" si="2">SUM(E4,F4)</f>
        <v>1457</v>
      </c>
      <c r="H4" s="29">
        <v>50</v>
      </c>
      <c r="I4" s="29">
        <f t="shared" si="0"/>
        <v>1507</v>
      </c>
      <c r="J4" s="29">
        <v>1507</v>
      </c>
      <c r="K4" s="120" t="s">
        <v>311</v>
      </c>
      <c r="L4" s="148" t="s">
        <v>409</v>
      </c>
      <c r="M4" s="148">
        <v>1000</v>
      </c>
      <c r="N4" s="114"/>
    </row>
    <row r="5" spans="1:14" ht="14.25" customHeight="1" x14ac:dyDescent="0.25">
      <c r="A5" s="32" t="s">
        <v>70</v>
      </c>
      <c r="B5" s="30">
        <v>135.72999999999999</v>
      </c>
      <c r="C5" s="30">
        <v>137.85</v>
      </c>
      <c r="D5" s="29">
        <f t="shared" si="1"/>
        <v>2120.0000000000045</v>
      </c>
      <c r="E5" s="64">
        <f>ROUND(D5*D23,0)</f>
        <v>142</v>
      </c>
      <c r="F5" s="29">
        <v>1000</v>
      </c>
      <c r="G5" s="29">
        <f t="shared" si="2"/>
        <v>1142</v>
      </c>
      <c r="H5" s="29">
        <v>50</v>
      </c>
      <c r="I5" s="29">
        <f t="shared" si="0"/>
        <v>1192</v>
      </c>
      <c r="J5" s="29">
        <v>1192</v>
      </c>
      <c r="K5" s="120" t="s">
        <v>311</v>
      </c>
      <c r="L5" s="114"/>
      <c r="M5" s="114"/>
      <c r="N5" s="114"/>
    </row>
    <row r="6" spans="1:14" ht="14.25" customHeight="1" x14ac:dyDescent="0.25">
      <c r="A6" s="32" t="s">
        <v>16</v>
      </c>
      <c r="B6" s="30">
        <v>270.73</v>
      </c>
      <c r="C6" s="30">
        <v>270.74</v>
      </c>
      <c r="D6" s="29">
        <f t="shared" si="1"/>
        <v>9.9999999999909051</v>
      </c>
      <c r="E6" s="64">
        <f>ROUND(D6*D23,0)</f>
        <v>1</v>
      </c>
      <c r="F6" s="29">
        <v>1000</v>
      </c>
      <c r="G6" s="29">
        <f t="shared" si="2"/>
        <v>1001</v>
      </c>
      <c r="H6" s="29">
        <v>50</v>
      </c>
      <c r="I6" s="29">
        <f t="shared" si="0"/>
        <v>1051</v>
      </c>
      <c r="J6" s="29">
        <v>1051</v>
      </c>
      <c r="K6" s="120" t="s">
        <v>311</v>
      </c>
      <c r="L6" s="114"/>
      <c r="M6" s="114"/>
      <c r="N6" s="114"/>
    </row>
    <row r="7" spans="1:14" ht="14.25" customHeight="1" x14ac:dyDescent="0.25">
      <c r="A7" s="32" t="s">
        <v>13</v>
      </c>
      <c r="B7" s="30">
        <v>219.28</v>
      </c>
      <c r="C7" s="30">
        <v>225.19</v>
      </c>
      <c r="D7" s="29">
        <f t="shared" si="1"/>
        <v>5909.9999999999964</v>
      </c>
      <c r="E7" s="64">
        <f>ROUND(D7*D23,0)</f>
        <v>396</v>
      </c>
      <c r="F7" s="29">
        <v>1000</v>
      </c>
      <c r="G7" s="29">
        <f t="shared" si="2"/>
        <v>1396</v>
      </c>
      <c r="H7" s="29">
        <v>50</v>
      </c>
      <c r="I7" s="29">
        <f t="shared" si="0"/>
        <v>1446</v>
      </c>
      <c r="J7" s="29">
        <v>1446</v>
      </c>
      <c r="K7" s="120" t="s">
        <v>311</v>
      </c>
      <c r="L7" s="114"/>
      <c r="M7" s="114"/>
      <c r="N7" s="114"/>
    </row>
    <row r="8" spans="1:14" ht="14.25" customHeight="1" x14ac:dyDescent="0.25">
      <c r="A8" s="73">
        <v>101</v>
      </c>
      <c r="B8" s="30">
        <v>0.59</v>
      </c>
      <c r="C8" s="30">
        <v>0.59</v>
      </c>
      <c r="D8" s="29">
        <f t="shared" si="1"/>
        <v>0</v>
      </c>
      <c r="E8" s="64">
        <f>ROUND(D8*D23,0)</f>
        <v>0</v>
      </c>
      <c r="F8" s="64">
        <v>1000</v>
      </c>
      <c r="G8" s="29">
        <f t="shared" si="2"/>
        <v>1000</v>
      </c>
      <c r="H8" s="29">
        <v>0</v>
      </c>
      <c r="I8" s="29">
        <f t="shared" si="0"/>
        <v>1000</v>
      </c>
      <c r="J8" s="29">
        <v>1000</v>
      </c>
      <c r="K8" s="120" t="s">
        <v>311</v>
      </c>
      <c r="L8" s="114"/>
      <c r="M8" s="114"/>
      <c r="N8" s="114"/>
    </row>
    <row r="9" spans="1:14" ht="14.25" customHeight="1" x14ac:dyDescent="0.25">
      <c r="A9" s="32">
        <v>102</v>
      </c>
      <c r="B9" s="30">
        <v>414.59</v>
      </c>
      <c r="C9" s="30">
        <v>423.74</v>
      </c>
      <c r="D9" s="29">
        <f t="shared" si="1"/>
        <v>9150.0000000000346</v>
      </c>
      <c r="E9" s="64">
        <f>ROUND(D9*D23,0)</f>
        <v>613</v>
      </c>
      <c r="F9" s="29">
        <v>1000</v>
      </c>
      <c r="G9" s="29">
        <f t="shared" si="2"/>
        <v>1613</v>
      </c>
      <c r="H9" s="29">
        <v>50</v>
      </c>
      <c r="I9" s="29">
        <f t="shared" si="0"/>
        <v>1663</v>
      </c>
      <c r="J9" s="29">
        <v>1663</v>
      </c>
      <c r="K9" s="120" t="s">
        <v>311</v>
      </c>
      <c r="L9" s="114"/>
      <c r="M9" s="114"/>
      <c r="N9" s="114"/>
    </row>
    <row r="10" spans="1:14" ht="14.25" customHeight="1" x14ac:dyDescent="0.25">
      <c r="A10" s="32">
        <v>103</v>
      </c>
      <c r="B10" s="30">
        <v>63.12</v>
      </c>
      <c r="C10" s="30">
        <v>77.44</v>
      </c>
      <c r="D10" s="29">
        <f t="shared" si="1"/>
        <v>14320</v>
      </c>
      <c r="E10" s="64">
        <f>ROUND(D10*D23,0)</f>
        <v>959</v>
      </c>
      <c r="F10" s="29">
        <v>1000</v>
      </c>
      <c r="G10" s="29">
        <f t="shared" si="2"/>
        <v>1959</v>
      </c>
      <c r="H10" s="29">
        <v>50</v>
      </c>
      <c r="I10" s="29">
        <f t="shared" si="0"/>
        <v>2009</v>
      </c>
      <c r="J10" s="29">
        <v>2009</v>
      </c>
      <c r="K10" s="120" t="s">
        <v>311</v>
      </c>
      <c r="L10" s="346" t="s">
        <v>239</v>
      </c>
      <c r="M10" s="337"/>
      <c r="N10" s="60"/>
    </row>
    <row r="11" spans="1:14" ht="14.25" customHeight="1" x14ac:dyDescent="0.25">
      <c r="A11" s="32">
        <v>104</v>
      </c>
      <c r="B11" s="30">
        <v>274.64999999999998</v>
      </c>
      <c r="C11" s="30">
        <v>281.32</v>
      </c>
      <c r="D11" s="29">
        <f t="shared" si="1"/>
        <v>6670.0000000000164</v>
      </c>
      <c r="E11" s="64">
        <f>ROUND(D11*D23,0)</f>
        <v>447</v>
      </c>
      <c r="F11" s="29">
        <v>1000</v>
      </c>
      <c r="G11" s="29">
        <f t="shared" si="2"/>
        <v>1447</v>
      </c>
      <c r="H11" s="29">
        <v>50</v>
      </c>
      <c r="I11" s="29">
        <f t="shared" si="0"/>
        <v>1497</v>
      </c>
      <c r="J11" s="29">
        <v>1497</v>
      </c>
      <c r="K11" s="120" t="s">
        <v>311</v>
      </c>
      <c r="L11" s="114" t="s">
        <v>423</v>
      </c>
      <c r="M11" s="114">
        <v>6700</v>
      </c>
      <c r="N11" s="114"/>
    </row>
    <row r="12" spans="1:14" ht="14.25" customHeight="1" x14ac:dyDescent="0.25">
      <c r="A12" s="32">
        <v>201</v>
      </c>
      <c r="B12" s="30">
        <v>21.34</v>
      </c>
      <c r="C12" s="30">
        <v>33.75</v>
      </c>
      <c r="D12" s="29">
        <f t="shared" si="1"/>
        <v>12410</v>
      </c>
      <c r="E12" s="64">
        <f>ROUND(D12*D23,0)</f>
        <v>831</v>
      </c>
      <c r="F12" s="29">
        <v>1000</v>
      </c>
      <c r="G12" s="29">
        <f t="shared" si="2"/>
        <v>1831</v>
      </c>
      <c r="H12" s="29">
        <v>50</v>
      </c>
      <c r="I12" s="29">
        <f t="shared" si="0"/>
        <v>1881</v>
      </c>
      <c r="J12" s="29">
        <v>1881</v>
      </c>
      <c r="K12" s="120" t="s">
        <v>311</v>
      </c>
      <c r="L12" s="114" t="s">
        <v>424</v>
      </c>
      <c r="M12" s="114">
        <v>9000</v>
      </c>
      <c r="N12" s="114"/>
    </row>
    <row r="13" spans="1:14" ht="14.25" customHeight="1" x14ac:dyDescent="0.25">
      <c r="A13" s="32">
        <v>202</v>
      </c>
      <c r="B13" s="30">
        <v>211.05</v>
      </c>
      <c r="C13" s="30">
        <v>214.66</v>
      </c>
      <c r="D13" s="29">
        <f t="shared" si="1"/>
        <v>3609.9999999999854</v>
      </c>
      <c r="E13" s="64">
        <f>ROUND(D13*D23,0)</f>
        <v>242</v>
      </c>
      <c r="F13" s="29">
        <v>1000</v>
      </c>
      <c r="G13" s="29">
        <f t="shared" si="2"/>
        <v>1242</v>
      </c>
      <c r="H13" s="29">
        <v>50</v>
      </c>
      <c r="I13" s="29">
        <f t="shared" si="0"/>
        <v>1292</v>
      </c>
      <c r="J13" s="29">
        <v>1292</v>
      </c>
      <c r="K13" s="120" t="s">
        <v>311</v>
      </c>
      <c r="L13" s="114" t="s">
        <v>425</v>
      </c>
      <c r="M13" s="114">
        <v>200</v>
      </c>
      <c r="N13" s="114"/>
    </row>
    <row r="14" spans="1:14" ht="14.25" customHeight="1" x14ac:dyDescent="0.25">
      <c r="A14" s="32">
        <v>203</v>
      </c>
      <c r="B14" s="30">
        <v>250.28</v>
      </c>
      <c r="C14" s="30">
        <v>253.72</v>
      </c>
      <c r="D14" s="29">
        <f t="shared" si="1"/>
        <v>3439.9999999999977</v>
      </c>
      <c r="E14" s="64">
        <f>ROUND(D14*D23,0)</f>
        <v>230</v>
      </c>
      <c r="F14" s="29">
        <v>1000</v>
      </c>
      <c r="G14" s="29">
        <f t="shared" si="2"/>
        <v>1230</v>
      </c>
      <c r="H14" s="29">
        <v>50</v>
      </c>
      <c r="I14" s="29">
        <f t="shared" si="0"/>
        <v>1280</v>
      </c>
      <c r="J14" s="29">
        <v>1280</v>
      </c>
      <c r="K14" s="120" t="s">
        <v>311</v>
      </c>
      <c r="L14" s="114" t="s">
        <v>176</v>
      </c>
      <c r="M14" s="114">
        <v>100</v>
      </c>
      <c r="N14" s="114"/>
    </row>
    <row r="15" spans="1:14" ht="14.25" customHeight="1" x14ac:dyDescent="0.25">
      <c r="A15" s="32">
        <v>204</v>
      </c>
      <c r="B15" s="30">
        <v>170.04</v>
      </c>
      <c r="C15" s="30">
        <v>180.75</v>
      </c>
      <c r="D15" s="29">
        <f t="shared" si="1"/>
        <v>10710.000000000007</v>
      </c>
      <c r="E15" s="64">
        <f>ROUND(D15*D23,0)</f>
        <v>717</v>
      </c>
      <c r="F15" s="29">
        <v>1000</v>
      </c>
      <c r="G15" s="29">
        <f t="shared" si="2"/>
        <v>1717</v>
      </c>
      <c r="H15" s="29">
        <v>50</v>
      </c>
      <c r="I15" s="29">
        <f t="shared" si="0"/>
        <v>1767</v>
      </c>
      <c r="J15" s="29">
        <v>1767</v>
      </c>
      <c r="K15" s="120" t="s">
        <v>311</v>
      </c>
      <c r="L15" s="114" t="s">
        <v>426</v>
      </c>
      <c r="M15" s="114">
        <v>2269</v>
      </c>
      <c r="N15" s="114"/>
    </row>
    <row r="16" spans="1:14" ht="14.25" customHeight="1" x14ac:dyDescent="0.25">
      <c r="A16" s="32">
        <v>301</v>
      </c>
      <c r="B16" s="30">
        <v>1.36</v>
      </c>
      <c r="C16" s="30">
        <v>5.57</v>
      </c>
      <c r="D16" s="29">
        <f t="shared" si="1"/>
        <v>4210</v>
      </c>
      <c r="E16" s="64">
        <f>ROUND(D16*D23,0)</f>
        <v>282</v>
      </c>
      <c r="F16" s="29">
        <v>1000</v>
      </c>
      <c r="G16" s="29">
        <f t="shared" si="2"/>
        <v>1282</v>
      </c>
      <c r="H16" s="29">
        <v>50</v>
      </c>
      <c r="I16" s="29">
        <f t="shared" si="0"/>
        <v>1332</v>
      </c>
      <c r="J16" s="29">
        <v>1332</v>
      </c>
      <c r="K16" s="51" t="s">
        <v>311</v>
      </c>
      <c r="L16" s="114" t="s">
        <v>427</v>
      </c>
      <c r="M16" s="114">
        <v>500</v>
      </c>
      <c r="N16" s="114"/>
    </row>
    <row r="17" spans="1:14" ht="14.25" customHeight="1" x14ac:dyDescent="0.25">
      <c r="A17" s="32">
        <v>302</v>
      </c>
      <c r="B17" s="30">
        <v>41.18</v>
      </c>
      <c r="C17" s="30">
        <v>56.1</v>
      </c>
      <c r="D17" s="29">
        <f t="shared" si="1"/>
        <v>14920.000000000002</v>
      </c>
      <c r="E17" s="64">
        <f>ROUND(D17*D23,0)</f>
        <v>999</v>
      </c>
      <c r="F17" s="29">
        <v>1000</v>
      </c>
      <c r="G17" s="29">
        <f t="shared" si="2"/>
        <v>1999</v>
      </c>
      <c r="H17" s="29">
        <v>50</v>
      </c>
      <c r="I17" s="29">
        <f t="shared" si="0"/>
        <v>2049</v>
      </c>
      <c r="J17" s="29">
        <v>2549</v>
      </c>
      <c r="K17" s="120" t="s">
        <v>428</v>
      </c>
      <c r="L17" s="114" t="s">
        <v>429</v>
      </c>
      <c r="M17" s="114">
        <v>13000</v>
      </c>
      <c r="N17" s="114"/>
    </row>
    <row r="18" spans="1:14" ht="14.25" customHeight="1" x14ac:dyDescent="0.25">
      <c r="A18" s="32">
        <v>303</v>
      </c>
      <c r="B18" s="30">
        <v>593.59</v>
      </c>
      <c r="C18" s="30">
        <v>610.59</v>
      </c>
      <c r="D18" s="29">
        <f t="shared" si="1"/>
        <v>17000</v>
      </c>
      <c r="E18" s="64">
        <f>ROUND(D18*D23,0)</f>
        <v>1139</v>
      </c>
      <c r="F18" s="29">
        <v>1000</v>
      </c>
      <c r="G18" s="29">
        <f t="shared" si="2"/>
        <v>2139</v>
      </c>
      <c r="H18" s="29">
        <v>50</v>
      </c>
      <c r="I18" s="29">
        <f t="shared" si="0"/>
        <v>2189</v>
      </c>
      <c r="J18" s="29">
        <v>2189</v>
      </c>
      <c r="K18" s="120" t="s">
        <v>311</v>
      </c>
      <c r="L18" s="114" t="s">
        <v>430</v>
      </c>
      <c r="M18" s="114">
        <v>13000</v>
      </c>
      <c r="N18" s="114"/>
    </row>
    <row r="19" spans="1:14" ht="14.25" customHeight="1" x14ac:dyDescent="0.25">
      <c r="A19" s="32">
        <v>304</v>
      </c>
      <c r="B19" s="30">
        <v>124.01</v>
      </c>
      <c r="C19" s="30">
        <v>132.75</v>
      </c>
      <c r="D19" s="29">
        <f t="shared" si="1"/>
        <v>8739.9999999999945</v>
      </c>
      <c r="E19" s="64">
        <f>ROUND(D19*D23,0)</f>
        <v>585</v>
      </c>
      <c r="F19" s="29">
        <v>1000</v>
      </c>
      <c r="G19" s="29">
        <f t="shared" si="2"/>
        <v>1585</v>
      </c>
      <c r="H19" s="29">
        <v>50</v>
      </c>
      <c r="I19" s="29">
        <f t="shared" si="0"/>
        <v>1635</v>
      </c>
      <c r="J19" s="29">
        <v>1635</v>
      </c>
      <c r="K19" s="120" t="s">
        <v>311</v>
      </c>
      <c r="L19" s="114" t="s">
        <v>431</v>
      </c>
      <c r="M19" s="114">
        <v>540</v>
      </c>
      <c r="N19" s="114"/>
    </row>
    <row r="20" spans="1:14" ht="14.25" customHeight="1" x14ac:dyDescent="0.25">
      <c r="A20" s="29" t="s">
        <v>287</v>
      </c>
      <c r="B20" s="30">
        <v>116.64400000000001</v>
      </c>
      <c r="C20" s="30">
        <v>130.97</v>
      </c>
      <c r="D20" s="29">
        <f t="shared" si="1"/>
        <v>14325.999999999993</v>
      </c>
      <c r="E20" s="64">
        <v>0</v>
      </c>
      <c r="F20" s="123">
        <v>0</v>
      </c>
      <c r="G20" s="29"/>
      <c r="H20" s="29">
        <v>0</v>
      </c>
      <c r="I20" s="29">
        <f t="shared" si="0"/>
        <v>0</v>
      </c>
      <c r="J20" s="29"/>
      <c r="K20" s="51"/>
      <c r="L20" s="114" t="s">
        <v>432</v>
      </c>
      <c r="M20" s="114">
        <v>165</v>
      </c>
      <c r="N20" s="114"/>
    </row>
    <row r="21" spans="1:14" ht="14.25" customHeight="1" x14ac:dyDescent="0.25">
      <c r="A21" s="29"/>
      <c r="B21" s="29"/>
      <c r="C21" s="29"/>
      <c r="D21" s="29"/>
      <c r="E21" s="49"/>
      <c r="F21" s="49"/>
      <c r="G21" s="49"/>
      <c r="H21" s="49">
        <f>SUM(H2:H20)</f>
        <v>750</v>
      </c>
      <c r="I21" s="49"/>
      <c r="J21" s="49">
        <f>SUM(J2:J19)</f>
        <v>25890</v>
      </c>
      <c r="K21" s="29"/>
      <c r="L21" s="114" t="s">
        <v>433</v>
      </c>
      <c r="M21" s="114">
        <v>260</v>
      </c>
      <c r="N21" s="114"/>
    </row>
    <row r="22" spans="1:14" ht="14.25" customHeight="1" x14ac:dyDescent="0.25">
      <c r="A22" s="29"/>
      <c r="B22" s="29" t="s">
        <v>75</v>
      </c>
      <c r="C22" s="29"/>
      <c r="D22" s="30">
        <f>SUM(D4:D20)</f>
        <v>134366.00000000003</v>
      </c>
      <c r="E22" s="29"/>
      <c r="F22" s="29"/>
      <c r="G22" s="29"/>
      <c r="H22" s="29"/>
      <c r="I22" s="29"/>
      <c r="J22" s="29"/>
      <c r="K22" s="29"/>
      <c r="L22" s="121" t="s">
        <v>20</v>
      </c>
      <c r="M22" s="121">
        <f>SUM(M11:M21)</f>
        <v>45734</v>
      </c>
      <c r="N22" s="121"/>
    </row>
    <row r="23" spans="1:14" ht="14.25" customHeight="1" x14ac:dyDescent="0.25">
      <c r="A23" s="29"/>
      <c r="B23" s="29" t="s">
        <v>243</v>
      </c>
      <c r="C23" s="119" t="s">
        <v>244</v>
      </c>
      <c r="D23" s="111">
        <f>B24/D22</f>
        <v>6.6981230370778314E-2</v>
      </c>
      <c r="E23" s="29"/>
      <c r="F23" s="29"/>
      <c r="G23" s="119" t="s">
        <v>434</v>
      </c>
      <c r="H23" s="29">
        <f>SUM(M1,J21)-M22</f>
        <v>2178</v>
      </c>
      <c r="I23" s="29"/>
      <c r="J23" s="29"/>
      <c r="K23" s="29"/>
      <c r="L23" s="114"/>
      <c r="M23" s="114"/>
      <c r="N23" s="114"/>
    </row>
    <row r="24" spans="1:14" ht="14.25" customHeight="1" x14ac:dyDescent="0.25">
      <c r="A24" s="119" t="s">
        <v>85</v>
      </c>
      <c r="B24" s="30">
        <v>9000</v>
      </c>
      <c r="C24" s="119" t="s">
        <v>273</v>
      </c>
      <c r="D24" s="29"/>
      <c r="E24" s="29"/>
      <c r="F24" s="29"/>
      <c r="G24" s="29"/>
      <c r="H24" s="29"/>
      <c r="I24" s="29"/>
      <c r="J24" s="29"/>
      <c r="K24" s="29"/>
      <c r="L24" s="114"/>
      <c r="M24" s="114"/>
      <c r="N24" s="114"/>
    </row>
  </sheetData>
  <mergeCells count="1">
    <mergeCell ref="L10:M10"/>
  </mergeCells>
  <pageMargins left="0.7" right="0.7" top="0.75" bottom="0.75" header="0" footer="0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N24"/>
  <sheetViews>
    <sheetView workbookViewId="0"/>
  </sheetViews>
  <sheetFormatPr defaultColWidth="14.42578125" defaultRowHeight="15" customHeight="1" x14ac:dyDescent="0.25"/>
  <cols>
    <col min="1" max="1" width="10.7109375" customWidth="1"/>
    <col min="2" max="2" width="22" customWidth="1"/>
    <col min="3" max="3" width="20.42578125" customWidth="1"/>
    <col min="4" max="4" width="13.42578125" customWidth="1"/>
    <col min="5" max="5" width="8.85546875" customWidth="1"/>
    <col min="6" max="6" width="18.5703125" customWidth="1"/>
    <col min="7" max="7" width="16.5703125" customWidth="1"/>
    <col min="8" max="8" width="15" customWidth="1"/>
    <col min="9" max="9" width="8.7109375" customWidth="1"/>
    <col min="10" max="10" width="16.7109375" customWidth="1"/>
    <col min="11" max="11" width="14.28515625" customWidth="1"/>
    <col min="12" max="12" width="23.7109375" customWidth="1"/>
    <col min="13" max="13" width="10.28515625" customWidth="1"/>
    <col min="14" max="14" width="11.85546875" customWidth="1"/>
  </cols>
  <sheetData>
    <row r="1" spans="1:14" ht="14.25" customHeight="1" x14ac:dyDescent="0.25">
      <c r="A1" s="49" t="s">
        <v>287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367</v>
      </c>
      <c r="J1" s="146" t="s">
        <v>421</v>
      </c>
      <c r="K1" s="146" t="s">
        <v>128</v>
      </c>
      <c r="L1" s="150" t="s">
        <v>435</v>
      </c>
      <c r="M1" s="151">
        <v>2178</v>
      </c>
      <c r="N1" s="152"/>
    </row>
    <row r="2" spans="1:14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f t="shared" ref="I2:I20" si="0">G2+H2</f>
        <v>300</v>
      </c>
      <c r="J2" s="29">
        <v>300</v>
      </c>
      <c r="K2" s="120" t="s">
        <v>311</v>
      </c>
      <c r="L2" s="148" t="s">
        <v>393</v>
      </c>
      <c r="M2" s="149"/>
      <c r="N2" s="114"/>
    </row>
    <row r="3" spans="1:14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f t="shared" si="0"/>
        <v>300</v>
      </c>
      <c r="J3" s="29">
        <v>300</v>
      </c>
      <c r="K3" s="120" t="s">
        <v>311</v>
      </c>
      <c r="L3" s="148" t="s">
        <v>409</v>
      </c>
      <c r="M3" s="148">
        <v>1000</v>
      </c>
      <c r="N3" s="121" t="s">
        <v>436</v>
      </c>
    </row>
    <row r="4" spans="1:14" ht="14.25" customHeight="1" x14ac:dyDescent="0.25">
      <c r="A4" s="32" t="s">
        <v>68</v>
      </c>
      <c r="B4" s="30">
        <v>56.78</v>
      </c>
      <c r="C4" s="30">
        <v>62.14</v>
      </c>
      <c r="D4" s="29">
        <f t="shared" ref="D4:D20" si="1">(C4-B4)*1000</f>
        <v>5359.9999999999991</v>
      </c>
      <c r="E4" s="64">
        <f>ROUND(D4*D23,0)</f>
        <v>500</v>
      </c>
      <c r="F4" s="29">
        <v>1000</v>
      </c>
      <c r="G4" s="29">
        <f t="shared" ref="G4:G19" si="2">SUM(E4,F4)</f>
        <v>1500</v>
      </c>
      <c r="H4" s="29">
        <v>50</v>
      </c>
      <c r="I4" s="29">
        <f t="shared" si="0"/>
        <v>1550</v>
      </c>
      <c r="J4" s="29">
        <v>1550</v>
      </c>
      <c r="K4" s="120" t="s">
        <v>311</v>
      </c>
      <c r="N4" s="114"/>
    </row>
    <row r="5" spans="1:14" ht="14.25" customHeight="1" x14ac:dyDescent="0.25">
      <c r="A5" s="32" t="s">
        <v>70</v>
      </c>
      <c r="B5" s="30">
        <v>137.85</v>
      </c>
      <c r="C5" s="30">
        <v>141.29</v>
      </c>
      <c r="D5" s="29">
        <f t="shared" si="1"/>
        <v>3439.9999999999977</v>
      </c>
      <c r="E5" s="64">
        <f>ROUND(D5*D23,0)</f>
        <v>321</v>
      </c>
      <c r="F5" s="29">
        <v>1000</v>
      </c>
      <c r="G5" s="29">
        <f t="shared" si="2"/>
        <v>1321</v>
      </c>
      <c r="H5" s="29">
        <v>50</v>
      </c>
      <c r="I5" s="29">
        <f t="shared" si="0"/>
        <v>1371</v>
      </c>
      <c r="J5" s="29">
        <v>1371</v>
      </c>
      <c r="K5" s="120" t="s">
        <v>311</v>
      </c>
      <c r="L5" s="114"/>
      <c r="M5" s="114"/>
      <c r="N5" s="114"/>
    </row>
    <row r="6" spans="1:14" ht="14.25" customHeight="1" x14ac:dyDescent="0.25">
      <c r="A6" s="32" t="s">
        <v>16</v>
      </c>
      <c r="B6" s="30">
        <v>270.74</v>
      </c>
      <c r="C6" s="30">
        <v>277.60000000000002</v>
      </c>
      <c r="D6" s="29">
        <f t="shared" si="1"/>
        <v>6860.0000000000136</v>
      </c>
      <c r="E6" s="64">
        <f>ROUND(D6*D23,0)</f>
        <v>640</v>
      </c>
      <c r="F6" s="29">
        <v>1000</v>
      </c>
      <c r="G6" s="29">
        <f t="shared" si="2"/>
        <v>1640</v>
      </c>
      <c r="H6" s="29">
        <v>50</v>
      </c>
      <c r="I6" s="29">
        <f t="shared" si="0"/>
        <v>1690</v>
      </c>
      <c r="J6" s="29">
        <v>1690</v>
      </c>
      <c r="K6" s="120" t="s">
        <v>311</v>
      </c>
      <c r="L6" s="114"/>
      <c r="M6" s="114"/>
      <c r="N6" s="114"/>
    </row>
    <row r="7" spans="1:14" ht="14.25" customHeight="1" x14ac:dyDescent="0.25">
      <c r="A7" s="32" t="s">
        <v>13</v>
      </c>
      <c r="B7" s="30">
        <v>225.19</v>
      </c>
      <c r="C7" s="30">
        <v>230.84</v>
      </c>
      <c r="D7" s="29">
        <f t="shared" si="1"/>
        <v>5650.0000000000055</v>
      </c>
      <c r="E7" s="64">
        <f>ROUND(D7*D23,0)</f>
        <v>527</v>
      </c>
      <c r="F7" s="29">
        <v>1000</v>
      </c>
      <c r="G7" s="29">
        <f t="shared" si="2"/>
        <v>1527</v>
      </c>
      <c r="H7" s="29">
        <v>50</v>
      </c>
      <c r="I7" s="29">
        <f t="shared" si="0"/>
        <v>1577</v>
      </c>
      <c r="J7" s="29">
        <v>1577</v>
      </c>
      <c r="K7" s="120" t="s">
        <v>311</v>
      </c>
      <c r="L7" s="114"/>
      <c r="M7" s="114"/>
      <c r="N7" s="114"/>
    </row>
    <row r="8" spans="1:14" ht="14.25" customHeight="1" x14ac:dyDescent="0.25">
      <c r="A8" s="73">
        <v>101</v>
      </c>
      <c r="B8" s="30">
        <v>0.59</v>
      </c>
      <c r="C8" s="30">
        <v>0.59</v>
      </c>
      <c r="D8" s="29">
        <f t="shared" si="1"/>
        <v>0</v>
      </c>
      <c r="E8" s="64">
        <f>ROUND(D8*D23,0)</f>
        <v>0</v>
      </c>
      <c r="F8" s="64">
        <v>1000</v>
      </c>
      <c r="G8" s="29">
        <f t="shared" si="2"/>
        <v>1000</v>
      </c>
      <c r="H8" s="29">
        <v>0</v>
      </c>
      <c r="I8" s="29">
        <f t="shared" si="0"/>
        <v>1000</v>
      </c>
      <c r="J8" s="29">
        <v>1000</v>
      </c>
      <c r="K8" s="120" t="s">
        <v>311</v>
      </c>
      <c r="L8" s="153" t="s">
        <v>239</v>
      </c>
      <c r="M8" s="153"/>
      <c r="N8" s="114"/>
    </row>
    <row r="9" spans="1:14" ht="14.25" customHeight="1" x14ac:dyDescent="0.25">
      <c r="A9" s="32">
        <v>102</v>
      </c>
      <c r="B9" s="30">
        <v>423.74</v>
      </c>
      <c r="C9" s="30">
        <v>437.5</v>
      </c>
      <c r="D9" s="29">
        <f t="shared" si="1"/>
        <v>13759.999999999991</v>
      </c>
      <c r="E9" s="64">
        <f>ROUND(D9*D23,0)</f>
        <v>1283</v>
      </c>
      <c r="F9" s="29">
        <v>1000</v>
      </c>
      <c r="G9" s="29">
        <f t="shared" si="2"/>
        <v>2283</v>
      </c>
      <c r="H9" s="29">
        <v>50</v>
      </c>
      <c r="I9" s="29">
        <f t="shared" si="0"/>
        <v>2333</v>
      </c>
      <c r="J9" s="29">
        <v>2333</v>
      </c>
      <c r="K9" s="120" t="s">
        <v>311</v>
      </c>
      <c r="L9" s="114" t="s">
        <v>437</v>
      </c>
      <c r="M9" s="114">
        <v>6700</v>
      </c>
      <c r="N9" s="114"/>
    </row>
    <row r="10" spans="1:14" ht="14.25" customHeight="1" x14ac:dyDescent="0.25">
      <c r="A10" s="32">
        <v>103</v>
      </c>
      <c r="B10" s="30">
        <v>77.44</v>
      </c>
      <c r="C10" s="30">
        <v>89.19</v>
      </c>
      <c r="D10" s="29">
        <f t="shared" si="1"/>
        <v>11750</v>
      </c>
      <c r="E10" s="64">
        <f>ROUND(D10*D23,0)</f>
        <v>1096</v>
      </c>
      <c r="F10" s="29">
        <v>1000</v>
      </c>
      <c r="G10" s="29">
        <f t="shared" si="2"/>
        <v>2096</v>
      </c>
      <c r="H10" s="29">
        <v>50</v>
      </c>
      <c r="I10" s="29">
        <f t="shared" si="0"/>
        <v>2146</v>
      </c>
      <c r="J10" s="29">
        <v>2146</v>
      </c>
      <c r="K10" s="120" t="s">
        <v>311</v>
      </c>
      <c r="L10" s="114" t="s">
        <v>438</v>
      </c>
      <c r="M10" s="114">
        <v>14000</v>
      </c>
      <c r="N10" s="60"/>
    </row>
    <row r="11" spans="1:14" ht="14.25" customHeight="1" x14ac:dyDescent="0.25">
      <c r="A11" s="32">
        <v>104</v>
      </c>
      <c r="B11" s="30">
        <v>281.32</v>
      </c>
      <c r="C11" s="30">
        <v>296.13</v>
      </c>
      <c r="D11" s="29">
        <f t="shared" si="1"/>
        <v>14810.000000000002</v>
      </c>
      <c r="E11" s="64">
        <f>ROUND(D11*D23,0)</f>
        <v>1381</v>
      </c>
      <c r="F11" s="29">
        <v>1000</v>
      </c>
      <c r="G11" s="29">
        <f t="shared" si="2"/>
        <v>2381</v>
      </c>
      <c r="H11" s="29">
        <v>50</v>
      </c>
      <c r="I11" s="29">
        <f t="shared" si="0"/>
        <v>2431</v>
      </c>
      <c r="J11" s="29">
        <v>2431</v>
      </c>
      <c r="K11" s="120" t="s">
        <v>311</v>
      </c>
      <c r="L11" s="114" t="s">
        <v>439</v>
      </c>
      <c r="M11" s="114">
        <v>80</v>
      </c>
      <c r="N11" s="114"/>
    </row>
    <row r="12" spans="1:14" ht="14.25" customHeight="1" x14ac:dyDescent="0.25">
      <c r="A12" s="32">
        <v>201</v>
      </c>
      <c r="B12" s="30">
        <v>33.75</v>
      </c>
      <c r="C12" s="30">
        <v>40.18</v>
      </c>
      <c r="D12" s="29">
        <f t="shared" si="1"/>
        <v>6430</v>
      </c>
      <c r="E12" s="64">
        <f>ROUND(D12*D23,0)</f>
        <v>600</v>
      </c>
      <c r="F12" s="29">
        <v>1000</v>
      </c>
      <c r="G12" s="29">
        <f t="shared" si="2"/>
        <v>1600</v>
      </c>
      <c r="H12" s="29">
        <v>50</v>
      </c>
      <c r="I12" s="29">
        <f t="shared" si="0"/>
        <v>1650</v>
      </c>
      <c r="J12" s="29">
        <v>1650</v>
      </c>
      <c r="K12" s="120" t="s">
        <v>311</v>
      </c>
      <c r="L12" s="114" t="s">
        <v>390</v>
      </c>
      <c r="M12" s="114">
        <v>100</v>
      </c>
      <c r="N12" s="114"/>
    </row>
    <row r="13" spans="1:14" ht="14.25" customHeight="1" x14ac:dyDescent="0.25">
      <c r="A13" s="32">
        <v>202</v>
      </c>
      <c r="B13" s="30">
        <v>214.66</v>
      </c>
      <c r="C13" s="30">
        <v>218.05</v>
      </c>
      <c r="D13" s="29">
        <f t="shared" si="1"/>
        <v>3390.0000000000146</v>
      </c>
      <c r="E13" s="64">
        <f>ROUND(D13*D23,0)</f>
        <v>316</v>
      </c>
      <c r="F13" s="29">
        <v>1000</v>
      </c>
      <c r="G13" s="29">
        <f t="shared" si="2"/>
        <v>1316</v>
      </c>
      <c r="H13" s="29">
        <v>50</v>
      </c>
      <c r="I13" s="29">
        <f t="shared" si="0"/>
        <v>1366</v>
      </c>
      <c r="J13" s="29">
        <v>1366</v>
      </c>
      <c r="K13" s="120" t="s">
        <v>311</v>
      </c>
      <c r="L13" s="114" t="s">
        <v>440</v>
      </c>
      <c r="M13" s="114">
        <v>6132</v>
      </c>
      <c r="N13" s="114"/>
    </row>
    <row r="14" spans="1:14" ht="14.25" customHeight="1" x14ac:dyDescent="0.25">
      <c r="A14" s="32">
        <v>203</v>
      </c>
      <c r="B14" s="30">
        <v>253.72</v>
      </c>
      <c r="C14" s="30">
        <v>260.08</v>
      </c>
      <c r="D14" s="29">
        <f t="shared" si="1"/>
        <v>6359.9999999999854</v>
      </c>
      <c r="E14" s="64">
        <f>ROUND(D14*D23,0)</f>
        <v>593</v>
      </c>
      <c r="F14" s="29">
        <v>1000</v>
      </c>
      <c r="G14" s="29">
        <f t="shared" si="2"/>
        <v>1593</v>
      </c>
      <c r="H14" s="29">
        <v>50</v>
      </c>
      <c r="I14" s="29">
        <f t="shared" si="0"/>
        <v>1643</v>
      </c>
      <c r="J14" s="29">
        <v>1643</v>
      </c>
      <c r="K14" s="120" t="s">
        <v>311</v>
      </c>
      <c r="L14" s="114" t="s">
        <v>441</v>
      </c>
      <c r="M14" s="114">
        <v>2847</v>
      </c>
      <c r="N14" s="114"/>
    </row>
    <row r="15" spans="1:14" ht="14.25" customHeight="1" x14ac:dyDescent="0.25">
      <c r="A15" s="32">
        <v>204</v>
      </c>
      <c r="B15" s="30">
        <v>180.75</v>
      </c>
      <c r="C15" s="30">
        <v>187.11</v>
      </c>
      <c r="D15" s="29">
        <f t="shared" si="1"/>
        <v>6360.0000000000136</v>
      </c>
      <c r="E15" s="64">
        <f>ROUND(D15*D23,0)</f>
        <v>593</v>
      </c>
      <c r="F15" s="29">
        <v>1000</v>
      </c>
      <c r="G15" s="29">
        <f t="shared" si="2"/>
        <v>1593</v>
      </c>
      <c r="H15" s="29">
        <v>50</v>
      </c>
      <c r="I15" s="29">
        <f t="shared" si="0"/>
        <v>1643</v>
      </c>
      <c r="J15" s="29">
        <v>1643</v>
      </c>
      <c r="K15" s="120" t="s">
        <v>311</v>
      </c>
      <c r="L15" s="114" t="s">
        <v>442</v>
      </c>
      <c r="M15" s="114">
        <v>800</v>
      </c>
      <c r="N15" s="114"/>
    </row>
    <row r="16" spans="1:14" ht="14.25" customHeight="1" x14ac:dyDescent="0.25">
      <c r="A16" s="32">
        <v>301</v>
      </c>
      <c r="B16" s="30">
        <v>5.57</v>
      </c>
      <c r="C16" s="30">
        <v>8.73</v>
      </c>
      <c r="D16" s="29">
        <f t="shared" si="1"/>
        <v>3160</v>
      </c>
      <c r="E16" s="64">
        <f>ROUND(D16*D23,0)</f>
        <v>295</v>
      </c>
      <c r="F16" s="29">
        <v>1000</v>
      </c>
      <c r="G16" s="29">
        <f t="shared" si="2"/>
        <v>1295</v>
      </c>
      <c r="H16" s="29">
        <v>50</v>
      </c>
      <c r="I16" s="29">
        <f t="shared" si="0"/>
        <v>1345</v>
      </c>
      <c r="J16" s="29">
        <v>1345</v>
      </c>
      <c r="K16" s="51" t="s">
        <v>311</v>
      </c>
      <c r="L16" s="114" t="s">
        <v>443</v>
      </c>
      <c r="M16" s="114">
        <v>700</v>
      </c>
      <c r="N16" s="114"/>
    </row>
    <row r="17" spans="1:14" ht="14.25" customHeight="1" x14ac:dyDescent="0.25">
      <c r="A17" s="32">
        <v>302</v>
      </c>
      <c r="B17" s="30">
        <v>56.1</v>
      </c>
      <c r="C17" s="30">
        <v>65.680000000000007</v>
      </c>
      <c r="D17" s="29">
        <f t="shared" si="1"/>
        <v>9580.0000000000055</v>
      </c>
      <c r="E17" s="64">
        <f>ROUND(D17*D23,0)</f>
        <v>894</v>
      </c>
      <c r="F17" s="29">
        <v>1000</v>
      </c>
      <c r="G17" s="29">
        <f t="shared" si="2"/>
        <v>1894</v>
      </c>
      <c r="H17" s="29">
        <v>50</v>
      </c>
      <c r="I17" s="29">
        <f t="shared" si="0"/>
        <v>1944</v>
      </c>
      <c r="J17" s="29">
        <v>1944</v>
      </c>
      <c r="K17" s="120" t="s">
        <v>311</v>
      </c>
      <c r="L17" s="114" t="s">
        <v>366</v>
      </c>
      <c r="M17" s="114">
        <v>500</v>
      </c>
      <c r="N17" s="114"/>
    </row>
    <row r="18" spans="1:14" ht="14.25" customHeight="1" x14ac:dyDescent="0.25">
      <c r="A18" s="32">
        <v>303</v>
      </c>
      <c r="B18" s="30">
        <v>610.59</v>
      </c>
      <c r="C18" s="30">
        <v>634.95000000000005</v>
      </c>
      <c r="D18" s="29">
        <f t="shared" si="1"/>
        <v>24360.000000000015</v>
      </c>
      <c r="E18" s="64">
        <f>ROUND(D18*D23,0)</f>
        <v>2272</v>
      </c>
      <c r="F18" s="29">
        <v>1000</v>
      </c>
      <c r="G18" s="29">
        <f t="shared" si="2"/>
        <v>3272</v>
      </c>
      <c r="H18" s="29">
        <v>50</v>
      </c>
      <c r="I18" s="29">
        <f t="shared" si="0"/>
        <v>3322</v>
      </c>
      <c r="J18" s="29">
        <v>3322</v>
      </c>
      <c r="K18" s="120" t="s">
        <v>311</v>
      </c>
      <c r="L18" s="114" t="s">
        <v>305</v>
      </c>
      <c r="M18" s="114">
        <v>500</v>
      </c>
      <c r="N18" s="114"/>
    </row>
    <row r="19" spans="1:14" ht="14.25" customHeight="1" x14ac:dyDescent="0.25">
      <c r="A19" s="32">
        <v>304</v>
      </c>
      <c r="B19" s="30">
        <v>132.75</v>
      </c>
      <c r="C19" s="30">
        <v>146.94</v>
      </c>
      <c r="D19" s="29">
        <f t="shared" si="1"/>
        <v>14189.999999999998</v>
      </c>
      <c r="E19" s="64">
        <f>ROUND(D19*D23,0)</f>
        <v>1324</v>
      </c>
      <c r="F19" s="29">
        <v>1000</v>
      </c>
      <c r="G19" s="29">
        <f t="shared" si="2"/>
        <v>2324</v>
      </c>
      <c r="H19" s="29">
        <v>50</v>
      </c>
      <c r="I19" s="29">
        <f t="shared" si="0"/>
        <v>2374</v>
      </c>
      <c r="J19" s="29">
        <v>2374</v>
      </c>
      <c r="K19" s="120" t="s">
        <v>311</v>
      </c>
      <c r="L19" s="114" t="s">
        <v>176</v>
      </c>
      <c r="M19" s="114">
        <v>100</v>
      </c>
      <c r="N19" s="114"/>
    </row>
    <row r="20" spans="1:14" ht="14.25" customHeight="1" x14ac:dyDescent="0.25">
      <c r="A20" s="29" t="s">
        <v>287</v>
      </c>
      <c r="B20" s="30">
        <v>130.97</v>
      </c>
      <c r="C20" s="30">
        <v>145.61000000000001</v>
      </c>
      <c r="D20" s="29">
        <f t="shared" si="1"/>
        <v>14640.000000000015</v>
      </c>
      <c r="E20" s="64">
        <v>0</v>
      </c>
      <c r="F20" s="123">
        <v>0</v>
      </c>
      <c r="G20" s="29"/>
      <c r="H20" s="29">
        <v>0</v>
      </c>
      <c r="I20" s="29">
        <f t="shared" si="0"/>
        <v>0</v>
      </c>
      <c r="J20" s="29"/>
      <c r="K20" s="51"/>
      <c r="L20" s="114"/>
      <c r="M20" s="114"/>
      <c r="N20" s="114"/>
    </row>
    <row r="21" spans="1:14" ht="14.25" customHeight="1" x14ac:dyDescent="0.25">
      <c r="A21" s="29"/>
      <c r="B21" s="29"/>
      <c r="C21" s="29"/>
      <c r="D21" s="29"/>
      <c r="E21" s="49"/>
      <c r="F21" s="49"/>
      <c r="G21" s="49"/>
      <c r="H21" s="49">
        <f t="shared" ref="H21:I21" si="3">SUM(H2:H20)</f>
        <v>750</v>
      </c>
      <c r="I21" s="49">
        <f t="shared" si="3"/>
        <v>29985</v>
      </c>
      <c r="J21" s="49">
        <f>SUM(J2:J19)</f>
        <v>29985</v>
      </c>
      <c r="K21" s="29"/>
      <c r="L21" s="114"/>
      <c r="M21" s="114"/>
      <c r="N21" s="114"/>
    </row>
    <row r="22" spans="1:14" ht="14.25" customHeight="1" x14ac:dyDescent="0.25">
      <c r="A22" s="29"/>
      <c r="B22" s="29" t="s">
        <v>75</v>
      </c>
      <c r="C22" s="29"/>
      <c r="D22" s="30">
        <f>SUM(D4:D20)</f>
        <v>150100.00000000006</v>
      </c>
      <c r="E22" s="29">
        <f>SUM(E4:E19)</f>
        <v>12635</v>
      </c>
      <c r="F22" s="29"/>
      <c r="G22" s="29"/>
      <c r="H22" s="29"/>
      <c r="I22" s="29"/>
      <c r="J22" s="29"/>
      <c r="K22" s="29"/>
      <c r="L22" s="121" t="s">
        <v>20</v>
      </c>
      <c r="M22" s="121">
        <f>SUM(M9:M21)</f>
        <v>32459</v>
      </c>
      <c r="N22" s="121"/>
    </row>
    <row r="23" spans="1:14" ht="14.25" customHeight="1" x14ac:dyDescent="0.25">
      <c r="A23" s="29"/>
      <c r="B23" s="29" t="s">
        <v>243</v>
      </c>
      <c r="C23" s="119" t="s">
        <v>244</v>
      </c>
      <c r="D23" s="111">
        <f>B24/D22</f>
        <v>9.3271152564956661E-2</v>
      </c>
      <c r="E23" s="29"/>
      <c r="F23" s="29"/>
      <c r="G23" s="29" t="s">
        <v>205</v>
      </c>
      <c r="H23" s="29">
        <f>SUM(J21,M1,M3)-M22</f>
        <v>704</v>
      </c>
      <c r="I23" s="29"/>
      <c r="J23" s="29"/>
      <c r="K23" s="29"/>
      <c r="L23" s="152"/>
      <c r="M23" s="152"/>
      <c r="N23" s="152"/>
    </row>
    <row r="24" spans="1:14" ht="14.25" customHeight="1" x14ac:dyDescent="0.25">
      <c r="A24" s="119" t="s">
        <v>85</v>
      </c>
      <c r="B24" s="30">
        <v>14000</v>
      </c>
      <c r="C24" s="119" t="s">
        <v>444</v>
      </c>
      <c r="D24" s="29"/>
      <c r="E24" s="29"/>
      <c r="F24" s="29"/>
      <c r="G24" s="29"/>
      <c r="H24" s="29"/>
      <c r="I24" s="29"/>
      <c r="J24" s="29"/>
      <c r="K24" s="29"/>
      <c r="L24" s="114"/>
      <c r="M24" s="114"/>
      <c r="N24" s="114"/>
    </row>
  </sheetData>
  <pageMargins left="0.7" right="0.7" top="0.75" bottom="0.75" header="0" footer="0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N27"/>
  <sheetViews>
    <sheetView workbookViewId="0"/>
  </sheetViews>
  <sheetFormatPr defaultColWidth="14.42578125" defaultRowHeight="15" customHeight="1" x14ac:dyDescent="0.25"/>
  <cols>
    <col min="1" max="1" width="12.7109375" customWidth="1"/>
    <col min="2" max="2" width="22.5703125" customWidth="1"/>
    <col min="3" max="3" width="21.42578125" customWidth="1"/>
    <col min="4" max="4" width="10.140625" customWidth="1"/>
    <col min="5" max="5" width="8.7109375" customWidth="1"/>
    <col min="6" max="6" width="19.7109375" customWidth="1"/>
    <col min="7" max="7" width="16.28515625" customWidth="1"/>
    <col min="8" max="8" width="15.140625" customWidth="1"/>
    <col min="9" max="9" width="7.42578125" customWidth="1"/>
    <col min="10" max="10" width="14.7109375" customWidth="1"/>
    <col min="11" max="11" width="14.140625" customWidth="1"/>
    <col min="12" max="12" width="21.85546875" customWidth="1"/>
    <col min="13" max="13" width="8" customWidth="1"/>
    <col min="14" max="14" width="12.7109375" customWidth="1"/>
  </cols>
  <sheetData>
    <row r="1" spans="1:14" ht="14.25" customHeight="1" x14ac:dyDescent="0.25">
      <c r="A1" s="49" t="s">
        <v>287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367</v>
      </c>
      <c r="J1" s="146" t="s">
        <v>421</v>
      </c>
      <c r="K1" s="146" t="s">
        <v>128</v>
      </c>
      <c r="L1" s="154" t="s">
        <v>445</v>
      </c>
      <c r="M1" s="151">
        <v>704</v>
      </c>
      <c r="N1" s="152"/>
    </row>
    <row r="2" spans="1:14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f t="shared" ref="I2:I20" si="0">G2+H2</f>
        <v>300</v>
      </c>
      <c r="J2" s="29">
        <v>300</v>
      </c>
      <c r="K2" s="120" t="s">
        <v>311</v>
      </c>
      <c r="L2" s="148" t="s">
        <v>446</v>
      </c>
      <c r="M2" s="149">
        <v>10000</v>
      </c>
      <c r="N2" s="121" t="s">
        <v>447</v>
      </c>
    </row>
    <row r="3" spans="1:14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f t="shared" si="0"/>
        <v>300</v>
      </c>
      <c r="J3" s="29">
        <v>300</v>
      </c>
      <c r="K3" s="120" t="s">
        <v>311</v>
      </c>
      <c r="L3" s="148"/>
      <c r="M3" s="148"/>
      <c r="N3" s="121"/>
    </row>
    <row r="4" spans="1:14" ht="14.25" customHeight="1" x14ac:dyDescent="0.25">
      <c r="A4" s="32" t="s">
        <v>68</v>
      </c>
      <c r="B4" s="30">
        <v>62.14</v>
      </c>
      <c r="C4" s="30">
        <v>65.239999999999995</v>
      </c>
      <c r="D4" s="29">
        <f t="shared" ref="D4:D20" si="1">(C4-B4)*1000</f>
        <v>3099.9999999999945</v>
      </c>
      <c r="E4" s="64">
        <f>ROUND(D4*D23,0)</f>
        <v>255</v>
      </c>
      <c r="F4" s="29">
        <v>1000</v>
      </c>
      <c r="G4" s="29">
        <f t="shared" ref="G4:G19" si="2">SUM(E4,F4)</f>
        <v>1255</v>
      </c>
      <c r="H4" s="29">
        <v>50</v>
      </c>
      <c r="I4" s="29">
        <f t="shared" si="0"/>
        <v>1305</v>
      </c>
      <c r="J4" s="29">
        <v>1305</v>
      </c>
      <c r="K4" s="120" t="s">
        <v>311</v>
      </c>
      <c r="N4" s="114"/>
    </row>
    <row r="5" spans="1:14" ht="14.25" customHeight="1" x14ac:dyDescent="0.25">
      <c r="A5" s="32" t="s">
        <v>70</v>
      </c>
      <c r="B5" s="30">
        <v>141.29</v>
      </c>
      <c r="C5" s="30">
        <v>146.91999999999999</v>
      </c>
      <c r="D5" s="29">
        <f t="shared" si="1"/>
        <v>5629.9999999999955</v>
      </c>
      <c r="E5" s="64">
        <f>ROUND(D5*D23,0)</f>
        <v>463</v>
      </c>
      <c r="F5" s="29">
        <v>1000</v>
      </c>
      <c r="G5" s="29">
        <f t="shared" si="2"/>
        <v>1463</v>
      </c>
      <c r="H5" s="29">
        <v>50</v>
      </c>
      <c r="I5" s="29">
        <f t="shared" si="0"/>
        <v>1513</v>
      </c>
      <c r="J5" s="29">
        <v>1513</v>
      </c>
      <c r="K5" s="120" t="s">
        <v>311</v>
      </c>
      <c r="L5" s="114"/>
      <c r="M5" s="114"/>
      <c r="N5" s="114"/>
    </row>
    <row r="6" spans="1:14" ht="14.25" customHeight="1" x14ac:dyDescent="0.25">
      <c r="A6" s="32" t="s">
        <v>16</v>
      </c>
      <c r="B6" s="30">
        <v>277.60000000000002</v>
      </c>
      <c r="C6" s="30">
        <v>288.22000000000003</v>
      </c>
      <c r="D6" s="29">
        <f t="shared" si="1"/>
        <v>10620.000000000004</v>
      </c>
      <c r="E6" s="64">
        <f>ROUND(D6*D23,0)</f>
        <v>873</v>
      </c>
      <c r="F6" s="29">
        <v>1000</v>
      </c>
      <c r="G6" s="29">
        <f t="shared" si="2"/>
        <v>1873</v>
      </c>
      <c r="H6" s="29">
        <v>50</v>
      </c>
      <c r="I6" s="29">
        <f t="shared" si="0"/>
        <v>1923</v>
      </c>
      <c r="J6" s="29">
        <v>1923</v>
      </c>
      <c r="K6" s="120" t="s">
        <v>311</v>
      </c>
      <c r="L6" s="114"/>
      <c r="M6" s="114"/>
      <c r="N6" s="114"/>
    </row>
    <row r="7" spans="1:14" ht="14.25" customHeight="1" x14ac:dyDescent="0.25">
      <c r="A7" s="32" t="s">
        <v>13</v>
      </c>
      <c r="B7" s="30">
        <v>230.84</v>
      </c>
      <c r="C7" s="30">
        <v>240.41</v>
      </c>
      <c r="D7" s="29">
        <f t="shared" si="1"/>
        <v>9569.9999999999927</v>
      </c>
      <c r="E7" s="64">
        <f>ROUND(D7*D23,0)</f>
        <v>786</v>
      </c>
      <c r="F7" s="29">
        <v>1000</v>
      </c>
      <c r="G7" s="29">
        <f t="shared" si="2"/>
        <v>1786</v>
      </c>
      <c r="H7" s="29">
        <v>50</v>
      </c>
      <c r="I7" s="29">
        <f t="shared" si="0"/>
        <v>1836</v>
      </c>
      <c r="J7" s="29">
        <v>1836</v>
      </c>
      <c r="K7" s="120" t="s">
        <v>311</v>
      </c>
      <c r="L7" s="114"/>
      <c r="M7" s="114"/>
      <c r="N7" s="114"/>
    </row>
    <row r="8" spans="1:14" ht="14.25" customHeight="1" x14ac:dyDescent="0.25">
      <c r="A8" s="73">
        <v>101</v>
      </c>
      <c r="B8" s="30">
        <v>0.59</v>
      </c>
      <c r="C8" s="30">
        <v>0.59</v>
      </c>
      <c r="D8" s="29">
        <f t="shared" si="1"/>
        <v>0</v>
      </c>
      <c r="E8" s="64">
        <f>ROUND(D8*D23,0)</f>
        <v>0</v>
      </c>
      <c r="F8" s="29">
        <v>1000</v>
      </c>
      <c r="G8" s="29">
        <f t="shared" si="2"/>
        <v>1000</v>
      </c>
      <c r="H8" s="29">
        <v>0</v>
      </c>
      <c r="I8" s="29">
        <f t="shared" si="0"/>
        <v>1000</v>
      </c>
      <c r="J8" s="29">
        <v>1000</v>
      </c>
      <c r="K8" s="120" t="s">
        <v>311</v>
      </c>
      <c r="L8" s="153" t="s">
        <v>239</v>
      </c>
      <c r="M8" s="153"/>
      <c r="N8" s="114"/>
    </row>
    <row r="9" spans="1:14" ht="14.25" customHeight="1" x14ac:dyDescent="0.25">
      <c r="A9" s="32">
        <v>102</v>
      </c>
      <c r="B9" s="30">
        <v>437.5</v>
      </c>
      <c r="C9" s="30">
        <v>453.92</v>
      </c>
      <c r="D9" s="29">
        <f t="shared" si="1"/>
        <v>16420.000000000015</v>
      </c>
      <c r="E9" s="64">
        <f>ROUND(D9*D23,0)</f>
        <v>1349</v>
      </c>
      <c r="F9" s="29">
        <v>1000</v>
      </c>
      <c r="G9" s="29">
        <f t="shared" si="2"/>
        <v>2349</v>
      </c>
      <c r="H9" s="29">
        <v>50</v>
      </c>
      <c r="I9" s="29">
        <f t="shared" si="0"/>
        <v>2399</v>
      </c>
      <c r="J9" s="29">
        <v>2399</v>
      </c>
      <c r="K9" s="120" t="s">
        <v>311</v>
      </c>
      <c r="L9" s="114" t="s">
        <v>437</v>
      </c>
      <c r="M9" s="114">
        <v>6700</v>
      </c>
      <c r="N9" s="114"/>
    </row>
    <row r="10" spans="1:14" ht="14.25" customHeight="1" x14ac:dyDescent="0.25">
      <c r="A10" s="32">
        <v>103</v>
      </c>
      <c r="B10" s="30">
        <v>89.19</v>
      </c>
      <c r="C10" s="30">
        <v>107.36</v>
      </c>
      <c r="D10" s="29">
        <f t="shared" si="1"/>
        <v>18170</v>
      </c>
      <c r="E10" s="64">
        <f>ROUND(D10*D23,0)</f>
        <v>1493</v>
      </c>
      <c r="F10" s="29">
        <v>1000</v>
      </c>
      <c r="G10" s="29">
        <f t="shared" si="2"/>
        <v>2493</v>
      </c>
      <c r="H10" s="29">
        <v>50</v>
      </c>
      <c r="I10" s="29">
        <f t="shared" si="0"/>
        <v>2543</v>
      </c>
      <c r="J10" s="29">
        <v>2543</v>
      </c>
      <c r="K10" s="120" t="s">
        <v>311</v>
      </c>
      <c r="L10" s="114" t="s">
        <v>438</v>
      </c>
      <c r="M10" s="114">
        <v>15000</v>
      </c>
      <c r="N10" s="60"/>
    </row>
    <row r="11" spans="1:14" ht="14.25" customHeight="1" x14ac:dyDescent="0.25">
      <c r="A11" s="32">
        <v>104</v>
      </c>
      <c r="B11" s="30">
        <v>296.13</v>
      </c>
      <c r="C11" s="30">
        <v>313.83999999999997</v>
      </c>
      <c r="D11" s="29">
        <f t="shared" si="1"/>
        <v>17709.999999999978</v>
      </c>
      <c r="E11" s="64">
        <f>ROUND(D11*D23,0)</f>
        <v>1455</v>
      </c>
      <c r="F11" s="29">
        <v>1000</v>
      </c>
      <c r="G11" s="29">
        <f t="shared" si="2"/>
        <v>2455</v>
      </c>
      <c r="H11" s="29">
        <v>50</v>
      </c>
      <c r="I11" s="29">
        <f t="shared" si="0"/>
        <v>2505</v>
      </c>
      <c r="J11" s="29">
        <v>2505</v>
      </c>
      <c r="K11" s="120" t="s">
        <v>311</v>
      </c>
      <c r="L11" s="114" t="s">
        <v>366</v>
      </c>
      <c r="M11" s="114">
        <v>500</v>
      </c>
      <c r="N11" s="114"/>
    </row>
    <row r="12" spans="1:14" ht="14.25" customHeight="1" x14ac:dyDescent="0.25">
      <c r="A12" s="32">
        <v>201</v>
      </c>
      <c r="B12" s="30">
        <v>40.18</v>
      </c>
      <c r="C12" s="30">
        <v>51.27</v>
      </c>
      <c r="D12" s="29">
        <f t="shared" si="1"/>
        <v>11090.000000000004</v>
      </c>
      <c r="E12" s="64">
        <f>ROUND(D12*D23,0)</f>
        <v>911</v>
      </c>
      <c r="F12" s="29">
        <v>1000</v>
      </c>
      <c r="G12" s="29">
        <f t="shared" si="2"/>
        <v>1911</v>
      </c>
      <c r="H12" s="29">
        <v>50</v>
      </c>
      <c r="I12" s="29">
        <f t="shared" si="0"/>
        <v>1961</v>
      </c>
      <c r="J12" s="29">
        <v>1961</v>
      </c>
      <c r="K12" s="120" t="s">
        <v>311</v>
      </c>
      <c r="L12" s="114" t="s">
        <v>448</v>
      </c>
      <c r="M12" s="114">
        <v>2044</v>
      </c>
      <c r="N12" s="114"/>
    </row>
    <row r="13" spans="1:14" ht="14.25" customHeight="1" x14ac:dyDescent="0.25">
      <c r="A13" s="32">
        <v>202</v>
      </c>
      <c r="B13" s="30">
        <v>218.05</v>
      </c>
      <c r="C13" s="30">
        <v>222.98</v>
      </c>
      <c r="D13" s="29">
        <f t="shared" si="1"/>
        <v>4929.9999999999782</v>
      </c>
      <c r="E13" s="64">
        <f>ROUND(D13*D23,0)</f>
        <v>405</v>
      </c>
      <c r="F13" s="29">
        <v>1000</v>
      </c>
      <c r="G13" s="29">
        <f t="shared" si="2"/>
        <v>1405</v>
      </c>
      <c r="H13" s="29">
        <v>50</v>
      </c>
      <c r="I13" s="29">
        <f t="shared" si="0"/>
        <v>1455</v>
      </c>
      <c r="J13" s="29">
        <v>1455</v>
      </c>
      <c r="K13" s="120" t="s">
        <v>311</v>
      </c>
      <c r="L13" s="114" t="s">
        <v>441</v>
      </c>
      <c r="M13" s="114">
        <v>2697</v>
      </c>
      <c r="N13" s="114"/>
    </row>
    <row r="14" spans="1:14" ht="14.25" customHeight="1" x14ac:dyDescent="0.25">
      <c r="A14" s="32">
        <v>203</v>
      </c>
      <c r="B14" s="30">
        <v>260.08</v>
      </c>
      <c r="C14" s="30">
        <v>270</v>
      </c>
      <c r="D14" s="29">
        <f t="shared" si="1"/>
        <v>9920.0000000000164</v>
      </c>
      <c r="E14" s="64">
        <f>ROUND(D14*D23,0)</f>
        <v>815</v>
      </c>
      <c r="F14" s="29">
        <v>1000</v>
      </c>
      <c r="G14" s="29">
        <f t="shared" si="2"/>
        <v>1815</v>
      </c>
      <c r="H14" s="29">
        <v>50</v>
      </c>
      <c r="I14" s="29">
        <f t="shared" si="0"/>
        <v>1865</v>
      </c>
      <c r="J14" s="29">
        <v>1865</v>
      </c>
      <c r="K14" s="120" t="s">
        <v>311</v>
      </c>
      <c r="L14" s="122" t="s">
        <v>449</v>
      </c>
      <c r="M14" s="114">
        <v>500</v>
      </c>
      <c r="N14" s="114"/>
    </row>
    <row r="15" spans="1:14" ht="14.25" customHeight="1" x14ac:dyDescent="0.25">
      <c r="A15" s="32">
        <v>204</v>
      </c>
      <c r="B15" s="30">
        <v>187.11</v>
      </c>
      <c r="C15" s="30">
        <v>196.08</v>
      </c>
      <c r="D15" s="29">
        <f t="shared" si="1"/>
        <v>8969.9999999999982</v>
      </c>
      <c r="E15" s="64">
        <f>ROUND(D15*D23,0)</f>
        <v>737</v>
      </c>
      <c r="F15" s="29">
        <v>1000</v>
      </c>
      <c r="G15" s="29">
        <f t="shared" si="2"/>
        <v>1737</v>
      </c>
      <c r="H15" s="29">
        <v>50</v>
      </c>
      <c r="I15" s="29">
        <f t="shared" si="0"/>
        <v>1787</v>
      </c>
      <c r="J15" s="29">
        <v>1787</v>
      </c>
      <c r="K15" s="120" t="s">
        <v>311</v>
      </c>
      <c r="L15" s="114" t="s">
        <v>450</v>
      </c>
      <c r="M15" s="114">
        <v>150</v>
      </c>
      <c r="N15" s="114"/>
    </row>
    <row r="16" spans="1:14" ht="14.25" customHeight="1" x14ac:dyDescent="0.25">
      <c r="A16" s="32">
        <v>301</v>
      </c>
      <c r="B16" s="30">
        <v>8.73</v>
      </c>
      <c r="C16" s="30">
        <v>12.7</v>
      </c>
      <c r="D16" s="29">
        <f t="shared" si="1"/>
        <v>3969.9999999999991</v>
      </c>
      <c r="E16" s="64">
        <f>ROUND(D16*D23,0)</f>
        <v>326</v>
      </c>
      <c r="F16" s="29">
        <v>1000</v>
      </c>
      <c r="G16" s="29">
        <f t="shared" si="2"/>
        <v>1326</v>
      </c>
      <c r="H16" s="29">
        <v>50</v>
      </c>
      <c r="I16" s="29">
        <f t="shared" si="0"/>
        <v>1376</v>
      </c>
      <c r="J16" s="29">
        <v>1376</v>
      </c>
      <c r="K16" s="51" t="s">
        <v>311</v>
      </c>
      <c r="L16" s="114"/>
      <c r="M16" s="114"/>
      <c r="N16" s="114"/>
    </row>
    <row r="17" spans="1:14" ht="14.25" customHeight="1" x14ac:dyDescent="0.25">
      <c r="A17" s="32">
        <v>302</v>
      </c>
      <c r="B17" s="30">
        <v>65.680000000000007</v>
      </c>
      <c r="C17" s="30">
        <v>74.400000000000006</v>
      </c>
      <c r="D17" s="29">
        <f t="shared" si="1"/>
        <v>8719.9999999999982</v>
      </c>
      <c r="E17" s="64">
        <f>ROUND(D17*D23,0)</f>
        <v>716</v>
      </c>
      <c r="F17" s="29">
        <v>1000</v>
      </c>
      <c r="G17" s="29">
        <f t="shared" si="2"/>
        <v>1716</v>
      </c>
      <c r="H17" s="29">
        <v>50</v>
      </c>
      <c r="I17" s="29">
        <f t="shared" si="0"/>
        <v>1766</v>
      </c>
      <c r="J17" s="29">
        <v>1766</v>
      </c>
      <c r="K17" s="120" t="s">
        <v>311</v>
      </c>
      <c r="M17" s="114"/>
      <c r="N17" s="114"/>
    </row>
    <row r="18" spans="1:14" ht="14.25" customHeight="1" x14ac:dyDescent="0.25">
      <c r="A18" s="32">
        <v>303</v>
      </c>
      <c r="B18" s="30">
        <v>634.95000000000005</v>
      </c>
      <c r="C18" s="30">
        <v>658.69</v>
      </c>
      <c r="D18" s="29">
        <f t="shared" si="1"/>
        <v>23740.000000000007</v>
      </c>
      <c r="E18" s="64">
        <f>ROUND(D18*D23,0)</f>
        <v>1951</v>
      </c>
      <c r="F18" s="29">
        <v>1000</v>
      </c>
      <c r="G18" s="29">
        <f t="shared" si="2"/>
        <v>2951</v>
      </c>
      <c r="H18" s="29">
        <v>50</v>
      </c>
      <c r="I18" s="29">
        <f t="shared" si="0"/>
        <v>3001</v>
      </c>
      <c r="J18" s="29">
        <v>3001</v>
      </c>
      <c r="K18" s="120" t="s">
        <v>311</v>
      </c>
      <c r="L18" s="114"/>
      <c r="M18" s="114"/>
      <c r="N18" s="114"/>
    </row>
    <row r="19" spans="1:14" ht="14.25" customHeight="1" x14ac:dyDescent="0.25">
      <c r="A19" s="32">
        <v>304</v>
      </c>
      <c r="B19" s="30">
        <v>146.94</v>
      </c>
      <c r="C19" s="30">
        <v>161.04</v>
      </c>
      <c r="D19" s="29">
        <f t="shared" si="1"/>
        <v>14099.999999999995</v>
      </c>
      <c r="E19" s="64">
        <f>ROUND(D19*D23,0)</f>
        <v>1159</v>
      </c>
      <c r="F19" s="29">
        <v>1000</v>
      </c>
      <c r="G19" s="29">
        <f t="shared" si="2"/>
        <v>2159</v>
      </c>
      <c r="H19" s="29">
        <v>50</v>
      </c>
      <c r="I19" s="29">
        <f t="shared" si="0"/>
        <v>2209</v>
      </c>
      <c r="J19" s="29">
        <v>2209</v>
      </c>
      <c r="K19" s="120" t="s">
        <v>311</v>
      </c>
      <c r="L19" s="114"/>
      <c r="M19" s="114"/>
      <c r="N19" s="114"/>
    </row>
    <row r="20" spans="1:14" ht="14.25" customHeight="1" x14ac:dyDescent="0.25">
      <c r="A20" s="29" t="s">
        <v>287</v>
      </c>
      <c r="B20" s="30">
        <v>145.61000000000001</v>
      </c>
      <c r="C20" s="30">
        <v>161.51</v>
      </c>
      <c r="D20" s="29">
        <f t="shared" si="1"/>
        <v>15899.999999999978</v>
      </c>
      <c r="E20" s="64">
        <v>0</v>
      </c>
      <c r="F20" s="123">
        <v>0</v>
      </c>
      <c r="G20" s="29"/>
      <c r="H20" s="29">
        <v>0</v>
      </c>
      <c r="I20" s="29">
        <f t="shared" si="0"/>
        <v>0</v>
      </c>
      <c r="J20" s="29"/>
      <c r="K20" s="51"/>
      <c r="L20" s="114"/>
      <c r="M20" s="114"/>
      <c r="N20" s="114"/>
    </row>
    <row r="21" spans="1:14" ht="14.25" customHeight="1" x14ac:dyDescent="0.25">
      <c r="A21" s="29"/>
      <c r="B21" s="29"/>
      <c r="C21" s="29"/>
      <c r="D21" s="29"/>
      <c r="E21" s="49"/>
      <c r="F21" s="49"/>
      <c r="G21" s="49"/>
      <c r="H21" s="49">
        <f t="shared" ref="H21:I21" si="3">SUM(H2:H20)</f>
        <v>750</v>
      </c>
      <c r="I21" s="49">
        <f t="shared" si="3"/>
        <v>31044</v>
      </c>
      <c r="J21" s="49">
        <f>SUM(J2:J19)</f>
        <v>31044</v>
      </c>
      <c r="K21" s="29"/>
      <c r="L21" s="114"/>
      <c r="M21" s="114"/>
      <c r="N21" s="114"/>
    </row>
    <row r="22" spans="1:14" ht="14.25" customHeight="1" x14ac:dyDescent="0.25">
      <c r="A22" s="29"/>
      <c r="B22" s="29" t="s">
        <v>75</v>
      </c>
      <c r="C22" s="29"/>
      <c r="D22" s="30">
        <f>SUM(D4:D20)</f>
        <v>182559.99999999994</v>
      </c>
      <c r="E22" s="29">
        <f>SUM(E4:E19)</f>
        <v>13694</v>
      </c>
      <c r="F22" s="29"/>
      <c r="G22" s="29"/>
      <c r="H22" s="29"/>
      <c r="I22" s="29"/>
      <c r="J22" s="29"/>
      <c r="K22" s="29"/>
      <c r="L22" s="121" t="s">
        <v>20</v>
      </c>
      <c r="M22" s="121">
        <f>SUM(M9:M21)</f>
        <v>27591</v>
      </c>
      <c r="N22" s="121"/>
    </row>
    <row r="23" spans="1:14" ht="14.25" customHeight="1" x14ac:dyDescent="0.25">
      <c r="A23" s="29"/>
      <c r="B23" s="29" t="s">
        <v>243</v>
      </c>
      <c r="C23" s="119" t="s">
        <v>244</v>
      </c>
      <c r="D23" s="111">
        <f>B24/D22</f>
        <v>8.2164767747589865E-2</v>
      </c>
      <c r="E23" s="29"/>
      <c r="F23" s="29"/>
      <c r="G23" s="29" t="s">
        <v>205</v>
      </c>
      <c r="H23" s="29">
        <f>SUM(J21,M1)-M22</f>
        <v>4157</v>
      </c>
      <c r="I23" s="29"/>
      <c r="J23" s="29"/>
      <c r="K23" s="29"/>
      <c r="L23" s="152"/>
      <c r="M23" s="152"/>
      <c r="N23" s="152"/>
    </row>
    <row r="24" spans="1:14" ht="14.25" customHeight="1" x14ac:dyDescent="0.25">
      <c r="A24" s="119" t="s">
        <v>85</v>
      </c>
      <c r="B24" s="30">
        <v>15000</v>
      </c>
      <c r="C24" s="119" t="s">
        <v>404</v>
      </c>
      <c r="D24" s="29"/>
      <c r="E24" s="29"/>
      <c r="F24" s="29"/>
      <c r="G24" s="29"/>
      <c r="H24" s="29"/>
      <c r="I24" s="29"/>
      <c r="J24" s="29"/>
      <c r="K24" s="29"/>
      <c r="L24" s="114"/>
      <c r="M24" s="114"/>
      <c r="N24" s="114"/>
    </row>
    <row r="25" spans="1:14" ht="14.25" customHeight="1" x14ac:dyDescent="0.25"/>
    <row r="26" spans="1:14" ht="14.25" customHeight="1" x14ac:dyDescent="0.25"/>
    <row r="27" spans="1:14" ht="14.25" customHeight="1" x14ac:dyDescent="0.25">
      <c r="F27" s="1">
        <f>SUM(J21,M1,M3)-M22</f>
        <v>4157</v>
      </c>
    </row>
  </sheetData>
  <pageMargins left="0.7" right="0.7" top="0.75" bottom="0.75" header="0" footer="0"/>
  <pageSetup orientation="landscape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M24"/>
  <sheetViews>
    <sheetView workbookViewId="0"/>
  </sheetViews>
  <sheetFormatPr defaultColWidth="14.42578125" defaultRowHeight="15" customHeight="1" x14ac:dyDescent="0.25"/>
  <cols>
    <col min="1" max="1" width="12.7109375" customWidth="1"/>
    <col min="2" max="2" width="20.85546875" customWidth="1"/>
    <col min="3" max="3" width="20.28515625" customWidth="1"/>
    <col min="4" max="4" width="12.7109375" customWidth="1"/>
    <col min="5" max="5" width="9.28515625" customWidth="1"/>
    <col min="6" max="6" width="20.140625" customWidth="1"/>
    <col min="7" max="7" width="16.7109375" customWidth="1"/>
    <col min="8" max="8" width="15.140625" customWidth="1"/>
    <col min="9" max="9" width="7.5703125" customWidth="1"/>
    <col min="10" max="10" width="15.140625" customWidth="1"/>
    <col min="11" max="11" width="14.42578125" customWidth="1"/>
    <col min="12" max="12" width="24.5703125" customWidth="1"/>
    <col min="13" max="13" width="8.140625" customWidth="1"/>
    <col min="14" max="14" width="10.85546875" customWidth="1"/>
  </cols>
  <sheetData>
    <row r="1" spans="1:13" ht="14.25" customHeight="1" x14ac:dyDescent="0.25">
      <c r="A1" s="49" t="s">
        <v>287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367</v>
      </c>
      <c r="J1" s="146" t="s">
        <v>421</v>
      </c>
      <c r="K1" s="146" t="s">
        <v>128</v>
      </c>
      <c r="L1" s="154" t="s">
        <v>451</v>
      </c>
      <c r="M1" s="151">
        <v>4157</v>
      </c>
    </row>
    <row r="2" spans="1:13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f t="shared" ref="I2:I20" si="0">G2+H2</f>
        <v>300</v>
      </c>
      <c r="J2" s="29">
        <v>300</v>
      </c>
      <c r="K2" s="155" t="s">
        <v>311</v>
      </c>
      <c r="L2" s="148" t="s">
        <v>446</v>
      </c>
      <c r="M2" s="149">
        <v>10000</v>
      </c>
    </row>
    <row r="3" spans="1:13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f t="shared" si="0"/>
        <v>300</v>
      </c>
      <c r="J3" s="29">
        <v>300</v>
      </c>
      <c r="K3" s="155" t="s">
        <v>311</v>
      </c>
      <c r="L3" s="148"/>
      <c r="M3" s="148"/>
    </row>
    <row r="4" spans="1:13" ht="14.25" customHeight="1" x14ac:dyDescent="0.25">
      <c r="A4" s="32" t="s">
        <v>68</v>
      </c>
      <c r="B4" s="30">
        <v>65.239999999999995</v>
      </c>
      <c r="C4" s="30">
        <v>67.599999999999994</v>
      </c>
      <c r="D4" s="29">
        <f t="shared" ref="D4:D20" si="1">(C4-B4)*1000</f>
        <v>2359.9999999999995</v>
      </c>
      <c r="E4" s="64">
        <f>ROUND(D4*D23,0)</f>
        <v>152</v>
      </c>
      <c r="F4" s="29">
        <v>1000</v>
      </c>
      <c r="G4" s="29">
        <f t="shared" ref="G4:G19" si="2">SUM(E4,F4)</f>
        <v>1152</v>
      </c>
      <c r="H4" s="29">
        <v>50</v>
      </c>
      <c r="I4" s="29">
        <f t="shared" si="0"/>
        <v>1202</v>
      </c>
      <c r="J4" s="156">
        <v>1202</v>
      </c>
      <c r="K4" s="155" t="s">
        <v>311</v>
      </c>
    </row>
    <row r="5" spans="1:13" ht="14.25" customHeight="1" x14ac:dyDescent="0.25">
      <c r="A5" s="32" t="s">
        <v>70</v>
      </c>
      <c r="B5" s="30">
        <v>146.91999999999999</v>
      </c>
      <c r="C5" s="30">
        <v>154.97999999999999</v>
      </c>
      <c r="D5" s="29">
        <f t="shared" si="1"/>
        <v>8060.0000000000018</v>
      </c>
      <c r="E5" s="64">
        <f>ROUND(D5*D23,0)</f>
        <v>520</v>
      </c>
      <c r="F5" s="29">
        <v>1000</v>
      </c>
      <c r="G5" s="29">
        <f t="shared" si="2"/>
        <v>1520</v>
      </c>
      <c r="H5" s="29">
        <v>50</v>
      </c>
      <c r="I5" s="29">
        <f t="shared" si="0"/>
        <v>1570</v>
      </c>
      <c r="J5" s="156">
        <v>1570</v>
      </c>
      <c r="K5" s="155" t="s">
        <v>311</v>
      </c>
      <c r="L5" s="114"/>
      <c r="M5" s="114"/>
    </row>
    <row r="6" spans="1:13" ht="14.25" customHeight="1" x14ac:dyDescent="0.25">
      <c r="A6" s="32" t="s">
        <v>16</v>
      </c>
      <c r="B6" s="30">
        <v>288.22000000000003</v>
      </c>
      <c r="C6" s="30">
        <v>313.67</v>
      </c>
      <c r="D6" s="29">
        <f t="shared" si="1"/>
        <v>25449.999999999989</v>
      </c>
      <c r="E6" s="64">
        <f>ROUND(D6*D23,0)</f>
        <v>1643</v>
      </c>
      <c r="F6" s="29">
        <v>1000</v>
      </c>
      <c r="G6" s="29">
        <f t="shared" si="2"/>
        <v>2643</v>
      </c>
      <c r="H6" s="29">
        <v>50</v>
      </c>
      <c r="I6" s="29">
        <f t="shared" si="0"/>
        <v>2693</v>
      </c>
      <c r="J6" s="156">
        <v>2693</v>
      </c>
      <c r="K6" s="155" t="s">
        <v>311</v>
      </c>
      <c r="L6" s="114"/>
      <c r="M6" s="114"/>
    </row>
    <row r="7" spans="1:13" ht="14.25" customHeight="1" x14ac:dyDescent="0.25">
      <c r="A7" s="32" t="s">
        <v>13</v>
      </c>
      <c r="B7" s="30">
        <v>240.41</v>
      </c>
      <c r="C7" s="30">
        <v>247.99</v>
      </c>
      <c r="D7" s="29">
        <f t="shared" si="1"/>
        <v>7580.0000000000127</v>
      </c>
      <c r="E7" s="64">
        <f>ROUND(D7*D23,0)</f>
        <v>489</v>
      </c>
      <c r="F7" s="29">
        <v>1000</v>
      </c>
      <c r="G7" s="29">
        <f t="shared" si="2"/>
        <v>1489</v>
      </c>
      <c r="H7" s="29">
        <v>50</v>
      </c>
      <c r="I7" s="29">
        <f t="shared" si="0"/>
        <v>1539</v>
      </c>
      <c r="J7" s="156">
        <v>1539</v>
      </c>
      <c r="K7" s="155" t="s">
        <v>311</v>
      </c>
      <c r="L7" s="114"/>
      <c r="M7" s="114"/>
    </row>
    <row r="8" spans="1:13" ht="14.25" customHeight="1" x14ac:dyDescent="0.25">
      <c r="A8" s="73">
        <v>101</v>
      </c>
      <c r="B8" s="30">
        <v>0.59</v>
      </c>
      <c r="C8" s="30">
        <v>1.1299999999999999</v>
      </c>
      <c r="D8" s="29">
        <f t="shared" si="1"/>
        <v>539.99999999999989</v>
      </c>
      <c r="E8" s="64">
        <f>ROUND(D8*D23,0)</f>
        <v>35</v>
      </c>
      <c r="F8" s="29">
        <v>1000</v>
      </c>
      <c r="G8" s="29">
        <f t="shared" si="2"/>
        <v>1035</v>
      </c>
      <c r="H8" s="29">
        <v>0</v>
      </c>
      <c r="I8" s="29">
        <f t="shared" si="0"/>
        <v>1035</v>
      </c>
      <c r="J8" s="156">
        <v>1035</v>
      </c>
      <c r="K8" s="155" t="s">
        <v>311</v>
      </c>
      <c r="L8" s="153" t="s">
        <v>239</v>
      </c>
      <c r="M8" s="153"/>
    </row>
    <row r="9" spans="1:13" ht="14.25" customHeight="1" x14ac:dyDescent="0.25">
      <c r="A9" s="32">
        <v>102</v>
      </c>
      <c r="B9" s="30">
        <v>453.92</v>
      </c>
      <c r="C9" s="30">
        <v>467.47</v>
      </c>
      <c r="D9" s="29">
        <f t="shared" si="1"/>
        <v>13550.000000000011</v>
      </c>
      <c r="E9" s="64">
        <f>ROUND(D9*D23,0)</f>
        <v>875</v>
      </c>
      <c r="F9" s="29">
        <v>1000</v>
      </c>
      <c r="G9" s="29">
        <f t="shared" si="2"/>
        <v>1875</v>
      </c>
      <c r="H9" s="29">
        <v>50</v>
      </c>
      <c r="I9" s="29">
        <f t="shared" si="0"/>
        <v>1925</v>
      </c>
      <c r="J9" s="156">
        <v>1925</v>
      </c>
      <c r="K9" s="155" t="s">
        <v>311</v>
      </c>
      <c r="L9" s="114" t="s">
        <v>437</v>
      </c>
      <c r="M9" s="114">
        <v>6700</v>
      </c>
    </row>
    <row r="10" spans="1:13" ht="14.25" customHeight="1" x14ac:dyDescent="0.25">
      <c r="A10" s="32">
        <v>103</v>
      </c>
      <c r="B10" s="30">
        <v>107.36</v>
      </c>
      <c r="C10" s="30">
        <v>122.76</v>
      </c>
      <c r="D10" s="29">
        <f t="shared" si="1"/>
        <v>15400.000000000005</v>
      </c>
      <c r="E10" s="64">
        <f>ROUND(D10*D23,0)</f>
        <v>994</v>
      </c>
      <c r="F10" s="29">
        <v>1000</v>
      </c>
      <c r="G10" s="29">
        <f t="shared" si="2"/>
        <v>1994</v>
      </c>
      <c r="H10" s="29">
        <v>50</v>
      </c>
      <c r="I10" s="29">
        <f t="shared" si="0"/>
        <v>2044</v>
      </c>
      <c r="J10" s="156">
        <v>2044</v>
      </c>
      <c r="K10" s="155" t="s">
        <v>311</v>
      </c>
      <c r="L10" s="114" t="s">
        <v>438</v>
      </c>
      <c r="M10" s="114">
        <v>11000</v>
      </c>
    </row>
    <row r="11" spans="1:13" ht="14.25" customHeight="1" x14ac:dyDescent="0.25">
      <c r="A11" s="32">
        <v>104</v>
      </c>
      <c r="B11" s="30">
        <v>313.83999999999997</v>
      </c>
      <c r="C11" s="30">
        <v>337.49</v>
      </c>
      <c r="D11" s="29">
        <f t="shared" si="1"/>
        <v>23650.000000000033</v>
      </c>
      <c r="E11" s="64">
        <f>ROUND(D11*D23,0)</f>
        <v>1527</v>
      </c>
      <c r="F11" s="29">
        <v>1000</v>
      </c>
      <c r="G11" s="29">
        <f t="shared" si="2"/>
        <v>2527</v>
      </c>
      <c r="H11" s="29">
        <v>50</v>
      </c>
      <c r="I11" s="29">
        <f t="shared" si="0"/>
        <v>2577</v>
      </c>
      <c r="J11" s="156">
        <v>2577</v>
      </c>
      <c r="K11" s="155" t="s">
        <v>311</v>
      </c>
      <c r="L11" s="114" t="s">
        <v>366</v>
      </c>
      <c r="M11" s="114">
        <v>500</v>
      </c>
    </row>
    <row r="12" spans="1:13" ht="14.25" customHeight="1" x14ac:dyDescent="0.25">
      <c r="A12" s="32">
        <v>201</v>
      </c>
      <c r="B12" s="30">
        <v>51.27</v>
      </c>
      <c r="C12" s="30">
        <v>59.05</v>
      </c>
      <c r="D12" s="29">
        <f t="shared" si="1"/>
        <v>7779.9999999999936</v>
      </c>
      <c r="E12" s="64">
        <f>ROUND(D12*D23,0)</f>
        <v>502</v>
      </c>
      <c r="F12" s="29">
        <v>1000</v>
      </c>
      <c r="G12" s="29">
        <f t="shared" si="2"/>
        <v>1502</v>
      </c>
      <c r="H12" s="29">
        <v>50</v>
      </c>
      <c r="I12" s="29">
        <f t="shared" si="0"/>
        <v>1552</v>
      </c>
      <c r="J12" s="156">
        <v>1552</v>
      </c>
      <c r="K12" s="155" t="s">
        <v>311</v>
      </c>
      <c r="L12" s="114" t="s">
        <v>448</v>
      </c>
      <c r="M12" s="114">
        <v>2044</v>
      </c>
    </row>
    <row r="13" spans="1:13" ht="14.25" customHeight="1" x14ac:dyDescent="0.25">
      <c r="A13" s="32">
        <v>202</v>
      </c>
      <c r="B13" s="30">
        <v>222.98</v>
      </c>
      <c r="C13" s="30">
        <v>229.7</v>
      </c>
      <c r="D13" s="29">
        <f t="shared" si="1"/>
        <v>6719.9999999999991</v>
      </c>
      <c r="E13" s="64">
        <f>ROUND(D13*D23,0)</f>
        <v>434</v>
      </c>
      <c r="F13" s="29">
        <v>1000</v>
      </c>
      <c r="G13" s="29">
        <f t="shared" si="2"/>
        <v>1434</v>
      </c>
      <c r="H13" s="29">
        <v>50</v>
      </c>
      <c r="I13" s="29">
        <f t="shared" si="0"/>
        <v>1484</v>
      </c>
      <c r="J13" s="156">
        <v>1484</v>
      </c>
      <c r="K13" s="155" t="s">
        <v>311</v>
      </c>
      <c r="L13" s="114" t="s">
        <v>441</v>
      </c>
      <c r="M13" s="114">
        <v>3978</v>
      </c>
    </row>
    <row r="14" spans="1:13" ht="14.25" customHeight="1" x14ac:dyDescent="0.25">
      <c r="A14" s="32">
        <v>203</v>
      </c>
      <c r="B14" s="30">
        <v>270</v>
      </c>
      <c r="C14" s="30">
        <v>278.86</v>
      </c>
      <c r="D14" s="29">
        <f t="shared" si="1"/>
        <v>8860.0000000000146</v>
      </c>
      <c r="E14" s="64">
        <f>ROUND(D14*D23,0)</f>
        <v>572</v>
      </c>
      <c r="F14" s="29">
        <v>1000</v>
      </c>
      <c r="G14" s="29">
        <f t="shared" si="2"/>
        <v>1572</v>
      </c>
      <c r="H14" s="29">
        <v>50</v>
      </c>
      <c r="I14" s="29">
        <f t="shared" si="0"/>
        <v>1622</v>
      </c>
      <c r="J14" s="156">
        <v>1622</v>
      </c>
      <c r="K14" s="155" t="s">
        <v>311</v>
      </c>
      <c r="L14" s="122" t="s">
        <v>176</v>
      </c>
      <c r="M14" s="114">
        <v>200</v>
      </c>
    </row>
    <row r="15" spans="1:13" ht="14.25" customHeight="1" x14ac:dyDescent="0.25">
      <c r="A15" s="32">
        <v>204</v>
      </c>
      <c r="B15" s="30">
        <v>196.08</v>
      </c>
      <c r="C15" s="30">
        <v>204.02</v>
      </c>
      <c r="D15" s="29">
        <f t="shared" si="1"/>
        <v>7939.9999999999982</v>
      </c>
      <c r="E15" s="64">
        <f>ROUND(D15*D23,0)</f>
        <v>513</v>
      </c>
      <c r="F15" s="29">
        <v>1000</v>
      </c>
      <c r="G15" s="29">
        <f t="shared" si="2"/>
        <v>1513</v>
      </c>
      <c r="H15" s="29">
        <v>50</v>
      </c>
      <c r="I15" s="29">
        <f t="shared" si="0"/>
        <v>1563</v>
      </c>
      <c r="J15" s="156">
        <v>1563</v>
      </c>
      <c r="K15" s="155" t="s">
        <v>311</v>
      </c>
      <c r="L15" s="114" t="s">
        <v>164</v>
      </c>
      <c r="M15" s="114">
        <v>6000</v>
      </c>
    </row>
    <row r="16" spans="1:13" ht="14.25" customHeight="1" x14ac:dyDescent="0.25">
      <c r="A16" s="32">
        <v>301</v>
      </c>
      <c r="B16" s="30">
        <v>12.7</v>
      </c>
      <c r="C16" s="30">
        <v>18.260000000000002</v>
      </c>
      <c r="D16" s="29">
        <f t="shared" si="1"/>
        <v>5560.0000000000018</v>
      </c>
      <c r="E16" s="64">
        <f>ROUND(D16*D23,0)</f>
        <v>359</v>
      </c>
      <c r="F16" s="29">
        <v>1000</v>
      </c>
      <c r="G16" s="29">
        <f t="shared" si="2"/>
        <v>1359</v>
      </c>
      <c r="H16" s="29">
        <v>50</v>
      </c>
      <c r="I16" s="29">
        <f t="shared" si="0"/>
        <v>1409</v>
      </c>
      <c r="J16" s="156">
        <v>1409</v>
      </c>
      <c r="K16" s="155" t="s">
        <v>311</v>
      </c>
      <c r="L16" s="114" t="s">
        <v>452</v>
      </c>
      <c r="M16" s="114">
        <v>230</v>
      </c>
    </row>
    <row r="17" spans="1:13" ht="14.25" customHeight="1" x14ac:dyDescent="0.25">
      <c r="A17" s="32">
        <v>302</v>
      </c>
      <c r="B17" s="30">
        <v>74.400000000000006</v>
      </c>
      <c r="C17" s="30">
        <v>86.62</v>
      </c>
      <c r="D17" s="29">
        <f t="shared" si="1"/>
        <v>12219.999999999998</v>
      </c>
      <c r="E17" s="64">
        <f>ROUND(D17*D23,0)</f>
        <v>789</v>
      </c>
      <c r="F17" s="29">
        <v>1000</v>
      </c>
      <c r="G17" s="29">
        <f t="shared" si="2"/>
        <v>1789</v>
      </c>
      <c r="H17" s="29">
        <v>50</v>
      </c>
      <c r="I17" s="29">
        <f t="shared" si="0"/>
        <v>1839</v>
      </c>
      <c r="J17" s="156">
        <v>1839</v>
      </c>
      <c r="K17" s="155" t="s">
        <v>311</v>
      </c>
      <c r="L17" s="1" t="s">
        <v>453</v>
      </c>
      <c r="M17" s="114">
        <v>210</v>
      </c>
    </row>
    <row r="18" spans="1:13" ht="14.25" customHeight="1" x14ac:dyDescent="0.25">
      <c r="A18" s="32">
        <v>303</v>
      </c>
      <c r="B18" s="30">
        <v>658.69</v>
      </c>
      <c r="C18" s="30">
        <v>682.54</v>
      </c>
      <c r="D18" s="29">
        <f t="shared" si="1"/>
        <v>23849.999999999909</v>
      </c>
      <c r="E18" s="64">
        <f>ROUND(D18*D23,0)</f>
        <v>1540</v>
      </c>
      <c r="F18" s="29">
        <v>1000</v>
      </c>
      <c r="G18" s="29">
        <f t="shared" si="2"/>
        <v>2540</v>
      </c>
      <c r="H18" s="29">
        <v>50</v>
      </c>
      <c r="I18" s="29">
        <f t="shared" si="0"/>
        <v>2590</v>
      </c>
      <c r="J18" s="156">
        <v>2590</v>
      </c>
      <c r="K18" s="155" t="s">
        <v>311</v>
      </c>
      <c r="L18" s="114" t="s">
        <v>454</v>
      </c>
      <c r="M18" s="114">
        <v>850</v>
      </c>
    </row>
    <row r="19" spans="1:13" ht="14.25" customHeight="1" x14ac:dyDescent="0.25">
      <c r="A19" s="32">
        <v>304</v>
      </c>
      <c r="B19" s="30">
        <v>161.04</v>
      </c>
      <c r="C19" s="30">
        <v>176.54</v>
      </c>
      <c r="D19" s="29">
        <f t="shared" si="1"/>
        <v>15500</v>
      </c>
      <c r="E19" s="64">
        <f>ROUND(D19*D23,0)</f>
        <v>1001</v>
      </c>
      <c r="F19" s="29">
        <v>1000</v>
      </c>
      <c r="G19" s="29">
        <f t="shared" si="2"/>
        <v>2001</v>
      </c>
      <c r="H19" s="29">
        <v>50</v>
      </c>
      <c r="I19" s="29">
        <f t="shared" si="0"/>
        <v>2051</v>
      </c>
      <c r="J19" s="29">
        <v>2051</v>
      </c>
      <c r="K19" s="155" t="s">
        <v>311</v>
      </c>
      <c r="L19" s="157" t="s">
        <v>227</v>
      </c>
      <c r="M19" s="114">
        <v>220</v>
      </c>
    </row>
    <row r="20" spans="1:13" ht="14.25" customHeight="1" x14ac:dyDescent="0.25">
      <c r="A20" s="29" t="s">
        <v>287</v>
      </c>
      <c r="B20" s="30">
        <v>161.51</v>
      </c>
      <c r="C20" s="30">
        <v>177.85</v>
      </c>
      <c r="D20" s="29">
        <f t="shared" si="1"/>
        <v>16340.000000000004</v>
      </c>
      <c r="E20" s="64">
        <v>0</v>
      </c>
      <c r="F20" s="123">
        <v>0</v>
      </c>
      <c r="G20" s="29"/>
      <c r="H20" s="29">
        <v>0</v>
      </c>
      <c r="I20" s="29">
        <f t="shared" si="0"/>
        <v>0</v>
      </c>
      <c r="J20" s="29"/>
      <c r="K20" s="51"/>
      <c r="L20" s="114" t="s">
        <v>455</v>
      </c>
      <c r="M20" s="114">
        <v>650</v>
      </c>
    </row>
    <row r="21" spans="1:13" ht="14.25" customHeight="1" x14ac:dyDescent="0.25">
      <c r="A21" s="29"/>
      <c r="B21" s="29"/>
      <c r="C21" s="29"/>
      <c r="D21" s="29"/>
      <c r="E21" s="49"/>
      <c r="F21" s="49"/>
      <c r="G21" s="49"/>
      <c r="H21" s="49">
        <f t="shared" ref="H21:I21" si="3">SUM(H2:H20)</f>
        <v>750</v>
      </c>
      <c r="I21" s="49">
        <f t="shared" si="3"/>
        <v>29295</v>
      </c>
      <c r="J21" s="49">
        <f>SUM(J2:J19)</f>
        <v>29295</v>
      </c>
      <c r="K21" s="29"/>
      <c r="L21" s="114"/>
      <c r="M21" s="114"/>
    </row>
    <row r="22" spans="1:13" ht="14.25" customHeight="1" x14ac:dyDescent="0.25">
      <c r="A22" s="29"/>
      <c r="B22" s="29" t="s">
        <v>75</v>
      </c>
      <c r="C22" s="29"/>
      <c r="D22" s="30">
        <f>SUM(D4:D20)</f>
        <v>201359.99999999997</v>
      </c>
      <c r="E22" s="29">
        <f>SUM(E4:E19)</f>
        <v>11945</v>
      </c>
      <c r="F22" s="29"/>
      <c r="G22" s="29"/>
      <c r="H22" s="29"/>
      <c r="I22" s="29"/>
      <c r="J22" s="29"/>
      <c r="K22" s="29"/>
      <c r="L22" s="121" t="s">
        <v>20</v>
      </c>
      <c r="M22" s="121">
        <f>SUM(M9:M21)</f>
        <v>32582</v>
      </c>
    </row>
    <row r="23" spans="1:13" ht="14.25" customHeight="1" x14ac:dyDescent="0.25">
      <c r="A23" s="29"/>
      <c r="B23" s="29" t="s">
        <v>243</v>
      </c>
      <c r="C23" s="119" t="s">
        <v>244</v>
      </c>
      <c r="D23" s="111">
        <f>B24/D22</f>
        <v>6.456098529996028E-2</v>
      </c>
      <c r="E23" s="29"/>
      <c r="F23" s="29"/>
      <c r="G23" s="29" t="s">
        <v>205</v>
      </c>
      <c r="H23" s="29">
        <f>(J21+M1)-M22</f>
        <v>870</v>
      </c>
      <c r="I23" s="29"/>
      <c r="J23" s="29"/>
      <c r="K23" s="29"/>
      <c r="L23" s="152"/>
      <c r="M23" s="152"/>
    </row>
    <row r="24" spans="1:13" ht="14.25" customHeight="1" x14ac:dyDescent="0.25">
      <c r="A24" s="119" t="s">
        <v>85</v>
      </c>
      <c r="B24" s="30">
        <v>13000</v>
      </c>
      <c r="C24" s="119" t="s">
        <v>456</v>
      </c>
      <c r="D24" s="29"/>
      <c r="E24" s="29"/>
      <c r="F24" s="29"/>
      <c r="G24" s="29"/>
      <c r="H24" s="29"/>
      <c r="I24" s="29"/>
      <c r="J24" s="29"/>
      <c r="K24" s="29"/>
      <c r="L24" s="114"/>
      <c r="M24" s="114"/>
    </row>
  </sheetData>
  <pageMargins left="0.7" right="0.7" top="0.75" bottom="0.75" header="0" footer="0"/>
  <pageSetup orientation="landscape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R24"/>
  <sheetViews>
    <sheetView workbookViewId="0"/>
  </sheetViews>
  <sheetFormatPr defaultColWidth="14.42578125" defaultRowHeight="15" customHeight="1" x14ac:dyDescent="0.25"/>
  <cols>
    <col min="1" max="1" width="12.7109375" customWidth="1"/>
    <col min="2" max="2" width="20.85546875" customWidth="1"/>
    <col min="3" max="3" width="20.28515625" customWidth="1"/>
    <col min="4" max="4" width="12.7109375" customWidth="1"/>
    <col min="5" max="5" width="9.28515625" customWidth="1"/>
    <col min="6" max="6" width="20.140625" customWidth="1"/>
    <col min="7" max="7" width="16.7109375" customWidth="1"/>
    <col min="8" max="8" width="15.140625" customWidth="1"/>
    <col min="9" max="9" width="7.5703125" customWidth="1"/>
    <col min="10" max="10" width="15.140625" customWidth="1"/>
    <col min="11" max="11" width="14.42578125" customWidth="1"/>
    <col min="12" max="12" width="24.5703125" customWidth="1"/>
    <col min="13" max="13" width="8.140625" customWidth="1"/>
    <col min="14" max="14" width="10.85546875" customWidth="1"/>
  </cols>
  <sheetData>
    <row r="1" spans="1:18" ht="14.25" customHeight="1" x14ac:dyDescent="0.25">
      <c r="A1" s="49" t="s">
        <v>287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367</v>
      </c>
      <c r="J1" s="146" t="s">
        <v>421</v>
      </c>
      <c r="K1" s="146" t="s">
        <v>128</v>
      </c>
      <c r="L1" s="154" t="s">
        <v>451</v>
      </c>
      <c r="M1" s="151">
        <v>870</v>
      </c>
      <c r="N1" s="152"/>
    </row>
    <row r="2" spans="1:18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f t="shared" ref="I2:I20" si="0">G2+H2</f>
        <v>300</v>
      </c>
      <c r="J2" s="29">
        <v>300</v>
      </c>
      <c r="K2" s="158"/>
      <c r="L2" s="148" t="s">
        <v>446</v>
      </c>
      <c r="M2" s="149">
        <v>10000</v>
      </c>
      <c r="N2" s="121"/>
    </row>
    <row r="3" spans="1:18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f t="shared" si="0"/>
        <v>300</v>
      </c>
      <c r="J3" s="29">
        <v>300</v>
      </c>
      <c r="K3" s="158"/>
      <c r="L3" s="148"/>
      <c r="M3" s="148"/>
      <c r="N3" s="121"/>
    </row>
    <row r="4" spans="1:18" ht="14.25" customHeight="1" x14ac:dyDescent="0.25">
      <c r="A4" s="32" t="s">
        <v>68</v>
      </c>
      <c r="B4" s="30">
        <v>67.599999999999994</v>
      </c>
      <c r="C4" s="30">
        <v>74</v>
      </c>
      <c r="D4" s="29">
        <f t="shared" ref="D4:D20" si="1">(C4-B4)*1000</f>
        <v>6400.0000000000055</v>
      </c>
      <c r="E4" s="64">
        <f>ROUND(D4*D23,0)</f>
        <v>476</v>
      </c>
      <c r="F4" s="29">
        <v>1000</v>
      </c>
      <c r="G4" s="29">
        <f t="shared" ref="G4:G19" si="2">SUM(E4,F4)</f>
        <v>1476</v>
      </c>
      <c r="H4" s="29">
        <v>50</v>
      </c>
      <c r="I4" s="29">
        <f t="shared" si="0"/>
        <v>1526</v>
      </c>
      <c r="J4" s="156">
        <v>1526</v>
      </c>
      <c r="N4" s="114"/>
    </row>
    <row r="5" spans="1:18" ht="14.25" customHeight="1" x14ac:dyDescent="0.25">
      <c r="A5" s="32" t="s">
        <v>70</v>
      </c>
      <c r="B5" s="30">
        <v>154.97999999999999</v>
      </c>
      <c r="C5" s="30">
        <v>160.38999999999999</v>
      </c>
      <c r="D5" s="29">
        <f t="shared" si="1"/>
        <v>5409.9999999999964</v>
      </c>
      <c r="E5" s="64">
        <f>ROUND(D5*D23,0)</f>
        <v>402</v>
      </c>
      <c r="F5" s="29">
        <v>1000</v>
      </c>
      <c r="G5" s="29">
        <f t="shared" si="2"/>
        <v>1402</v>
      </c>
      <c r="H5" s="29">
        <v>50</v>
      </c>
      <c r="I5" s="29">
        <f t="shared" si="0"/>
        <v>1452</v>
      </c>
      <c r="J5" s="156">
        <v>1452</v>
      </c>
      <c r="L5" s="114"/>
      <c r="M5" s="114"/>
      <c r="N5" s="114"/>
    </row>
    <row r="6" spans="1:18" ht="14.25" customHeight="1" x14ac:dyDescent="0.25">
      <c r="A6" s="32" t="s">
        <v>16</v>
      </c>
      <c r="B6" s="30">
        <v>313.67</v>
      </c>
      <c r="C6" s="30">
        <v>323.26</v>
      </c>
      <c r="D6" s="29">
        <f t="shared" si="1"/>
        <v>9589.9999999999745</v>
      </c>
      <c r="E6" s="64">
        <f>ROUND(D6*D23,0)</f>
        <v>713</v>
      </c>
      <c r="F6" s="29">
        <v>1000</v>
      </c>
      <c r="G6" s="29">
        <f t="shared" si="2"/>
        <v>1713</v>
      </c>
      <c r="H6" s="29">
        <v>50</v>
      </c>
      <c r="I6" s="29">
        <f t="shared" si="0"/>
        <v>1763</v>
      </c>
      <c r="J6" s="156">
        <v>1763</v>
      </c>
      <c r="L6" s="114"/>
      <c r="M6" s="114"/>
      <c r="N6" s="114"/>
    </row>
    <row r="7" spans="1:18" ht="14.25" customHeight="1" x14ac:dyDescent="0.25">
      <c r="A7" s="32" t="s">
        <v>13</v>
      </c>
      <c r="B7" s="30">
        <v>247.99</v>
      </c>
      <c r="C7" s="30">
        <v>256.08999999999997</v>
      </c>
      <c r="D7" s="29">
        <f t="shared" si="1"/>
        <v>8099.9999999999654</v>
      </c>
      <c r="E7" s="64">
        <f>ROUND(D7*D23,0)</f>
        <v>603</v>
      </c>
      <c r="F7" s="29">
        <v>1000</v>
      </c>
      <c r="G7" s="29">
        <f t="shared" si="2"/>
        <v>1603</v>
      </c>
      <c r="H7" s="29">
        <v>50</v>
      </c>
      <c r="I7" s="29">
        <f t="shared" si="0"/>
        <v>1653</v>
      </c>
      <c r="J7" s="156">
        <v>1653</v>
      </c>
      <c r="L7" s="114"/>
      <c r="M7" s="114"/>
      <c r="N7" s="114"/>
    </row>
    <row r="8" spans="1:18" ht="14.25" customHeight="1" x14ac:dyDescent="0.25">
      <c r="A8" s="73">
        <v>101</v>
      </c>
      <c r="B8" s="30">
        <v>1.1299999999999999</v>
      </c>
      <c r="C8" s="30">
        <v>7.08</v>
      </c>
      <c r="D8" s="29">
        <f t="shared" si="1"/>
        <v>5950</v>
      </c>
      <c r="E8" s="64">
        <f>ROUND(D8*D23,0)</f>
        <v>443</v>
      </c>
      <c r="F8" s="29">
        <v>1000</v>
      </c>
      <c r="G8" s="29">
        <f t="shared" si="2"/>
        <v>1443</v>
      </c>
      <c r="H8" s="29">
        <v>0</v>
      </c>
      <c r="I8" s="29">
        <f t="shared" si="0"/>
        <v>1443</v>
      </c>
      <c r="J8" s="156">
        <v>1443</v>
      </c>
      <c r="L8" s="153" t="s">
        <v>239</v>
      </c>
      <c r="M8" s="153"/>
      <c r="N8" s="114"/>
      <c r="P8" s="347" t="s">
        <v>457</v>
      </c>
      <c r="Q8" s="348"/>
    </row>
    <row r="9" spans="1:18" ht="14.25" customHeight="1" x14ac:dyDescent="0.25">
      <c r="A9" s="32">
        <v>102</v>
      </c>
      <c r="B9" s="30">
        <v>467.47</v>
      </c>
      <c r="C9" s="30">
        <v>477.64</v>
      </c>
      <c r="D9" s="29">
        <f t="shared" si="1"/>
        <v>10169.99999999996</v>
      </c>
      <c r="E9" s="64">
        <f>ROUND(D9*D23,0)</f>
        <v>757</v>
      </c>
      <c r="F9" s="29">
        <v>1000</v>
      </c>
      <c r="G9" s="29">
        <f t="shared" si="2"/>
        <v>1757</v>
      </c>
      <c r="H9" s="29">
        <v>50</v>
      </c>
      <c r="I9" s="29">
        <f t="shared" si="0"/>
        <v>1807</v>
      </c>
      <c r="J9" s="156">
        <v>1807</v>
      </c>
      <c r="L9" s="114" t="s">
        <v>437</v>
      </c>
      <c r="M9" s="114">
        <v>6700</v>
      </c>
      <c r="N9" s="114"/>
      <c r="P9" s="1" t="s">
        <v>161</v>
      </c>
      <c r="Q9" s="1">
        <v>1600</v>
      </c>
    </row>
    <row r="10" spans="1:18" ht="14.25" customHeight="1" x14ac:dyDescent="0.25">
      <c r="A10" s="32">
        <v>103</v>
      </c>
      <c r="B10" s="30">
        <v>122.76</v>
      </c>
      <c r="C10" s="30">
        <v>140.27000000000001</v>
      </c>
      <c r="D10" s="29">
        <f t="shared" si="1"/>
        <v>17510.000000000004</v>
      </c>
      <c r="E10" s="64">
        <f>ROUND(D10*D23,0)</f>
        <v>1303</v>
      </c>
      <c r="F10" s="29">
        <v>1000</v>
      </c>
      <c r="G10" s="29">
        <f t="shared" si="2"/>
        <v>2303</v>
      </c>
      <c r="H10" s="29">
        <v>50</v>
      </c>
      <c r="I10" s="29">
        <f t="shared" si="0"/>
        <v>2353</v>
      </c>
      <c r="J10" s="156">
        <v>2353</v>
      </c>
      <c r="L10" s="114" t="s">
        <v>438</v>
      </c>
      <c r="M10" s="114">
        <v>14000</v>
      </c>
      <c r="N10" s="60"/>
      <c r="P10" s="159" t="s">
        <v>458</v>
      </c>
      <c r="Q10" s="1">
        <v>400</v>
      </c>
    </row>
    <row r="11" spans="1:18" ht="14.25" customHeight="1" x14ac:dyDescent="0.25">
      <c r="A11" s="32">
        <v>104</v>
      </c>
      <c r="B11" s="30">
        <v>337.49</v>
      </c>
      <c r="C11" s="30">
        <v>357.34</v>
      </c>
      <c r="D11" s="29">
        <f t="shared" si="1"/>
        <v>19849.999999999967</v>
      </c>
      <c r="E11" s="64">
        <f>ROUND(D11*D23,0)</f>
        <v>1477</v>
      </c>
      <c r="F11" s="29">
        <v>1000</v>
      </c>
      <c r="G11" s="29">
        <f t="shared" si="2"/>
        <v>2477</v>
      </c>
      <c r="H11" s="29">
        <v>50</v>
      </c>
      <c r="I11" s="29">
        <f t="shared" si="0"/>
        <v>2527</v>
      </c>
      <c r="J11" s="156">
        <v>2527</v>
      </c>
      <c r="L11" s="114" t="s">
        <v>366</v>
      </c>
      <c r="M11" s="114">
        <v>500</v>
      </c>
      <c r="N11" s="114"/>
      <c r="P11" s="1" t="s">
        <v>459</v>
      </c>
      <c r="Q11" s="1">
        <v>400</v>
      </c>
    </row>
    <row r="12" spans="1:18" ht="14.25" customHeight="1" x14ac:dyDescent="0.25">
      <c r="A12" s="32">
        <v>201</v>
      </c>
      <c r="B12" s="30">
        <v>59.05</v>
      </c>
      <c r="C12" s="30">
        <v>66.209999999999994</v>
      </c>
      <c r="D12" s="29">
        <f t="shared" si="1"/>
        <v>7159.9999999999964</v>
      </c>
      <c r="E12" s="64">
        <f>ROUND(D12*D23,0)</f>
        <v>533</v>
      </c>
      <c r="F12" s="29">
        <v>1000</v>
      </c>
      <c r="G12" s="29">
        <f t="shared" si="2"/>
        <v>1533</v>
      </c>
      <c r="H12" s="29">
        <v>50</v>
      </c>
      <c r="I12" s="29">
        <f t="shared" si="0"/>
        <v>1583</v>
      </c>
      <c r="J12" s="156">
        <v>1583</v>
      </c>
      <c r="L12" s="114" t="s">
        <v>448</v>
      </c>
      <c r="M12" s="114">
        <v>2044</v>
      </c>
      <c r="N12" s="114"/>
      <c r="P12" s="1" t="s">
        <v>460</v>
      </c>
      <c r="Q12" s="1">
        <v>300</v>
      </c>
    </row>
    <row r="13" spans="1:18" ht="14.25" customHeight="1" x14ac:dyDescent="0.25">
      <c r="A13" s="32">
        <v>202</v>
      </c>
      <c r="B13" s="30">
        <v>229.7</v>
      </c>
      <c r="C13" s="30">
        <v>234.73</v>
      </c>
      <c r="D13" s="29">
        <f t="shared" si="1"/>
        <v>5030.0000000000009</v>
      </c>
      <c r="E13" s="64">
        <f>ROUND(D13*D23,0)</f>
        <v>374</v>
      </c>
      <c r="F13" s="29">
        <v>1000</v>
      </c>
      <c r="G13" s="29">
        <f t="shared" si="2"/>
        <v>1374</v>
      </c>
      <c r="H13" s="29">
        <v>50</v>
      </c>
      <c r="I13" s="29">
        <f t="shared" si="0"/>
        <v>1424</v>
      </c>
      <c r="J13" s="156">
        <v>1424</v>
      </c>
      <c r="L13" s="114" t="s">
        <v>441</v>
      </c>
      <c r="M13" s="114">
        <v>4696</v>
      </c>
      <c r="N13" s="114"/>
      <c r="P13" s="1" t="s">
        <v>20</v>
      </c>
      <c r="Q13" s="1">
        <f>SUM(Q9:Q12)</f>
        <v>2700</v>
      </c>
    </row>
    <row r="14" spans="1:18" ht="14.25" customHeight="1" x14ac:dyDescent="0.25">
      <c r="A14" s="32">
        <v>203</v>
      </c>
      <c r="B14" s="30">
        <v>278.86</v>
      </c>
      <c r="C14" s="30">
        <v>289.86</v>
      </c>
      <c r="D14" s="29">
        <f t="shared" si="1"/>
        <v>11000</v>
      </c>
      <c r="E14" s="64">
        <f>ROUND(D14*D23,0)</f>
        <v>818</v>
      </c>
      <c r="F14" s="29">
        <v>1000</v>
      </c>
      <c r="G14" s="29">
        <f t="shared" si="2"/>
        <v>1818</v>
      </c>
      <c r="H14" s="29">
        <v>50</v>
      </c>
      <c r="I14" s="29">
        <f t="shared" si="0"/>
        <v>1868</v>
      </c>
      <c r="J14" s="156">
        <v>1868</v>
      </c>
      <c r="L14" s="122" t="s">
        <v>461</v>
      </c>
      <c r="M14" s="114">
        <v>130</v>
      </c>
      <c r="N14" s="114"/>
      <c r="P14" s="1" t="s">
        <v>462</v>
      </c>
      <c r="Q14" s="1">
        <f>Q13/16</f>
        <v>168.75</v>
      </c>
    </row>
    <row r="15" spans="1:18" ht="14.25" customHeight="1" x14ac:dyDescent="0.25">
      <c r="A15" s="32">
        <v>204</v>
      </c>
      <c r="B15" s="30">
        <v>204.02</v>
      </c>
      <c r="C15" s="30">
        <v>211.21</v>
      </c>
      <c r="D15" s="29">
        <f t="shared" si="1"/>
        <v>7189.9999999999982</v>
      </c>
      <c r="E15" s="64">
        <f>ROUND(D15*D23,0)</f>
        <v>535</v>
      </c>
      <c r="F15" s="29">
        <v>1000</v>
      </c>
      <c r="G15" s="29">
        <f t="shared" si="2"/>
        <v>1535</v>
      </c>
      <c r="H15" s="29">
        <v>50</v>
      </c>
      <c r="I15" s="29">
        <f t="shared" si="0"/>
        <v>1585</v>
      </c>
      <c r="J15" s="156">
        <v>1585</v>
      </c>
      <c r="L15" s="114" t="s">
        <v>463</v>
      </c>
      <c r="M15" s="114">
        <v>90</v>
      </c>
      <c r="N15" s="114"/>
      <c r="P15" s="1" t="s">
        <v>464</v>
      </c>
      <c r="Q15" s="1">
        <v>169</v>
      </c>
      <c r="R15" s="1" t="s">
        <v>465</v>
      </c>
    </row>
    <row r="16" spans="1:18" ht="14.25" customHeight="1" x14ac:dyDescent="0.25">
      <c r="A16" s="32">
        <v>301</v>
      </c>
      <c r="B16" s="30">
        <v>18.260000000000002</v>
      </c>
      <c r="C16" s="30">
        <v>22.16</v>
      </c>
      <c r="D16" s="29">
        <f t="shared" si="1"/>
        <v>3899.9999999999986</v>
      </c>
      <c r="E16" s="64">
        <f>ROUND(D16*D23,0)</f>
        <v>290</v>
      </c>
      <c r="F16" s="29">
        <v>1000</v>
      </c>
      <c r="G16" s="29">
        <f t="shared" si="2"/>
        <v>1290</v>
      </c>
      <c r="H16" s="29">
        <v>50</v>
      </c>
      <c r="I16" s="29">
        <f t="shared" si="0"/>
        <v>1340</v>
      </c>
      <c r="J16" s="156">
        <v>1340</v>
      </c>
      <c r="L16" s="114" t="s">
        <v>466</v>
      </c>
      <c r="M16" s="114">
        <v>230</v>
      </c>
      <c r="N16" s="114"/>
    </row>
    <row r="17" spans="1:13" ht="14.25" customHeight="1" x14ac:dyDescent="0.25">
      <c r="A17" s="32">
        <v>302</v>
      </c>
      <c r="B17" s="30">
        <v>86.62</v>
      </c>
      <c r="C17" s="30">
        <v>99.05</v>
      </c>
      <c r="D17" s="29">
        <f t="shared" si="1"/>
        <v>12429.999999999993</v>
      </c>
      <c r="E17" s="64">
        <f>ROUND(D17*D23,0)</f>
        <v>925</v>
      </c>
      <c r="F17" s="29">
        <v>1000</v>
      </c>
      <c r="G17" s="29">
        <f t="shared" si="2"/>
        <v>1925</v>
      </c>
      <c r="H17" s="29">
        <v>50</v>
      </c>
      <c r="I17" s="29">
        <f t="shared" si="0"/>
        <v>1975</v>
      </c>
      <c r="J17" s="156">
        <v>1975</v>
      </c>
      <c r="L17" s="1" t="s">
        <v>99</v>
      </c>
      <c r="M17" s="114">
        <v>80</v>
      </c>
    </row>
    <row r="18" spans="1:13" ht="14.25" customHeight="1" x14ac:dyDescent="0.25">
      <c r="A18" s="32">
        <v>303</v>
      </c>
      <c r="B18" s="30">
        <v>682.54</v>
      </c>
      <c r="C18" s="30">
        <v>708.53</v>
      </c>
      <c r="D18" s="29">
        <f t="shared" si="1"/>
        <v>25990.000000000007</v>
      </c>
      <c r="E18" s="64">
        <f>ROUND(D18*D23,0)</f>
        <v>1933</v>
      </c>
      <c r="F18" s="29">
        <v>1000</v>
      </c>
      <c r="G18" s="29">
        <f t="shared" si="2"/>
        <v>2933</v>
      </c>
      <c r="H18" s="29">
        <v>50</v>
      </c>
      <c r="I18" s="29">
        <f t="shared" si="0"/>
        <v>2983</v>
      </c>
      <c r="J18" s="156">
        <v>2983</v>
      </c>
      <c r="L18" s="114" t="s">
        <v>467</v>
      </c>
      <c r="M18" s="114">
        <v>1200</v>
      </c>
    </row>
    <row r="19" spans="1:13" ht="14.25" customHeight="1" x14ac:dyDescent="0.25">
      <c r="A19" s="32">
        <v>304</v>
      </c>
      <c r="B19" s="30">
        <v>176.54</v>
      </c>
      <c r="C19" s="30">
        <v>190.98</v>
      </c>
      <c r="D19" s="29">
        <f t="shared" si="1"/>
        <v>14439.999999999998</v>
      </c>
      <c r="E19" s="64">
        <f>ROUND(D19*D23,0)</f>
        <v>1074</v>
      </c>
      <c r="F19" s="29">
        <v>1000</v>
      </c>
      <c r="G19" s="29">
        <f t="shared" si="2"/>
        <v>2074</v>
      </c>
      <c r="H19" s="29">
        <v>50</v>
      </c>
      <c r="I19" s="29">
        <f t="shared" si="0"/>
        <v>2124</v>
      </c>
      <c r="J19" s="29">
        <v>2124</v>
      </c>
      <c r="L19" s="157" t="s">
        <v>468</v>
      </c>
      <c r="M19" s="114">
        <v>330</v>
      </c>
    </row>
    <row r="20" spans="1:13" ht="14.25" customHeight="1" x14ac:dyDescent="0.25">
      <c r="A20" s="29" t="s">
        <v>287</v>
      </c>
      <c r="B20" s="30">
        <v>177.85</v>
      </c>
      <c r="C20" s="30">
        <v>195.929</v>
      </c>
      <c r="D20" s="29">
        <f t="shared" si="1"/>
        <v>18079.000000000007</v>
      </c>
      <c r="E20" s="64">
        <v>0</v>
      </c>
      <c r="F20" s="123">
        <v>0</v>
      </c>
      <c r="G20" s="29"/>
      <c r="H20" s="29">
        <v>0</v>
      </c>
      <c r="I20" s="29">
        <f t="shared" si="0"/>
        <v>0</v>
      </c>
      <c r="J20" s="29"/>
      <c r="K20" s="51"/>
      <c r="L20" s="114" t="s">
        <v>469</v>
      </c>
      <c r="M20" s="114">
        <v>100</v>
      </c>
    </row>
    <row r="21" spans="1:13" ht="14.25" customHeight="1" x14ac:dyDescent="0.25">
      <c r="A21" s="29"/>
      <c r="B21" s="29"/>
      <c r="C21" s="29"/>
      <c r="D21" s="29"/>
      <c r="E21" s="49"/>
      <c r="F21" s="49"/>
      <c r="G21" s="49"/>
      <c r="H21" s="49">
        <f t="shared" ref="H21:I21" si="3">SUM(H2:H20)</f>
        <v>750</v>
      </c>
      <c r="I21" s="49">
        <f t="shared" si="3"/>
        <v>30006</v>
      </c>
      <c r="J21" s="49">
        <f>SUM(J2:J19)</f>
        <v>30006</v>
      </c>
      <c r="K21" s="29"/>
      <c r="L21" s="114"/>
      <c r="M21" s="114"/>
    </row>
    <row r="22" spans="1:13" ht="14.25" customHeight="1" x14ac:dyDescent="0.25">
      <c r="A22" s="29"/>
      <c r="B22" s="29" t="s">
        <v>75</v>
      </c>
      <c r="C22" s="29"/>
      <c r="D22" s="30">
        <f>SUM(D4:D20)</f>
        <v>188198.99999999985</v>
      </c>
      <c r="E22" s="29">
        <f>SUM(E4:E19)</f>
        <v>12656</v>
      </c>
      <c r="F22" s="29"/>
      <c r="G22" s="29"/>
      <c r="H22" s="29"/>
      <c r="I22" s="29"/>
      <c r="J22" s="29"/>
      <c r="K22" s="29"/>
      <c r="L22" s="121" t="s">
        <v>20</v>
      </c>
      <c r="M22" s="121">
        <f>SUM(M9:M21)</f>
        <v>30100</v>
      </c>
    </row>
    <row r="23" spans="1:13" ht="14.25" customHeight="1" x14ac:dyDescent="0.25">
      <c r="A23" s="29"/>
      <c r="B23" s="29" t="s">
        <v>243</v>
      </c>
      <c r="C23" s="119" t="s">
        <v>244</v>
      </c>
      <c r="D23" s="111">
        <f>B24/D22</f>
        <v>7.4389343195234894E-2</v>
      </c>
      <c r="E23" s="29"/>
      <c r="F23" s="29"/>
      <c r="G23" s="29" t="s">
        <v>205</v>
      </c>
      <c r="H23" s="29">
        <f>(J21+M1)-M22</f>
        <v>776</v>
      </c>
      <c r="I23" s="29"/>
      <c r="J23" s="29"/>
      <c r="K23" s="29"/>
      <c r="L23" s="152"/>
      <c r="M23" s="152"/>
    </row>
    <row r="24" spans="1:13" ht="14.25" customHeight="1" x14ac:dyDescent="0.25">
      <c r="A24" s="119" t="s">
        <v>85</v>
      </c>
      <c r="B24" s="30">
        <v>14000</v>
      </c>
      <c r="C24" s="119" t="s">
        <v>444</v>
      </c>
      <c r="D24" s="29"/>
      <c r="E24" s="29"/>
      <c r="F24" s="29"/>
      <c r="G24" s="29"/>
      <c r="H24" s="29"/>
      <c r="I24" s="29"/>
      <c r="J24" s="29"/>
      <c r="K24" s="29"/>
      <c r="L24" s="114"/>
      <c r="M24" s="114"/>
    </row>
  </sheetData>
  <mergeCells count="1">
    <mergeCell ref="P8:Q8"/>
  </mergeCells>
  <pageMargins left="0.7" right="0.7" top="0.75" bottom="0.75" header="0" footer="0"/>
  <pageSetup orientation="landscape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N24"/>
  <sheetViews>
    <sheetView workbookViewId="0"/>
  </sheetViews>
  <sheetFormatPr defaultColWidth="14.42578125" defaultRowHeight="15" customHeight="1" x14ac:dyDescent="0.25"/>
  <cols>
    <col min="1" max="1" width="12.7109375" customWidth="1"/>
    <col min="2" max="2" width="20.85546875" customWidth="1"/>
    <col min="3" max="3" width="20.28515625" customWidth="1"/>
    <col min="4" max="4" width="12.7109375" customWidth="1"/>
    <col min="5" max="5" width="9.28515625" customWidth="1"/>
    <col min="6" max="6" width="20.140625" customWidth="1"/>
    <col min="7" max="7" width="16.7109375" customWidth="1"/>
    <col min="8" max="9" width="15.140625" customWidth="1"/>
    <col min="10" max="10" width="7.5703125" customWidth="1"/>
    <col min="11" max="11" width="15.140625" customWidth="1"/>
    <col min="12" max="12" width="14.42578125" customWidth="1"/>
    <col min="13" max="13" width="24.5703125" customWidth="1"/>
    <col min="14" max="14" width="8.140625" customWidth="1"/>
    <col min="15" max="15" width="10.85546875" customWidth="1"/>
  </cols>
  <sheetData>
    <row r="1" spans="1:14" ht="14.25" customHeight="1" x14ac:dyDescent="0.25">
      <c r="A1" s="49" t="s">
        <v>287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 t="s">
        <v>128</v>
      </c>
      <c r="M1" s="154" t="s">
        <v>451</v>
      </c>
      <c r="N1" s="151">
        <v>776</v>
      </c>
    </row>
    <row r="2" spans="1:14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>
        <v>300</v>
      </c>
      <c r="L2" s="158"/>
      <c r="M2" s="148" t="s">
        <v>446</v>
      </c>
      <c r="N2" s="149"/>
    </row>
    <row r="3" spans="1:14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>
        <v>300</v>
      </c>
      <c r="L3" s="158"/>
      <c r="M3" s="148"/>
      <c r="N3" s="148"/>
    </row>
    <row r="4" spans="1:14" ht="14.25" customHeight="1" x14ac:dyDescent="0.25">
      <c r="A4" s="32" t="s">
        <v>68</v>
      </c>
      <c r="B4" s="30">
        <v>74</v>
      </c>
      <c r="C4" s="30">
        <v>75.87</v>
      </c>
      <c r="D4" s="29">
        <f t="shared" ref="D4:D20" si="1">(C4-B4)*1000</f>
        <v>1870.0000000000045</v>
      </c>
      <c r="E4" s="64">
        <f>ROUND(D4*D23,0)</f>
        <v>164</v>
      </c>
      <c r="F4" s="29">
        <v>1200</v>
      </c>
      <c r="G4" s="29">
        <f t="shared" ref="G4:G19" si="2">SUM(E4,F4)</f>
        <v>1364</v>
      </c>
      <c r="H4" s="29">
        <v>50</v>
      </c>
      <c r="I4" s="158">
        <v>169</v>
      </c>
      <c r="J4" s="29">
        <f t="shared" ref="J4:J19" si="3">G4+H4+I4</f>
        <v>1583</v>
      </c>
      <c r="K4" s="156">
        <v>1583</v>
      </c>
      <c r="L4" s="158"/>
    </row>
    <row r="5" spans="1:14" ht="14.25" customHeight="1" x14ac:dyDescent="0.25">
      <c r="A5" s="32" t="s">
        <v>70</v>
      </c>
      <c r="B5" s="30">
        <v>160.38999999999999</v>
      </c>
      <c r="C5" s="30">
        <v>163.09</v>
      </c>
      <c r="D5" s="29">
        <f t="shared" si="1"/>
        <v>2700.0000000000173</v>
      </c>
      <c r="E5" s="64">
        <f>ROUND(D5*D23,0)</f>
        <v>237</v>
      </c>
      <c r="F5" s="29">
        <v>1200</v>
      </c>
      <c r="G5" s="29">
        <f t="shared" si="2"/>
        <v>1437</v>
      </c>
      <c r="H5" s="29">
        <v>50</v>
      </c>
      <c r="I5" s="158">
        <v>169</v>
      </c>
      <c r="J5" s="29">
        <f t="shared" si="3"/>
        <v>1656</v>
      </c>
      <c r="K5" s="156">
        <v>1656</v>
      </c>
      <c r="L5" s="158"/>
      <c r="M5" s="114"/>
      <c r="N5" s="114"/>
    </row>
    <row r="6" spans="1:14" ht="14.25" customHeight="1" x14ac:dyDescent="0.25">
      <c r="A6" s="32" t="s">
        <v>16</v>
      </c>
      <c r="B6" s="30">
        <v>323.26</v>
      </c>
      <c r="C6" s="30">
        <v>333.12</v>
      </c>
      <c r="D6" s="29">
        <f t="shared" si="1"/>
        <v>9860.0000000000146</v>
      </c>
      <c r="E6" s="64">
        <f>ROUND(D6*D23,0)</f>
        <v>867</v>
      </c>
      <c r="F6" s="29">
        <v>1200</v>
      </c>
      <c r="G6" s="29">
        <f t="shared" si="2"/>
        <v>2067</v>
      </c>
      <c r="H6" s="29">
        <v>50</v>
      </c>
      <c r="I6" s="158">
        <v>169</v>
      </c>
      <c r="J6" s="29">
        <f t="shared" si="3"/>
        <v>2286</v>
      </c>
      <c r="K6" s="156">
        <v>2286</v>
      </c>
      <c r="L6" s="158"/>
      <c r="M6" s="114"/>
      <c r="N6" s="114"/>
    </row>
    <row r="7" spans="1:14" ht="14.25" customHeight="1" x14ac:dyDescent="0.25">
      <c r="A7" s="32" t="s">
        <v>13</v>
      </c>
      <c r="B7" s="30">
        <v>256.08999999999997</v>
      </c>
      <c r="C7" s="30">
        <v>261.10000000000002</v>
      </c>
      <c r="D7" s="29">
        <f t="shared" si="1"/>
        <v>5010.0000000000473</v>
      </c>
      <c r="E7" s="64">
        <f>ROUND(D7*D23,0)</f>
        <v>440</v>
      </c>
      <c r="F7" s="29">
        <v>1200</v>
      </c>
      <c r="G7" s="29">
        <f t="shared" si="2"/>
        <v>1640</v>
      </c>
      <c r="H7" s="29">
        <v>50</v>
      </c>
      <c r="I7" s="158">
        <v>169</v>
      </c>
      <c r="J7" s="29">
        <f t="shared" si="3"/>
        <v>1859</v>
      </c>
      <c r="K7" s="156">
        <v>1859</v>
      </c>
      <c r="L7" s="158"/>
      <c r="M7" s="114"/>
      <c r="N7" s="114"/>
    </row>
    <row r="8" spans="1:14" ht="14.25" customHeight="1" x14ac:dyDescent="0.25">
      <c r="A8" s="32">
        <v>101</v>
      </c>
      <c r="B8" s="30">
        <v>7.08</v>
      </c>
      <c r="C8" s="30">
        <v>14.22</v>
      </c>
      <c r="D8" s="29">
        <f t="shared" si="1"/>
        <v>7140.0000000000009</v>
      </c>
      <c r="E8" s="64">
        <f>ROUND(D8*D23,0)</f>
        <v>628</v>
      </c>
      <c r="F8" s="29">
        <v>1200</v>
      </c>
      <c r="G8" s="29">
        <f t="shared" si="2"/>
        <v>1828</v>
      </c>
      <c r="H8" s="29">
        <v>50</v>
      </c>
      <c r="I8" s="158">
        <v>169</v>
      </c>
      <c r="J8" s="29">
        <f t="shared" si="3"/>
        <v>2047</v>
      </c>
      <c r="K8" s="156">
        <v>2047</v>
      </c>
      <c r="L8" s="158"/>
      <c r="M8" s="153" t="s">
        <v>239</v>
      </c>
      <c r="N8" s="153"/>
    </row>
    <row r="9" spans="1:14" ht="14.25" customHeight="1" x14ac:dyDescent="0.25">
      <c r="A9" s="32">
        <v>102</v>
      </c>
      <c r="B9" s="30">
        <v>477.64</v>
      </c>
      <c r="C9" s="30">
        <v>492.3</v>
      </c>
      <c r="D9" s="29">
        <f t="shared" si="1"/>
        <v>14660.000000000025</v>
      </c>
      <c r="E9" s="64">
        <f>ROUND(D9*D23,0)</f>
        <v>1289</v>
      </c>
      <c r="F9" s="29">
        <v>1200</v>
      </c>
      <c r="G9" s="29">
        <f t="shared" si="2"/>
        <v>2489</v>
      </c>
      <c r="H9" s="29">
        <v>50</v>
      </c>
      <c r="I9" s="158">
        <v>169</v>
      </c>
      <c r="J9" s="29">
        <f t="shared" si="3"/>
        <v>2708</v>
      </c>
      <c r="K9" s="156">
        <v>2708</v>
      </c>
      <c r="L9" s="158"/>
      <c r="M9" s="114" t="s">
        <v>437</v>
      </c>
      <c r="N9" s="114">
        <v>6700</v>
      </c>
    </row>
    <row r="10" spans="1:14" ht="14.25" customHeight="1" x14ac:dyDescent="0.25">
      <c r="A10" s="32">
        <v>103</v>
      </c>
      <c r="B10" s="30">
        <v>140.27000000000001</v>
      </c>
      <c r="C10" s="30">
        <v>152.71</v>
      </c>
      <c r="D10" s="29">
        <f t="shared" si="1"/>
        <v>12439.999999999998</v>
      </c>
      <c r="E10" s="64">
        <f>ROUND(D10*D23,0)</f>
        <v>1093</v>
      </c>
      <c r="F10" s="29">
        <v>1200</v>
      </c>
      <c r="G10" s="29">
        <f t="shared" si="2"/>
        <v>2293</v>
      </c>
      <c r="H10" s="29">
        <v>50</v>
      </c>
      <c r="I10" s="158">
        <v>169</v>
      </c>
      <c r="J10" s="29">
        <f t="shared" si="3"/>
        <v>2512</v>
      </c>
      <c r="K10" s="156">
        <v>2512</v>
      </c>
      <c r="L10" s="158"/>
      <c r="M10" s="114" t="s">
        <v>438</v>
      </c>
      <c r="N10" s="114">
        <v>14000</v>
      </c>
    </row>
    <row r="11" spans="1:14" ht="14.25" customHeight="1" x14ac:dyDescent="0.25">
      <c r="A11" s="32">
        <v>104</v>
      </c>
      <c r="B11" s="30">
        <v>357.34</v>
      </c>
      <c r="C11" s="30">
        <v>374.1</v>
      </c>
      <c r="D11" s="29">
        <f t="shared" si="1"/>
        <v>16760.000000000047</v>
      </c>
      <c r="E11" s="64">
        <f>ROUND(D11*D23,0)</f>
        <v>1473</v>
      </c>
      <c r="F11" s="29">
        <v>1200</v>
      </c>
      <c r="G11" s="29">
        <f t="shared" si="2"/>
        <v>2673</v>
      </c>
      <c r="H11" s="29">
        <v>50</v>
      </c>
      <c r="I11" s="158">
        <v>169</v>
      </c>
      <c r="J11" s="29">
        <f t="shared" si="3"/>
        <v>2892</v>
      </c>
      <c r="K11" s="156">
        <v>2892</v>
      </c>
      <c r="L11" s="158"/>
      <c r="M11" s="114" t="s">
        <v>366</v>
      </c>
      <c r="N11" s="114">
        <v>500</v>
      </c>
    </row>
    <row r="12" spans="1:14" ht="14.25" customHeight="1" x14ac:dyDescent="0.25">
      <c r="A12" s="32">
        <v>201</v>
      </c>
      <c r="B12" s="30">
        <v>66.209999999999994</v>
      </c>
      <c r="C12" s="30">
        <v>74.5</v>
      </c>
      <c r="D12" s="29">
        <f t="shared" si="1"/>
        <v>8290.0000000000055</v>
      </c>
      <c r="E12" s="64">
        <f>ROUND(D12*D23,0)</f>
        <v>729</v>
      </c>
      <c r="F12" s="29">
        <v>1200</v>
      </c>
      <c r="G12" s="29">
        <f t="shared" si="2"/>
        <v>1929</v>
      </c>
      <c r="H12" s="29">
        <v>50</v>
      </c>
      <c r="I12" s="158">
        <v>169</v>
      </c>
      <c r="J12" s="29">
        <f t="shared" si="3"/>
        <v>2148</v>
      </c>
      <c r="K12" s="156">
        <v>2148</v>
      </c>
      <c r="L12" s="158"/>
      <c r="M12" s="114" t="s">
        <v>448</v>
      </c>
      <c r="N12" s="114">
        <v>2044</v>
      </c>
    </row>
    <row r="13" spans="1:14" ht="14.25" customHeight="1" x14ac:dyDescent="0.25">
      <c r="A13" s="32">
        <v>202</v>
      </c>
      <c r="B13" s="30">
        <v>234.73</v>
      </c>
      <c r="C13" s="30">
        <v>240.9</v>
      </c>
      <c r="D13" s="29">
        <f t="shared" si="1"/>
        <v>6170.0000000000164</v>
      </c>
      <c r="E13" s="64">
        <f>ROUND(D13*D23,0)</f>
        <v>542</v>
      </c>
      <c r="F13" s="29">
        <v>1200</v>
      </c>
      <c r="G13" s="29">
        <f t="shared" si="2"/>
        <v>1742</v>
      </c>
      <c r="H13" s="29">
        <v>50</v>
      </c>
      <c r="I13" s="158">
        <v>169</v>
      </c>
      <c r="J13" s="29">
        <f t="shared" si="3"/>
        <v>1961</v>
      </c>
      <c r="K13" s="156">
        <v>1961</v>
      </c>
      <c r="L13" s="158"/>
      <c r="M13" s="114" t="s">
        <v>441</v>
      </c>
      <c r="N13" s="114">
        <v>3431</v>
      </c>
    </row>
    <row r="14" spans="1:14" ht="14.25" customHeight="1" x14ac:dyDescent="0.25">
      <c r="A14" s="32">
        <v>203</v>
      </c>
      <c r="B14" s="30">
        <v>289.86</v>
      </c>
      <c r="C14" s="30">
        <v>296.8</v>
      </c>
      <c r="D14" s="29">
        <f t="shared" si="1"/>
        <v>6939.9999999999982</v>
      </c>
      <c r="E14" s="64">
        <f>ROUND(D14*D23,0)</f>
        <v>610</v>
      </c>
      <c r="F14" s="29">
        <v>1200</v>
      </c>
      <c r="G14" s="29">
        <f t="shared" si="2"/>
        <v>1810</v>
      </c>
      <c r="H14" s="29">
        <v>50</v>
      </c>
      <c r="I14" s="158">
        <v>169</v>
      </c>
      <c r="J14" s="29">
        <f t="shared" si="3"/>
        <v>2029</v>
      </c>
      <c r="K14" s="156">
        <v>2029</v>
      </c>
      <c r="L14" s="158"/>
      <c r="M14" s="122" t="s">
        <v>471</v>
      </c>
      <c r="N14" s="114">
        <v>400</v>
      </c>
    </row>
    <row r="15" spans="1:14" ht="14.25" customHeight="1" x14ac:dyDescent="0.25">
      <c r="A15" s="32">
        <v>204</v>
      </c>
      <c r="B15" s="30">
        <v>211.21</v>
      </c>
      <c r="C15" s="30">
        <v>215.3</v>
      </c>
      <c r="D15" s="29">
        <f t="shared" si="1"/>
        <v>4090.0000000000036</v>
      </c>
      <c r="E15" s="64">
        <f>ROUND(D15*D23,0)</f>
        <v>359</v>
      </c>
      <c r="F15" s="29">
        <v>1200</v>
      </c>
      <c r="G15" s="29">
        <f t="shared" si="2"/>
        <v>1559</v>
      </c>
      <c r="H15" s="29">
        <v>50</v>
      </c>
      <c r="I15" s="158">
        <v>169</v>
      </c>
      <c r="J15" s="29">
        <f t="shared" si="3"/>
        <v>1778</v>
      </c>
      <c r="K15" s="156">
        <v>1778</v>
      </c>
      <c r="L15" s="158"/>
      <c r="M15" s="114" t="s">
        <v>472</v>
      </c>
      <c r="N15" s="114">
        <v>400</v>
      </c>
    </row>
    <row r="16" spans="1:14" ht="14.25" customHeight="1" x14ac:dyDescent="0.25">
      <c r="A16" s="32">
        <v>301</v>
      </c>
      <c r="B16" s="30">
        <v>22.16</v>
      </c>
      <c r="C16" s="30">
        <v>26.5</v>
      </c>
      <c r="D16" s="29">
        <f t="shared" si="1"/>
        <v>4340</v>
      </c>
      <c r="E16" s="64">
        <f>ROUND(D16*D23,0)</f>
        <v>381</v>
      </c>
      <c r="F16" s="29">
        <v>1200</v>
      </c>
      <c r="G16" s="29">
        <f t="shared" si="2"/>
        <v>1581</v>
      </c>
      <c r="H16" s="29">
        <v>50</v>
      </c>
      <c r="I16" s="158">
        <v>169</v>
      </c>
      <c r="J16" s="29">
        <f t="shared" si="3"/>
        <v>1800</v>
      </c>
      <c r="K16" s="156">
        <v>1800</v>
      </c>
      <c r="L16" s="158"/>
      <c r="M16" s="114" t="s">
        <v>473</v>
      </c>
      <c r="N16" s="114">
        <v>2700</v>
      </c>
    </row>
    <row r="17" spans="1:14" ht="14.25" customHeight="1" x14ac:dyDescent="0.25">
      <c r="A17" s="32">
        <v>302</v>
      </c>
      <c r="B17" s="30">
        <v>99.05</v>
      </c>
      <c r="C17" s="30">
        <v>107.6</v>
      </c>
      <c r="D17" s="29">
        <f t="shared" si="1"/>
        <v>8549.9999999999964</v>
      </c>
      <c r="E17" s="64">
        <f>ROUND(D17*D23,0)</f>
        <v>752</v>
      </c>
      <c r="F17" s="29">
        <v>1200</v>
      </c>
      <c r="G17" s="29">
        <f t="shared" si="2"/>
        <v>1952</v>
      </c>
      <c r="H17" s="29">
        <v>50</v>
      </c>
      <c r="I17" s="158">
        <v>169</v>
      </c>
      <c r="J17" s="29">
        <f t="shared" si="3"/>
        <v>2171</v>
      </c>
      <c r="K17" s="156">
        <v>2171</v>
      </c>
      <c r="L17" s="158"/>
      <c r="M17" s="1" t="s">
        <v>474</v>
      </c>
      <c r="N17" s="114">
        <v>250</v>
      </c>
    </row>
    <row r="18" spans="1:14" ht="14.25" customHeight="1" x14ac:dyDescent="0.25">
      <c r="A18" s="32">
        <v>303</v>
      </c>
      <c r="B18" s="30">
        <v>708.53</v>
      </c>
      <c r="C18" s="30">
        <v>727.8</v>
      </c>
      <c r="D18" s="29">
        <f t="shared" si="1"/>
        <v>19269.999999999982</v>
      </c>
      <c r="E18" s="64">
        <f>ROUND(D18*D23,0)</f>
        <v>1694</v>
      </c>
      <c r="F18" s="29">
        <v>1200</v>
      </c>
      <c r="G18" s="29">
        <f t="shared" si="2"/>
        <v>2894</v>
      </c>
      <c r="H18" s="29">
        <v>50</v>
      </c>
      <c r="I18" s="158">
        <v>169</v>
      </c>
      <c r="J18" s="29">
        <f t="shared" si="3"/>
        <v>3113</v>
      </c>
      <c r="K18" s="156">
        <v>3113</v>
      </c>
      <c r="L18" s="158"/>
      <c r="M18" s="114"/>
      <c r="N18" s="114"/>
    </row>
    <row r="19" spans="1:14" ht="14.25" customHeight="1" x14ac:dyDescent="0.25">
      <c r="A19" s="32">
        <v>304</v>
      </c>
      <c r="B19" s="30">
        <v>190.98</v>
      </c>
      <c r="C19" s="30">
        <v>205.6</v>
      </c>
      <c r="D19" s="29">
        <f t="shared" si="1"/>
        <v>14620.000000000004</v>
      </c>
      <c r="E19" s="64">
        <f>ROUND(D19*D23,0)</f>
        <v>1285</v>
      </c>
      <c r="F19" s="29">
        <v>1200</v>
      </c>
      <c r="G19" s="29">
        <f t="shared" si="2"/>
        <v>2485</v>
      </c>
      <c r="H19" s="29">
        <v>50</v>
      </c>
      <c r="I19" s="158">
        <v>169</v>
      </c>
      <c r="J19" s="29">
        <f t="shared" si="3"/>
        <v>2704</v>
      </c>
      <c r="K19" s="29">
        <v>2704</v>
      </c>
      <c r="L19" s="158"/>
      <c r="M19" s="156"/>
      <c r="N19" s="114"/>
    </row>
    <row r="20" spans="1:14" ht="14.25" customHeight="1" x14ac:dyDescent="0.25">
      <c r="A20" s="29" t="s">
        <v>287</v>
      </c>
      <c r="B20" s="30">
        <v>195.929</v>
      </c>
      <c r="C20" s="30">
        <v>212.5</v>
      </c>
      <c r="D20" s="29">
        <f t="shared" si="1"/>
        <v>16570.999999999996</v>
      </c>
      <c r="E20" s="64">
        <v>0</v>
      </c>
      <c r="F20" s="123">
        <v>0</v>
      </c>
      <c r="G20" s="29"/>
      <c r="H20" s="29">
        <v>0</v>
      </c>
      <c r="I20" s="29"/>
      <c r="J20" s="29">
        <f>G20+H20</f>
        <v>0</v>
      </c>
      <c r="K20" s="29"/>
      <c r="L20" s="51"/>
      <c r="M20" s="114"/>
      <c r="N20" s="114"/>
    </row>
    <row r="21" spans="1:14" ht="14.25" customHeight="1" x14ac:dyDescent="0.25">
      <c r="A21" s="29"/>
      <c r="B21" s="29"/>
      <c r="C21" s="29"/>
      <c r="D21" s="29"/>
      <c r="E21" s="49"/>
      <c r="F21" s="49"/>
      <c r="G21" s="49"/>
      <c r="H21" s="49">
        <f>SUM(H2:H20)</f>
        <v>800</v>
      </c>
      <c r="I21" s="49"/>
      <c r="J21" s="49">
        <f>SUM(J2:J20)</f>
        <v>35847</v>
      </c>
      <c r="K21" s="49">
        <f>SUM(K2:K19)</f>
        <v>35847</v>
      </c>
      <c r="L21" s="29"/>
      <c r="M21" s="114"/>
      <c r="N21" s="114"/>
    </row>
    <row r="22" spans="1:14" ht="14.25" customHeight="1" x14ac:dyDescent="0.25">
      <c r="A22" s="29"/>
      <c r="B22" s="29" t="s">
        <v>75</v>
      </c>
      <c r="C22" s="29"/>
      <c r="D22" s="30">
        <f>SUM(D4:D20)</f>
        <v>159281.00000000017</v>
      </c>
      <c r="E22" s="29">
        <f>SUM(E4:E19)</f>
        <v>12543</v>
      </c>
      <c r="F22" s="29"/>
      <c r="G22" s="29"/>
      <c r="H22" s="29"/>
      <c r="I22" s="29"/>
      <c r="J22" s="29"/>
      <c r="K22" s="29"/>
      <c r="L22" s="29"/>
      <c r="M22" s="121" t="s">
        <v>20</v>
      </c>
      <c r="N22" s="121">
        <f>SUM(N9:N21)</f>
        <v>30425</v>
      </c>
    </row>
    <row r="23" spans="1:14" ht="14.25" customHeight="1" x14ac:dyDescent="0.25">
      <c r="A23" s="29"/>
      <c r="B23" s="29" t="s">
        <v>243</v>
      </c>
      <c r="C23" s="119" t="s">
        <v>244</v>
      </c>
      <c r="D23" s="111">
        <f>B24/D22</f>
        <v>8.7894978057646456E-2</v>
      </c>
      <c r="E23" s="29"/>
      <c r="F23" s="29"/>
      <c r="G23" s="29" t="s">
        <v>205</v>
      </c>
      <c r="H23" s="29">
        <f>(K21+N1)-N22</f>
        <v>6198</v>
      </c>
      <c r="I23" s="29"/>
      <c r="J23" s="29"/>
      <c r="K23" s="29"/>
      <c r="L23" s="29"/>
      <c r="M23" s="152"/>
      <c r="N23" s="152"/>
    </row>
    <row r="24" spans="1:14" ht="14.25" customHeight="1" x14ac:dyDescent="0.25">
      <c r="A24" s="119" t="s">
        <v>85</v>
      </c>
      <c r="B24" s="30">
        <v>14000</v>
      </c>
      <c r="C24" s="119" t="s">
        <v>444</v>
      </c>
      <c r="D24" s="29"/>
      <c r="E24" s="29"/>
      <c r="F24" s="29"/>
      <c r="G24" s="29"/>
      <c r="H24" s="29"/>
      <c r="I24" s="29"/>
      <c r="J24" s="29"/>
      <c r="K24" s="29"/>
      <c r="L24" s="29"/>
      <c r="M24" s="114"/>
      <c r="N24" s="114"/>
    </row>
  </sheetData>
  <pageMargins left="0.7" right="0.7" top="0.75" bottom="0.75" header="0" footer="0"/>
  <pageSetup orientation="landscape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4"/>
  <sheetViews>
    <sheetView workbookViewId="0"/>
  </sheetViews>
  <sheetFormatPr defaultColWidth="14.42578125" defaultRowHeight="15" customHeight="1" x14ac:dyDescent="0.25"/>
  <cols>
    <col min="1" max="1" width="12.7109375" customWidth="1"/>
    <col min="2" max="2" width="20.85546875" customWidth="1"/>
    <col min="3" max="3" width="20.28515625" customWidth="1"/>
    <col min="4" max="4" width="12.7109375" customWidth="1"/>
    <col min="5" max="5" width="9.28515625" customWidth="1"/>
    <col min="6" max="6" width="20.140625" customWidth="1"/>
    <col min="7" max="7" width="16.7109375" customWidth="1"/>
    <col min="8" max="9" width="15.140625" customWidth="1"/>
    <col min="10" max="10" width="7.5703125" customWidth="1"/>
    <col min="11" max="11" width="15.140625" customWidth="1"/>
    <col min="12" max="12" width="14.42578125" customWidth="1"/>
    <col min="13" max="13" width="24.5703125" customWidth="1"/>
    <col min="14" max="14" width="8.140625" customWidth="1"/>
    <col min="15" max="15" width="10.85546875" customWidth="1"/>
  </cols>
  <sheetData>
    <row r="1" spans="1:14" ht="14.25" customHeight="1" x14ac:dyDescent="0.25">
      <c r="A1" s="49" t="s">
        <v>287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 t="s">
        <v>128</v>
      </c>
      <c r="M1" s="154" t="s">
        <v>451</v>
      </c>
      <c r="N1" s="151">
        <v>6198</v>
      </c>
    </row>
    <row r="2" spans="1:14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>
        <v>300</v>
      </c>
      <c r="L2" s="158"/>
      <c r="M2" s="148" t="s">
        <v>446</v>
      </c>
      <c r="N2" s="149"/>
    </row>
    <row r="3" spans="1:14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>
        <v>300</v>
      </c>
      <c r="L3" s="158"/>
      <c r="M3" s="148"/>
      <c r="N3" s="148"/>
    </row>
    <row r="4" spans="1:14" ht="14.25" customHeight="1" x14ac:dyDescent="0.25">
      <c r="A4" s="32" t="s">
        <v>68</v>
      </c>
      <c r="B4" s="30">
        <v>75.87</v>
      </c>
      <c r="C4" s="30">
        <v>77.7</v>
      </c>
      <c r="D4" s="29">
        <f t="shared" ref="D4:D20" si="1">(C4-B4)*1000</f>
        <v>1829.9999999999982</v>
      </c>
      <c r="E4" s="64">
        <f>ROUND(D4*D23,0)</f>
        <v>160</v>
      </c>
      <c r="F4" s="29">
        <v>1200</v>
      </c>
      <c r="G4" s="29">
        <f t="shared" ref="G4:G19" si="2">SUM(E4,F4)</f>
        <v>1360</v>
      </c>
      <c r="H4" s="29">
        <v>50</v>
      </c>
      <c r="I4" s="29">
        <v>0</v>
      </c>
      <c r="J4" s="29">
        <f t="shared" ref="J4:J19" si="3">G4+H4+I4</f>
        <v>1410</v>
      </c>
      <c r="K4" s="156">
        <v>1410</v>
      </c>
      <c r="L4" s="158"/>
    </row>
    <row r="5" spans="1:14" ht="14.25" customHeight="1" x14ac:dyDescent="0.25">
      <c r="A5" s="32" t="s">
        <v>70</v>
      </c>
      <c r="B5" s="30">
        <v>163.09</v>
      </c>
      <c r="C5" s="30">
        <v>167.5</v>
      </c>
      <c r="D5" s="29">
        <f t="shared" si="1"/>
        <v>4409.9999999999964</v>
      </c>
      <c r="E5" s="64">
        <f>ROUND(D5*D23,0)</f>
        <v>386</v>
      </c>
      <c r="F5" s="29">
        <v>1200</v>
      </c>
      <c r="G5" s="29">
        <f t="shared" si="2"/>
        <v>1586</v>
      </c>
      <c r="H5" s="29">
        <v>50</v>
      </c>
      <c r="I5" s="29">
        <v>0</v>
      </c>
      <c r="J5" s="29">
        <f t="shared" si="3"/>
        <v>1636</v>
      </c>
      <c r="K5" s="29">
        <f t="shared" ref="K5:K19" si="4">H5+I5+J5</f>
        <v>1686</v>
      </c>
      <c r="L5" s="158"/>
      <c r="M5" s="114"/>
      <c r="N5" s="114"/>
    </row>
    <row r="6" spans="1:14" ht="14.25" customHeight="1" x14ac:dyDescent="0.25">
      <c r="A6" s="32" t="s">
        <v>16</v>
      </c>
      <c r="B6" s="30">
        <v>333.12</v>
      </c>
      <c r="C6" s="30">
        <v>346.2</v>
      </c>
      <c r="D6" s="29">
        <f t="shared" si="1"/>
        <v>13079.999999999984</v>
      </c>
      <c r="E6" s="64">
        <f>ROUND(D6*D23,0)</f>
        <v>1144</v>
      </c>
      <c r="F6" s="29">
        <v>1200</v>
      </c>
      <c r="G6" s="29">
        <f t="shared" si="2"/>
        <v>2344</v>
      </c>
      <c r="H6" s="29">
        <v>50</v>
      </c>
      <c r="I6" s="29">
        <v>0</v>
      </c>
      <c r="J6" s="29">
        <f t="shared" si="3"/>
        <v>2394</v>
      </c>
      <c r="K6" s="29">
        <f t="shared" si="4"/>
        <v>2444</v>
      </c>
      <c r="L6" s="158"/>
      <c r="M6" s="114"/>
      <c r="N6" s="114"/>
    </row>
    <row r="7" spans="1:14" ht="14.25" customHeight="1" x14ac:dyDescent="0.25">
      <c r="A7" s="32" t="s">
        <v>13</v>
      </c>
      <c r="B7" s="30">
        <v>261.10000000000002</v>
      </c>
      <c r="C7" s="30">
        <v>268.10000000000002</v>
      </c>
      <c r="D7" s="29">
        <f t="shared" si="1"/>
        <v>7000</v>
      </c>
      <c r="E7" s="64">
        <f>ROUND(D7*D23,0)</f>
        <v>612</v>
      </c>
      <c r="F7" s="29">
        <v>1200</v>
      </c>
      <c r="G7" s="29">
        <f t="shared" si="2"/>
        <v>1812</v>
      </c>
      <c r="H7" s="29">
        <v>50</v>
      </c>
      <c r="I7" s="29">
        <v>0</v>
      </c>
      <c r="J7" s="29">
        <f t="shared" si="3"/>
        <v>1862</v>
      </c>
      <c r="K7" s="29">
        <f t="shared" si="4"/>
        <v>1912</v>
      </c>
      <c r="L7" s="158"/>
      <c r="M7" s="114"/>
      <c r="N7" s="114"/>
    </row>
    <row r="8" spans="1:14" ht="14.25" customHeight="1" x14ac:dyDescent="0.25">
      <c r="A8" s="32">
        <v>101</v>
      </c>
      <c r="B8" s="30">
        <v>14.22</v>
      </c>
      <c r="C8" s="30">
        <v>19.899999999999999</v>
      </c>
      <c r="D8" s="29">
        <f t="shared" si="1"/>
        <v>5679.9999999999982</v>
      </c>
      <c r="E8" s="64">
        <f>ROUND(D8*D23,0)</f>
        <v>497</v>
      </c>
      <c r="F8" s="29">
        <v>1200</v>
      </c>
      <c r="G8" s="29">
        <f t="shared" si="2"/>
        <v>1697</v>
      </c>
      <c r="H8" s="29">
        <v>50</v>
      </c>
      <c r="I8" s="29">
        <v>0</v>
      </c>
      <c r="J8" s="29">
        <f t="shared" si="3"/>
        <v>1747</v>
      </c>
      <c r="K8" s="29">
        <f t="shared" si="4"/>
        <v>1797</v>
      </c>
      <c r="L8" s="158"/>
      <c r="M8" s="153" t="s">
        <v>239</v>
      </c>
      <c r="N8" s="153"/>
    </row>
    <row r="9" spans="1:14" ht="14.25" customHeight="1" x14ac:dyDescent="0.25">
      <c r="A9" s="32">
        <v>102</v>
      </c>
      <c r="B9" s="30">
        <v>492.3</v>
      </c>
      <c r="C9" s="30">
        <v>511.3</v>
      </c>
      <c r="D9" s="29">
        <f t="shared" si="1"/>
        <v>19000</v>
      </c>
      <c r="E9" s="64">
        <f>ROUND(D9*D23,0)</f>
        <v>1662</v>
      </c>
      <c r="F9" s="29">
        <v>1200</v>
      </c>
      <c r="G9" s="29">
        <f t="shared" si="2"/>
        <v>2862</v>
      </c>
      <c r="H9" s="29">
        <v>50</v>
      </c>
      <c r="I9" s="29">
        <v>0</v>
      </c>
      <c r="J9" s="29">
        <f t="shared" si="3"/>
        <v>2912</v>
      </c>
      <c r="K9" s="29">
        <f t="shared" si="4"/>
        <v>2962</v>
      </c>
      <c r="L9" s="158"/>
      <c r="M9" s="114" t="s">
        <v>437</v>
      </c>
      <c r="N9" s="114">
        <v>6700</v>
      </c>
    </row>
    <row r="10" spans="1:14" ht="14.25" customHeight="1" x14ac:dyDescent="0.25">
      <c r="A10" s="32">
        <v>103</v>
      </c>
      <c r="B10" s="30">
        <v>152.71</v>
      </c>
      <c r="C10" s="30">
        <v>164.6</v>
      </c>
      <c r="D10" s="29">
        <f t="shared" si="1"/>
        <v>11889.999999999985</v>
      </c>
      <c r="E10" s="64">
        <f>ROUND(D10*D23,0)</f>
        <v>1040</v>
      </c>
      <c r="F10" s="29">
        <v>1200</v>
      </c>
      <c r="G10" s="29">
        <f t="shared" si="2"/>
        <v>2240</v>
      </c>
      <c r="H10" s="29">
        <v>50</v>
      </c>
      <c r="I10" s="29">
        <v>0</v>
      </c>
      <c r="J10" s="29">
        <f t="shared" si="3"/>
        <v>2290</v>
      </c>
      <c r="K10" s="29">
        <f t="shared" si="4"/>
        <v>2340</v>
      </c>
      <c r="L10" s="158"/>
      <c r="M10" s="114" t="s">
        <v>438</v>
      </c>
      <c r="N10" s="114">
        <v>15000</v>
      </c>
    </row>
    <row r="11" spans="1:14" ht="14.25" customHeight="1" x14ac:dyDescent="0.25">
      <c r="A11" s="32">
        <v>104</v>
      </c>
      <c r="B11" s="30">
        <v>374.1</v>
      </c>
      <c r="C11" s="30">
        <v>384.4</v>
      </c>
      <c r="D11" s="29">
        <f t="shared" si="1"/>
        <v>10299.999999999955</v>
      </c>
      <c r="E11" s="64">
        <f>ROUND(D11*D23,0)</f>
        <v>901</v>
      </c>
      <c r="F11" s="29">
        <v>1200</v>
      </c>
      <c r="G11" s="29">
        <f t="shared" si="2"/>
        <v>2101</v>
      </c>
      <c r="H11" s="29">
        <v>50</v>
      </c>
      <c r="I11" s="29">
        <v>0</v>
      </c>
      <c r="J11" s="29">
        <f t="shared" si="3"/>
        <v>2151</v>
      </c>
      <c r="K11" s="29">
        <f t="shared" si="4"/>
        <v>2201</v>
      </c>
      <c r="L11" s="158"/>
      <c r="M11" s="114" t="s">
        <v>366</v>
      </c>
      <c r="N11" s="114">
        <v>500</v>
      </c>
    </row>
    <row r="12" spans="1:14" ht="14.25" customHeight="1" x14ac:dyDescent="0.25">
      <c r="A12" s="32">
        <v>201</v>
      </c>
      <c r="B12" s="30">
        <v>74.5</v>
      </c>
      <c r="C12" s="30">
        <v>81</v>
      </c>
      <c r="D12" s="29">
        <f t="shared" si="1"/>
        <v>6500</v>
      </c>
      <c r="E12" s="64">
        <f>ROUND(D12*D23,0)</f>
        <v>569</v>
      </c>
      <c r="F12" s="29">
        <v>1200</v>
      </c>
      <c r="G12" s="29">
        <f t="shared" si="2"/>
        <v>1769</v>
      </c>
      <c r="H12" s="29">
        <v>50</v>
      </c>
      <c r="I12" s="29">
        <v>0</v>
      </c>
      <c r="J12" s="29">
        <f t="shared" si="3"/>
        <v>1819</v>
      </c>
      <c r="K12" s="29">
        <f t="shared" si="4"/>
        <v>1869</v>
      </c>
      <c r="L12" s="158"/>
      <c r="M12" s="114" t="s">
        <v>448</v>
      </c>
      <c r="N12" s="114">
        <v>2044</v>
      </c>
    </row>
    <row r="13" spans="1:14" ht="14.25" customHeight="1" x14ac:dyDescent="0.25">
      <c r="A13" s="32">
        <v>202</v>
      </c>
      <c r="B13" s="30">
        <v>240.9</v>
      </c>
      <c r="C13" s="30">
        <v>245.7</v>
      </c>
      <c r="D13" s="29">
        <f t="shared" si="1"/>
        <v>4799.9999999999827</v>
      </c>
      <c r="E13" s="64">
        <f>ROUND(D13*D23,0)</f>
        <v>420</v>
      </c>
      <c r="F13" s="29">
        <v>1200</v>
      </c>
      <c r="G13" s="29">
        <f t="shared" si="2"/>
        <v>1620</v>
      </c>
      <c r="H13" s="29">
        <v>50</v>
      </c>
      <c r="I13" s="29">
        <v>0</v>
      </c>
      <c r="J13" s="29">
        <f t="shared" si="3"/>
        <v>1670</v>
      </c>
      <c r="K13" s="29">
        <f t="shared" si="4"/>
        <v>1720</v>
      </c>
      <c r="L13" s="158"/>
      <c r="M13" s="114" t="s">
        <v>441</v>
      </c>
      <c r="N13" s="114">
        <v>2760</v>
      </c>
    </row>
    <row r="14" spans="1:14" ht="14.25" customHeight="1" x14ac:dyDescent="0.25">
      <c r="A14" s="32">
        <v>203</v>
      </c>
      <c r="B14" s="30">
        <v>296.8</v>
      </c>
      <c r="C14" s="30">
        <v>308.39999999999998</v>
      </c>
      <c r="D14" s="29">
        <f t="shared" si="1"/>
        <v>11599.999999999965</v>
      </c>
      <c r="E14" s="64">
        <f>ROUND(D14*D23,0)</f>
        <v>1015</v>
      </c>
      <c r="F14" s="29">
        <v>1200</v>
      </c>
      <c r="G14" s="29">
        <f t="shared" si="2"/>
        <v>2215</v>
      </c>
      <c r="H14" s="29">
        <v>50</v>
      </c>
      <c r="I14" s="29">
        <v>0</v>
      </c>
      <c r="J14" s="29">
        <f t="shared" si="3"/>
        <v>2265</v>
      </c>
      <c r="K14" s="29">
        <f t="shared" si="4"/>
        <v>2315</v>
      </c>
      <c r="L14" s="158"/>
      <c r="M14" s="122" t="s">
        <v>475</v>
      </c>
      <c r="N14" s="114">
        <v>500</v>
      </c>
    </row>
    <row r="15" spans="1:14" ht="14.25" customHeight="1" x14ac:dyDescent="0.25">
      <c r="A15" s="32">
        <v>204</v>
      </c>
      <c r="B15" s="30">
        <v>215.3</v>
      </c>
      <c r="C15" s="30">
        <v>226.6</v>
      </c>
      <c r="D15" s="29">
        <f t="shared" si="1"/>
        <v>11299.999999999984</v>
      </c>
      <c r="E15" s="64">
        <f>ROUND(D15*D23,0)</f>
        <v>988</v>
      </c>
      <c r="F15" s="29">
        <v>1200</v>
      </c>
      <c r="G15" s="29">
        <f t="shared" si="2"/>
        <v>2188</v>
      </c>
      <c r="H15" s="29">
        <v>50</v>
      </c>
      <c r="I15" s="29">
        <v>0</v>
      </c>
      <c r="J15" s="29">
        <f t="shared" si="3"/>
        <v>2238</v>
      </c>
      <c r="K15" s="29">
        <f t="shared" si="4"/>
        <v>2288</v>
      </c>
      <c r="L15" s="158"/>
      <c r="M15" s="114" t="s">
        <v>476</v>
      </c>
      <c r="N15" s="114">
        <v>320</v>
      </c>
    </row>
    <row r="16" spans="1:14" ht="14.25" customHeight="1" x14ac:dyDescent="0.25">
      <c r="A16" s="32">
        <v>301</v>
      </c>
      <c r="B16" s="30">
        <v>26.5</v>
      </c>
      <c r="C16" s="30">
        <v>29.4</v>
      </c>
      <c r="D16" s="29">
        <f t="shared" si="1"/>
        <v>2899.9999999999986</v>
      </c>
      <c r="E16" s="64">
        <f>ROUND(D16*D23,0)</f>
        <v>254</v>
      </c>
      <c r="F16" s="29">
        <v>1200</v>
      </c>
      <c r="G16" s="29">
        <f t="shared" si="2"/>
        <v>1454</v>
      </c>
      <c r="H16" s="29">
        <v>50</v>
      </c>
      <c r="I16" s="29">
        <v>0</v>
      </c>
      <c r="J16" s="29">
        <f t="shared" si="3"/>
        <v>1504</v>
      </c>
      <c r="K16" s="29">
        <f t="shared" si="4"/>
        <v>1554</v>
      </c>
      <c r="L16" s="158"/>
      <c r="M16" s="114" t="s">
        <v>305</v>
      </c>
      <c r="N16" s="114">
        <v>200</v>
      </c>
    </row>
    <row r="17" spans="1:14" ht="14.25" customHeight="1" x14ac:dyDescent="0.25">
      <c r="A17" s="32">
        <v>302</v>
      </c>
      <c r="B17" s="30">
        <v>107.6</v>
      </c>
      <c r="C17" s="30">
        <v>117.7</v>
      </c>
      <c r="D17" s="29">
        <f t="shared" si="1"/>
        <v>10100.000000000009</v>
      </c>
      <c r="E17" s="64">
        <f>ROUND(D17*D23,0)</f>
        <v>883</v>
      </c>
      <c r="F17" s="29">
        <v>1200</v>
      </c>
      <c r="G17" s="29">
        <f t="shared" si="2"/>
        <v>2083</v>
      </c>
      <c r="H17" s="29">
        <v>50</v>
      </c>
      <c r="I17" s="29">
        <v>0</v>
      </c>
      <c r="J17" s="29">
        <f t="shared" si="3"/>
        <v>2133</v>
      </c>
      <c r="K17" s="29">
        <f t="shared" si="4"/>
        <v>2183</v>
      </c>
      <c r="L17" s="158"/>
      <c r="M17" s="1" t="s">
        <v>477</v>
      </c>
      <c r="N17" s="114">
        <v>120</v>
      </c>
    </row>
    <row r="18" spans="1:14" ht="14.25" customHeight="1" x14ac:dyDescent="0.25">
      <c r="A18" s="32">
        <v>303</v>
      </c>
      <c r="B18" s="30">
        <v>727.8</v>
      </c>
      <c r="C18" s="30">
        <v>750.7</v>
      </c>
      <c r="D18" s="29">
        <f t="shared" si="1"/>
        <v>22900.000000000091</v>
      </c>
      <c r="E18" s="64">
        <f>ROUND(D18*D23,0)</f>
        <v>2003</v>
      </c>
      <c r="F18" s="29">
        <v>1200</v>
      </c>
      <c r="G18" s="29">
        <f t="shared" si="2"/>
        <v>3203</v>
      </c>
      <c r="H18" s="29">
        <v>50</v>
      </c>
      <c r="I18" s="29">
        <v>0</v>
      </c>
      <c r="J18" s="29">
        <f t="shared" si="3"/>
        <v>3253</v>
      </c>
      <c r="K18" s="29">
        <f t="shared" si="4"/>
        <v>3303</v>
      </c>
      <c r="L18" s="158"/>
      <c r="M18" s="114" t="s">
        <v>478</v>
      </c>
      <c r="N18" s="114">
        <v>3315</v>
      </c>
    </row>
    <row r="19" spans="1:14" ht="14.25" customHeight="1" x14ac:dyDescent="0.25">
      <c r="A19" s="32">
        <v>304</v>
      </c>
      <c r="B19" s="30">
        <v>205.6</v>
      </c>
      <c r="C19" s="30">
        <v>218.7</v>
      </c>
      <c r="D19" s="29">
        <f t="shared" si="1"/>
        <v>13099.999999999995</v>
      </c>
      <c r="E19" s="64">
        <f>ROUND(D19*D23,0)</f>
        <v>1146</v>
      </c>
      <c r="F19" s="29">
        <v>1200</v>
      </c>
      <c r="G19" s="29">
        <f t="shared" si="2"/>
        <v>2346</v>
      </c>
      <c r="H19" s="29">
        <v>50</v>
      </c>
      <c r="I19" s="29">
        <v>0</v>
      </c>
      <c r="J19" s="29">
        <f t="shared" si="3"/>
        <v>2396</v>
      </c>
      <c r="K19" s="29">
        <f t="shared" si="4"/>
        <v>2446</v>
      </c>
      <c r="L19" s="158"/>
      <c r="M19" s="156" t="s">
        <v>479</v>
      </c>
      <c r="N19" s="114">
        <v>200</v>
      </c>
    </row>
    <row r="20" spans="1:14" ht="14.25" customHeight="1" x14ac:dyDescent="0.25">
      <c r="A20" s="29" t="s">
        <v>287</v>
      </c>
      <c r="B20" s="30">
        <v>212.5</v>
      </c>
      <c r="C20" s="30">
        <v>227.6</v>
      </c>
      <c r="D20" s="29">
        <f t="shared" si="1"/>
        <v>15099.999999999995</v>
      </c>
      <c r="E20" s="64">
        <v>0</v>
      </c>
      <c r="F20" s="123">
        <v>0</v>
      </c>
      <c r="G20" s="29"/>
      <c r="H20" s="29">
        <v>0</v>
      </c>
      <c r="I20" s="29"/>
      <c r="J20" s="29">
        <f>G20+H20</f>
        <v>0</v>
      </c>
      <c r="K20" s="29"/>
      <c r="L20" s="51"/>
      <c r="M20" s="114" t="s">
        <v>469</v>
      </c>
      <c r="N20" s="114">
        <v>100</v>
      </c>
    </row>
    <row r="21" spans="1:14" ht="14.25" customHeight="1" x14ac:dyDescent="0.25">
      <c r="A21" s="29"/>
      <c r="B21" s="29"/>
      <c r="C21" s="29"/>
      <c r="D21" s="29"/>
      <c r="E21" s="49"/>
      <c r="F21" s="49"/>
      <c r="G21" s="49"/>
      <c r="H21" s="49">
        <f>SUM(H2:H20)</f>
        <v>800</v>
      </c>
      <c r="I21" s="49"/>
      <c r="J21" s="49">
        <f>SUM(J2:J20)</f>
        <v>34280</v>
      </c>
      <c r="K21" s="49">
        <f>SUM(K2:K19)</f>
        <v>35030</v>
      </c>
      <c r="L21" s="29"/>
      <c r="M21" s="114" t="s">
        <v>480</v>
      </c>
      <c r="N21" s="114">
        <v>6500</v>
      </c>
    </row>
    <row r="22" spans="1:14" ht="14.25" customHeight="1" x14ac:dyDescent="0.25">
      <c r="A22" s="29"/>
      <c r="B22" s="29" t="s">
        <v>75</v>
      </c>
      <c r="C22" s="29"/>
      <c r="D22" s="30">
        <f>SUM(D4:D20)</f>
        <v>171489.99999999997</v>
      </c>
      <c r="E22" s="29">
        <f>SUM(E4:E19)</f>
        <v>13680</v>
      </c>
      <c r="F22" s="29"/>
      <c r="G22" s="29"/>
      <c r="H22" s="29"/>
      <c r="I22" s="29"/>
      <c r="J22" s="29"/>
      <c r="K22" s="29"/>
      <c r="L22" s="29"/>
      <c r="M22" s="121" t="s">
        <v>20</v>
      </c>
      <c r="N22" s="121">
        <f>SUM(N9:N21)</f>
        <v>38259</v>
      </c>
    </row>
    <row r="23" spans="1:14" ht="14.25" customHeight="1" x14ac:dyDescent="0.25">
      <c r="A23" s="29"/>
      <c r="B23" s="29" t="s">
        <v>243</v>
      </c>
      <c r="C23" s="119" t="s">
        <v>244</v>
      </c>
      <c r="D23" s="111">
        <f>B24/D22</f>
        <v>8.7468657064551883E-2</v>
      </c>
      <c r="E23" s="29"/>
      <c r="F23" s="29"/>
      <c r="G23" s="29" t="s">
        <v>205</v>
      </c>
      <c r="H23" s="29">
        <f>(K21+N1)-N22</f>
        <v>2969</v>
      </c>
      <c r="I23" s="29"/>
      <c r="J23" s="29"/>
      <c r="K23" s="29"/>
      <c r="L23" s="29"/>
      <c r="M23" s="152"/>
      <c r="N23" s="152"/>
    </row>
    <row r="24" spans="1:14" ht="14.25" customHeight="1" x14ac:dyDescent="0.25">
      <c r="A24" s="119" t="s">
        <v>85</v>
      </c>
      <c r="B24" s="30">
        <v>15000</v>
      </c>
      <c r="C24" s="119" t="s">
        <v>404</v>
      </c>
      <c r="D24" s="29"/>
      <c r="E24" s="29"/>
      <c r="F24" s="29"/>
      <c r="G24" s="29"/>
      <c r="H24" s="29"/>
      <c r="I24" s="29"/>
      <c r="J24" s="29"/>
      <c r="K24" s="29"/>
      <c r="L24" s="29"/>
      <c r="M24" s="114"/>
      <c r="N24" s="114"/>
    </row>
  </sheetData>
  <pageMargins left="0.7" right="0.7" top="0.75" bottom="0.75" header="0" footer="0"/>
  <pageSetup orientation="landscape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O31"/>
  <sheetViews>
    <sheetView workbookViewId="0">
      <selection activeCell="D17" sqref="D17"/>
    </sheetView>
  </sheetViews>
  <sheetFormatPr defaultColWidth="14.42578125" defaultRowHeight="15" customHeight="1" x14ac:dyDescent="0.25"/>
  <cols>
    <col min="1" max="1" width="12.7109375" customWidth="1"/>
    <col min="2" max="2" width="20.85546875" customWidth="1"/>
    <col min="3" max="3" width="21.7109375" customWidth="1"/>
    <col min="4" max="4" width="10.5703125" customWidth="1"/>
    <col min="5" max="5" width="9.85546875" customWidth="1"/>
    <col min="6" max="6" width="20.140625" customWidth="1"/>
    <col min="7" max="7" width="16.7109375" customWidth="1"/>
    <col min="8" max="9" width="15.140625" customWidth="1"/>
    <col min="10" max="10" width="7.5703125" customWidth="1"/>
    <col min="11" max="11" width="15.140625" customWidth="1"/>
    <col min="13" max="13" width="32.7109375" customWidth="1"/>
    <col min="14" max="14" width="13" customWidth="1"/>
    <col min="15" max="15" width="27.140625" customWidth="1"/>
  </cols>
  <sheetData>
    <row r="1" spans="1:15" ht="14.25" customHeight="1" x14ac:dyDescent="0.25">
      <c r="A1" s="49" t="s">
        <v>287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 t="s">
        <v>128</v>
      </c>
      <c r="M1" s="154" t="s">
        <v>451</v>
      </c>
      <c r="N1" s="151">
        <v>2969</v>
      </c>
      <c r="O1" s="152"/>
    </row>
    <row r="2" spans="1:15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>
        <v>300</v>
      </c>
      <c r="L2" s="158" t="s">
        <v>311</v>
      </c>
      <c r="M2" s="148" t="s">
        <v>446</v>
      </c>
      <c r="N2" s="149"/>
      <c r="O2" s="121"/>
    </row>
    <row r="3" spans="1:15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>
        <v>300</v>
      </c>
      <c r="L3" s="158" t="s">
        <v>311</v>
      </c>
      <c r="M3" s="148"/>
      <c r="N3" s="148"/>
      <c r="O3" s="121"/>
    </row>
    <row r="4" spans="1:15" ht="14.25" customHeight="1" x14ac:dyDescent="0.25">
      <c r="A4" s="32" t="s">
        <v>68</v>
      </c>
      <c r="B4" s="30">
        <v>77.7</v>
      </c>
      <c r="C4" s="30">
        <v>79.97</v>
      </c>
      <c r="D4" s="29">
        <f t="shared" ref="D4:D20" si="1">(C4-B4)*1000</f>
        <v>2269.9999999999959</v>
      </c>
      <c r="E4" s="64">
        <f>ROUND(D4*D23,0)</f>
        <v>181</v>
      </c>
      <c r="F4" s="29">
        <v>1200</v>
      </c>
      <c r="G4" s="29">
        <f t="shared" ref="G4:G19" si="2">SUM(E4,F4)</f>
        <v>1381</v>
      </c>
      <c r="H4" s="29">
        <v>50</v>
      </c>
      <c r="I4" s="29">
        <v>0</v>
      </c>
      <c r="J4" s="29">
        <f t="shared" ref="J4:J19" si="3">G4+H4+I4</f>
        <v>1431</v>
      </c>
      <c r="K4" s="156">
        <v>1431</v>
      </c>
      <c r="L4" s="158" t="s">
        <v>311</v>
      </c>
      <c r="M4" s="160"/>
      <c r="N4" s="160"/>
      <c r="O4" s="114"/>
    </row>
    <row r="5" spans="1:15" ht="14.25" customHeight="1" x14ac:dyDescent="0.25">
      <c r="A5" s="32" t="s">
        <v>70</v>
      </c>
      <c r="B5" s="30">
        <v>167.5</v>
      </c>
      <c r="C5" s="30">
        <v>172.48</v>
      </c>
      <c r="D5" s="29">
        <f t="shared" si="1"/>
        <v>4979.99999999999</v>
      </c>
      <c r="E5" s="64">
        <f>ROUND(D5*D23,0)</f>
        <v>398</v>
      </c>
      <c r="F5" s="29">
        <v>1200</v>
      </c>
      <c r="G5" s="29">
        <f t="shared" si="2"/>
        <v>1598</v>
      </c>
      <c r="H5" s="29">
        <v>50</v>
      </c>
      <c r="I5" s="29">
        <v>0</v>
      </c>
      <c r="J5" s="29">
        <f t="shared" si="3"/>
        <v>1648</v>
      </c>
      <c r="K5" s="29">
        <v>1648</v>
      </c>
      <c r="L5" s="158" t="s">
        <v>311</v>
      </c>
      <c r="M5" s="114"/>
      <c r="N5" s="114"/>
      <c r="O5" s="114"/>
    </row>
    <row r="6" spans="1:15" ht="14.25" customHeight="1" x14ac:dyDescent="0.25">
      <c r="A6" s="32" t="s">
        <v>16</v>
      </c>
      <c r="B6" s="30">
        <v>346.2</v>
      </c>
      <c r="C6" s="30">
        <v>353.79</v>
      </c>
      <c r="D6" s="29">
        <f t="shared" si="1"/>
        <v>7590.0000000000318</v>
      </c>
      <c r="E6" s="64">
        <f>ROUND(D6*D23,0)</f>
        <v>606</v>
      </c>
      <c r="F6" s="29">
        <v>1200</v>
      </c>
      <c r="G6" s="29">
        <f t="shared" si="2"/>
        <v>1806</v>
      </c>
      <c r="H6" s="29">
        <v>50</v>
      </c>
      <c r="I6" s="29">
        <v>0</v>
      </c>
      <c r="J6" s="29">
        <f t="shared" si="3"/>
        <v>1856</v>
      </c>
      <c r="K6" s="29">
        <v>1856</v>
      </c>
      <c r="L6" s="158" t="s">
        <v>311</v>
      </c>
      <c r="M6" s="114"/>
      <c r="N6" s="114"/>
      <c r="O6" s="114"/>
    </row>
    <row r="7" spans="1:15" ht="14.25" customHeight="1" x14ac:dyDescent="0.25">
      <c r="A7" s="32" t="s">
        <v>13</v>
      </c>
      <c r="B7" s="30">
        <v>268.10000000000002</v>
      </c>
      <c r="C7" s="30">
        <v>274.42</v>
      </c>
      <c r="D7" s="29">
        <f t="shared" si="1"/>
        <v>6319.9999999999927</v>
      </c>
      <c r="E7" s="64">
        <f>ROUND(D7*D23,0)</f>
        <v>505</v>
      </c>
      <c r="F7" s="29">
        <v>1200</v>
      </c>
      <c r="G7" s="29">
        <f t="shared" si="2"/>
        <v>1705</v>
      </c>
      <c r="H7" s="29">
        <v>50</v>
      </c>
      <c r="I7" s="29">
        <v>0</v>
      </c>
      <c r="J7" s="29">
        <f t="shared" si="3"/>
        <v>1755</v>
      </c>
      <c r="K7" s="29">
        <v>1755</v>
      </c>
      <c r="L7" s="158" t="s">
        <v>311</v>
      </c>
      <c r="M7" s="114"/>
      <c r="N7" s="114"/>
      <c r="O7" s="114"/>
    </row>
    <row r="8" spans="1:15" ht="14.25" customHeight="1" x14ac:dyDescent="0.25">
      <c r="A8" s="32">
        <v>101</v>
      </c>
      <c r="B8" s="30">
        <v>19.899999999999999</v>
      </c>
      <c r="C8" s="30">
        <v>26.89</v>
      </c>
      <c r="D8" s="29">
        <f t="shared" si="1"/>
        <v>6990.0000000000018</v>
      </c>
      <c r="E8" s="64">
        <f>ROUND(D8*D23,0)</f>
        <v>558</v>
      </c>
      <c r="F8" s="29">
        <v>1200</v>
      </c>
      <c r="G8" s="29">
        <f t="shared" si="2"/>
        <v>1758</v>
      </c>
      <c r="H8" s="29">
        <v>50</v>
      </c>
      <c r="I8" s="29">
        <v>0</v>
      </c>
      <c r="J8" s="29">
        <f t="shared" si="3"/>
        <v>1808</v>
      </c>
      <c r="K8" s="29">
        <v>1808</v>
      </c>
      <c r="L8" s="158" t="s">
        <v>311</v>
      </c>
      <c r="M8" s="153" t="s">
        <v>239</v>
      </c>
      <c r="N8" s="153"/>
      <c r="O8" s="114"/>
    </row>
    <row r="9" spans="1:15" ht="14.25" customHeight="1" x14ac:dyDescent="0.25">
      <c r="A9" s="32">
        <v>102</v>
      </c>
      <c r="B9" s="30">
        <v>511.3</v>
      </c>
      <c r="C9" s="30">
        <v>522.05999999999995</v>
      </c>
      <c r="D9" s="29">
        <f t="shared" si="1"/>
        <v>10759.999999999935</v>
      </c>
      <c r="E9" s="64">
        <f>ROUND(D9*D23,0)</f>
        <v>860</v>
      </c>
      <c r="F9" s="29">
        <v>1200</v>
      </c>
      <c r="G9" s="29">
        <f t="shared" si="2"/>
        <v>2060</v>
      </c>
      <c r="H9" s="29">
        <v>50</v>
      </c>
      <c r="I9" s="29">
        <v>0</v>
      </c>
      <c r="J9" s="29">
        <f t="shared" si="3"/>
        <v>2110</v>
      </c>
      <c r="K9" s="29">
        <v>2110</v>
      </c>
      <c r="L9" s="158" t="s">
        <v>311</v>
      </c>
      <c r="M9" s="114" t="s">
        <v>437</v>
      </c>
      <c r="N9" s="128">
        <v>6500</v>
      </c>
      <c r="O9" s="114" t="s">
        <v>481</v>
      </c>
    </row>
    <row r="10" spans="1:15" ht="14.25" customHeight="1" x14ac:dyDescent="0.25">
      <c r="A10" s="32">
        <v>103</v>
      </c>
      <c r="B10" s="30">
        <v>164.6</v>
      </c>
      <c r="C10" s="30">
        <v>180.89</v>
      </c>
      <c r="D10" s="29">
        <f t="shared" si="1"/>
        <v>16289.999999999993</v>
      </c>
      <c r="E10" s="64">
        <f>ROUND(D10*D23,0)</f>
        <v>1301</v>
      </c>
      <c r="F10" s="29">
        <v>1200</v>
      </c>
      <c r="G10" s="29">
        <f t="shared" si="2"/>
        <v>2501</v>
      </c>
      <c r="H10" s="29">
        <v>50</v>
      </c>
      <c r="I10" s="29">
        <v>0</v>
      </c>
      <c r="J10" s="29">
        <f t="shared" si="3"/>
        <v>2551</v>
      </c>
      <c r="K10" s="29">
        <v>2551</v>
      </c>
      <c r="L10" s="158" t="s">
        <v>311</v>
      </c>
      <c r="M10" s="160" t="s">
        <v>482</v>
      </c>
      <c r="N10" s="160">
        <v>2044</v>
      </c>
      <c r="O10" s="161">
        <v>45295</v>
      </c>
    </row>
    <row r="11" spans="1:15" ht="14.25" customHeight="1" x14ac:dyDescent="0.25">
      <c r="A11" s="32">
        <v>104</v>
      </c>
      <c r="B11" s="30">
        <v>384.4</v>
      </c>
      <c r="C11" s="30">
        <v>401.86</v>
      </c>
      <c r="D11" s="29">
        <f t="shared" si="1"/>
        <v>17460.000000000036</v>
      </c>
      <c r="E11" s="64">
        <f>ROUND(D11*D23,0)</f>
        <v>1395</v>
      </c>
      <c r="F11" s="29">
        <v>1200</v>
      </c>
      <c r="G11" s="29">
        <f t="shared" si="2"/>
        <v>2595</v>
      </c>
      <c r="H11" s="29">
        <v>50</v>
      </c>
      <c r="I11" s="29">
        <v>0</v>
      </c>
      <c r="J11" s="29">
        <f t="shared" si="3"/>
        <v>2645</v>
      </c>
      <c r="K11" s="29">
        <v>2645</v>
      </c>
      <c r="L11" s="158" t="s">
        <v>311</v>
      </c>
      <c r="M11" s="160" t="s">
        <v>483</v>
      </c>
      <c r="N11" s="160">
        <v>2378</v>
      </c>
      <c r="O11" s="161">
        <v>45295</v>
      </c>
    </row>
    <row r="12" spans="1:15" ht="14.25" customHeight="1" x14ac:dyDescent="0.25">
      <c r="A12" s="32">
        <v>201</v>
      </c>
      <c r="B12" s="30">
        <v>81</v>
      </c>
      <c r="C12" s="30">
        <v>86.67</v>
      </c>
      <c r="D12" s="29">
        <f t="shared" si="1"/>
        <v>5670.0000000000018</v>
      </c>
      <c r="E12" s="64">
        <f>ROUND(D12*D23,0)</f>
        <v>453</v>
      </c>
      <c r="F12" s="29">
        <v>1200</v>
      </c>
      <c r="G12" s="29">
        <f t="shared" si="2"/>
        <v>1653</v>
      </c>
      <c r="H12" s="29">
        <v>50</v>
      </c>
      <c r="I12" s="29">
        <v>0</v>
      </c>
      <c r="J12" s="29">
        <f t="shared" si="3"/>
        <v>1703</v>
      </c>
      <c r="K12" s="29">
        <v>1703</v>
      </c>
      <c r="L12" s="158" t="s">
        <v>311</v>
      </c>
      <c r="M12" s="160" t="s">
        <v>484</v>
      </c>
      <c r="N12" s="160">
        <v>500</v>
      </c>
      <c r="O12" s="161">
        <v>45296</v>
      </c>
    </row>
    <row r="13" spans="1:15" ht="14.25" customHeight="1" x14ac:dyDescent="0.25">
      <c r="A13" s="32">
        <v>202</v>
      </c>
      <c r="B13" s="30">
        <v>245.7</v>
      </c>
      <c r="C13" s="30">
        <v>251.57</v>
      </c>
      <c r="D13" s="29">
        <f t="shared" si="1"/>
        <v>5870.0000000000045</v>
      </c>
      <c r="E13" s="64">
        <f>ROUND(D13*D23,0)</f>
        <v>469</v>
      </c>
      <c r="F13" s="29">
        <v>1200</v>
      </c>
      <c r="G13" s="29">
        <f t="shared" si="2"/>
        <v>1669</v>
      </c>
      <c r="H13" s="29">
        <v>50</v>
      </c>
      <c r="I13" s="29">
        <v>0</v>
      </c>
      <c r="J13" s="29">
        <f t="shared" si="3"/>
        <v>1719</v>
      </c>
      <c r="K13" s="29">
        <v>1719</v>
      </c>
      <c r="L13" s="158" t="s">
        <v>311</v>
      </c>
      <c r="M13" s="114" t="s">
        <v>485</v>
      </c>
      <c r="N13" s="114">
        <v>12000</v>
      </c>
      <c r="O13" s="125">
        <v>45297</v>
      </c>
    </row>
    <row r="14" spans="1:15" ht="14.25" customHeight="1" x14ac:dyDescent="0.25">
      <c r="A14" s="32">
        <v>203</v>
      </c>
      <c r="B14" s="30">
        <v>308.39999999999998</v>
      </c>
      <c r="C14" s="30">
        <v>319.42</v>
      </c>
      <c r="D14" s="29">
        <f t="shared" si="1"/>
        <v>11020.000000000038</v>
      </c>
      <c r="E14" s="64">
        <f>ROUND(D14*D23,0)</f>
        <v>880</v>
      </c>
      <c r="F14" s="29">
        <v>1200</v>
      </c>
      <c r="G14" s="29">
        <f t="shared" si="2"/>
        <v>2080</v>
      </c>
      <c r="H14" s="29">
        <v>50</v>
      </c>
      <c r="I14" s="29">
        <v>0</v>
      </c>
      <c r="J14" s="29">
        <f t="shared" si="3"/>
        <v>2130</v>
      </c>
      <c r="K14" s="29">
        <v>2130</v>
      </c>
      <c r="L14" s="158" t="s">
        <v>311</v>
      </c>
      <c r="M14" s="114" t="s">
        <v>486</v>
      </c>
      <c r="N14" s="114">
        <v>100</v>
      </c>
      <c r="O14" s="125">
        <v>45299</v>
      </c>
    </row>
    <row r="15" spans="1:15" ht="14.25" customHeight="1" x14ac:dyDescent="0.25">
      <c r="A15" s="32">
        <v>204</v>
      </c>
      <c r="B15" s="30">
        <v>226.6</v>
      </c>
      <c r="C15" s="30">
        <v>231.95</v>
      </c>
      <c r="D15" s="29">
        <f t="shared" si="1"/>
        <v>5349.9999999999945</v>
      </c>
      <c r="E15" s="64">
        <f>ROUND(D15*D23,0)</f>
        <v>427</v>
      </c>
      <c r="F15" s="29">
        <v>1200</v>
      </c>
      <c r="G15" s="29">
        <f t="shared" si="2"/>
        <v>1627</v>
      </c>
      <c r="H15" s="29">
        <v>50</v>
      </c>
      <c r="I15" s="29">
        <v>0</v>
      </c>
      <c r="J15" s="29">
        <f t="shared" si="3"/>
        <v>1677</v>
      </c>
      <c r="K15" s="29">
        <v>1677</v>
      </c>
      <c r="L15" s="158" t="s">
        <v>311</v>
      </c>
      <c r="M15" s="114" t="s">
        <v>487</v>
      </c>
      <c r="N15" s="114">
        <v>680</v>
      </c>
      <c r="O15" s="125">
        <v>45305</v>
      </c>
    </row>
    <row r="16" spans="1:15" ht="14.25" customHeight="1" x14ac:dyDescent="0.25">
      <c r="A16" s="32">
        <v>301</v>
      </c>
      <c r="B16" s="30">
        <v>29.4</v>
      </c>
      <c r="C16" s="30">
        <v>33.64</v>
      </c>
      <c r="D16" s="29">
        <f t="shared" si="1"/>
        <v>4240.0000000000018</v>
      </c>
      <c r="E16" s="64">
        <f>ROUND(D16*D23,0)</f>
        <v>339</v>
      </c>
      <c r="F16" s="29">
        <v>1200</v>
      </c>
      <c r="G16" s="29">
        <f t="shared" si="2"/>
        <v>1539</v>
      </c>
      <c r="H16" s="29">
        <v>50</v>
      </c>
      <c r="I16" s="29">
        <v>0</v>
      </c>
      <c r="J16" s="29">
        <f t="shared" si="3"/>
        <v>1589</v>
      </c>
      <c r="K16" s="29">
        <v>1589</v>
      </c>
      <c r="L16" s="158" t="s">
        <v>311</v>
      </c>
      <c r="M16" s="114" t="s">
        <v>20</v>
      </c>
      <c r="N16" s="114">
        <f>SUM(N10:N15)</f>
        <v>17702</v>
      </c>
      <c r="O16" s="114"/>
    </row>
    <row r="17" spans="1:15" ht="14.25" customHeight="1" x14ac:dyDescent="0.25">
      <c r="A17" s="32">
        <v>302</v>
      </c>
      <c r="B17" s="30">
        <v>117.7</v>
      </c>
      <c r="C17" s="30">
        <v>124.47</v>
      </c>
      <c r="D17" s="29">
        <f t="shared" si="1"/>
        <v>6769.9999999999964</v>
      </c>
      <c r="E17" s="64">
        <f>ROUND(D17*D23,0)</f>
        <v>541</v>
      </c>
      <c r="F17" s="29">
        <v>1200</v>
      </c>
      <c r="G17" s="29">
        <f t="shared" si="2"/>
        <v>1741</v>
      </c>
      <c r="H17" s="29">
        <v>50</v>
      </c>
      <c r="I17" s="29">
        <v>0</v>
      </c>
      <c r="J17" s="29">
        <f t="shared" si="3"/>
        <v>1791</v>
      </c>
      <c r="K17" s="29">
        <v>1791</v>
      </c>
      <c r="L17" s="158" t="s">
        <v>311</v>
      </c>
      <c r="M17" s="160"/>
      <c r="N17" s="114"/>
      <c r="O17" s="114"/>
    </row>
    <row r="18" spans="1:15" ht="14.25" customHeight="1" x14ac:dyDescent="0.25">
      <c r="A18" s="32">
        <v>303</v>
      </c>
      <c r="B18" s="30">
        <v>750.7</v>
      </c>
      <c r="C18" s="30">
        <v>770.27</v>
      </c>
      <c r="D18" s="29">
        <f t="shared" si="1"/>
        <v>19569.999999999935</v>
      </c>
      <c r="E18" s="64">
        <f>ROUND(D18*D23,0)</f>
        <v>1563</v>
      </c>
      <c r="F18" s="29">
        <v>1200</v>
      </c>
      <c r="G18" s="29">
        <f t="shared" si="2"/>
        <v>2763</v>
      </c>
      <c r="H18" s="29">
        <v>50</v>
      </c>
      <c r="I18" s="29">
        <v>0</v>
      </c>
      <c r="J18" s="29">
        <f t="shared" si="3"/>
        <v>2813</v>
      </c>
      <c r="K18" s="29">
        <v>2813</v>
      </c>
      <c r="L18" s="158" t="s">
        <v>311</v>
      </c>
      <c r="M18" s="114"/>
      <c r="N18" s="114"/>
      <c r="O18" s="114"/>
    </row>
    <row r="19" spans="1:15" ht="14.25" customHeight="1" x14ac:dyDescent="0.25">
      <c r="A19" s="32">
        <v>304</v>
      </c>
      <c r="B19" s="30">
        <v>218.7</v>
      </c>
      <c r="C19" s="30">
        <v>227.82</v>
      </c>
      <c r="D19" s="29">
        <f t="shared" si="1"/>
        <v>9120.0000000000036</v>
      </c>
      <c r="E19" s="64">
        <f>ROUND(D19*D23,0)</f>
        <v>729</v>
      </c>
      <c r="F19" s="29">
        <v>1200</v>
      </c>
      <c r="G19" s="29">
        <f t="shared" si="2"/>
        <v>1929</v>
      </c>
      <c r="H19" s="29">
        <v>50</v>
      </c>
      <c r="I19" s="29">
        <v>0</v>
      </c>
      <c r="J19" s="29">
        <f t="shared" si="3"/>
        <v>1979</v>
      </c>
      <c r="K19" s="29">
        <v>1979</v>
      </c>
      <c r="L19" s="158" t="s">
        <v>311</v>
      </c>
      <c r="M19" s="156"/>
      <c r="N19" s="114"/>
      <c r="O19" s="114"/>
    </row>
    <row r="20" spans="1:15" ht="14.25" customHeight="1" x14ac:dyDescent="0.25">
      <c r="A20" s="29" t="s">
        <v>287</v>
      </c>
      <c r="B20" s="30">
        <v>227.6</v>
      </c>
      <c r="C20" s="30">
        <v>237.55</v>
      </c>
      <c r="D20" s="29">
        <f t="shared" si="1"/>
        <v>9950.0000000000164</v>
      </c>
      <c r="E20" s="64">
        <v>0</v>
      </c>
      <c r="F20" s="123">
        <v>0</v>
      </c>
      <c r="G20" s="29"/>
      <c r="H20" s="29">
        <v>0</v>
      </c>
      <c r="I20" s="29"/>
      <c r="J20" s="29">
        <f>G20+H20</f>
        <v>0</v>
      </c>
      <c r="K20" s="29"/>
      <c r="L20" s="51"/>
      <c r="M20" s="114"/>
      <c r="N20" s="114"/>
      <c r="O20" s="114"/>
    </row>
    <row r="21" spans="1:15" ht="14.25" customHeight="1" x14ac:dyDescent="0.25">
      <c r="A21" s="29"/>
      <c r="B21" s="29"/>
      <c r="C21" s="29"/>
      <c r="D21" s="29"/>
      <c r="E21" s="49"/>
      <c r="F21" s="49"/>
      <c r="G21" s="49"/>
      <c r="H21" s="49">
        <f>SUM(H2:H20)</f>
        <v>800</v>
      </c>
      <c r="I21" s="49"/>
      <c r="J21" s="49">
        <f>SUM(J2:J20)</f>
        <v>31805</v>
      </c>
      <c r="K21" s="49">
        <f>SUM(K2:K19)</f>
        <v>31805</v>
      </c>
      <c r="L21" s="29"/>
      <c r="M21" s="114"/>
      <c r="N21" s="114"/>
      <c r="O21" s="114"/>
    </row>
    <row r="22" spans="1:15" ht="14.25" customHeight="1" x14ac:dyDescent="0.25">
      <c r="A22" s="29"/>
      <c r="B22" s="29" t="s">
        <v>75</v>
      </c>
      <c r="C22" s="29"/>
      <c r="D22" s="30">
        <f>SUM(D4:D20)</f>
        <v>150219.99999999997</v>
      </c>
      <c r="E22" s="29">
        <f>SUM(E4:E19)</f>
        <v>11205</v>
      </c>
      <c r="F22" s="29"/>
      <c r="G22" s="29"/>
      <c r="H22" s="29"/>
      <c r="I22" s="29"/>
      <c r="J22" s="29"/>
      <c r="K22" s="29"/>
      <c r="L22" s="29"/>
      <c r="M22" s="121" t="s">
        <v>488</v>
      </c>
      <c r="N22" s="121">
        <v>17702</v>
      </c>
      <c r="O22" s="121"/>
    </row>
    <row r="23" spans="1:15" ht="14.25" customHeight="1" x14ac:dyDescent="0.25">
      <c r="A23" s="29"/>
      <c r="B23" s="29" t="s">
        <v>243</v>
      </c>
      <c r="C23" s="119" t="s">
        <v>244</v>
      </c>
      <c r="D23" s="111">
        <f>B24/D22</f>
        <v>7.9882838503528175E-2</v>
      </c>
      <c r="E23" s="29"/>
      <c r="F23" s="29"/>
      <c r="G23" s="29" t="s">
        <v>205</v>
      </c>
      <c r="H23" s="29">
        <f>(K21+N1)-N22</f>
        <v>17072</v>
      </c>
      <c r="I23" s="29"/>
      <c r="J23" s="29"/>
      <c r="K23" s="29"/>
      <c r="L23" s="29"/>
      <c r="M23" s="152"/>
      <c r="N23" s="152"/>
      <c r="O23" s="152"/>
    </row>
    <row r="24" spans="1:15" ht="14.25" customHeight="1" x14ac:dyDescent="0.25">
      <c r="A24" s="119" t="s">
        <v>85</v>
      </c>
      <c r="B24" s="30">
        <v>12000</v>
      </c>
      <c r="C24" s="119" t="s">
        <v>420</v>
      </c>
      <c r="D24" s="29"/>
      <c r="E24" s="29"/>
      <c r="F24" s="29"/>
      <c r="G24" s="29"/>
      <c r="H24" s="29"/>
      <c r="I24" s="29"/>
      <c r="J24" s="29"/>
      <c r="K24" s="29"/>
      <c r="L24" s="29"/>
      <c r="M24" s="114"/>
      <c r="N24" s="114"/>
      <c r="O24" s="114"/>
    </row>
    <row r="25" spans="1:15" ht="14.25" customHeight="1" x14ac:dyDescent="0.25"/>
    <row r="26" spans="1:15" ht="14.25" customHeight="1" x14ac:dyDescent="0.25"/>
    <row r="27" spans="1:15" ht="14.25" customHeight="1" x14ac:dyDescent="0.25"/>
    <row r="28" spans="1:15" ht="14.25" customHeight="1" x14ac:dyDescent="0.25"/>
    <row r="29" spans="1:15" ht="14.25" customHeight="1" x14ac:dyDescent="0.25"/>
    <row r="30" spans="1:15" ht="14.25" customHeight="1" x14ac:dyDescent="0.25"/>
    <row r="31" spans="1:15" ht="14.25" customHeight="1" x14ac:dyDescent="0.25">
      <c r="M31" s="1">
        <f>31805+2969-17702</f>
        <v>17072</v>
      </c>
    </row>
  </sheetData>
  <pageMargins left="0.7" right="0.7" top="0.75" bottom="0.75" header="0" footer="0"/>
  <pageSetup orientation="landscape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O34"/>
  <sheetViews>
    <sheetView workbookViewId="0">
      <selection activeCell="D17" sqref="D17"/>
    </sheetView>
  </sheetViews>
  <sheetFormatPr defaultColWidth="14.42578125" defaultRowHeight="15" customHeight="1" x14ac:dyDescent="0.25"/>
  <cols>
    <col min="1" max="1" width="12.7109375" customWidth="1"/>
    <col min="2" max="2" width="20.85546875" customWidth="1"/>
    <col min="3" max="3" width="21.7109375" customWidth="1"/>
    <col min="4" max="4" width="10.5703125" customWidth="1"/>
    <col min="5" max="5" width="9.85546875" customWidth="1"/>
    <col min="6" max="6" width="20.140625" customWidth="1"/>
    <col min="7" max="7" width="16.7109375" customWidth="1"/>
    <col min="8" max="9" width="15.140625" customWidth="1"/>
    <col min="10" max="10" width="7.5703125" customWidth="1"/>
    <col min="11" max="11" width="15.140625" customWidth="1"/>
    <col min="13" max="13" width="32.7109375" customWidth="1"/>
    <col min="14" max="14" width="13" customWidth="1"/>
  </cols>
  <sheetData>
    <row r="1" spans="1:15" ht="14.25" customHeight="1" x14ac:dyDescent="0.25">
      <c r="A1" s="49" t="s">
        <v>287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 t="s">
        <v>128</v>
      </c>
      <c r="M1" s="154" t="s">
        <v>451</v>
      </c>
      <c r="N1" s="151">
        <v>17072</v>
      </c>
    </row>
    <row r="2" spans="1:15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>
        <v>300</v>
      </c>
      <c r="L2" s="158" t="s">
        <v>311</v>
      </c>
      <c r="M2" s="148" t="s">
        <v>446</v>
      </c>
      <c r="N2" s="149"/>
    </row>
    <row r="3" spans="1:15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>
        <v>300</v>
      </c>
      <c r="L3" s="158" t="s">
        <v>311</v>
      </c>
      <c r="M3" s="148"/>
      <c r="N3" s="148"/>
    </row>
    <row r="4" spans="1:15" ht="14.25" customHeight="1" x14ac:dyDescent="0.25">
      <c r="A4" s="32" t="s">
        <v>68</v>
      </c>
      <c r="B4" s="30">
        <v>79.97</v>
      </c>
      <c r="C4" s="30">
        <v>82.04</v>
      </c>
      <c r="D4" s="29">
        <f t="shared" ref="D4:D20" si="1">(C4-B4)*1000</f>
        <v>2070.0000000000073</v>
      </c>
      <c r="E4" s="64">
        <f>ROUND(D4*D23,0)</f>
        <v>176</v>
      </c>
      <c r="F4" s="29">
        <v>1200</v>
      </c>
      <c r="G4" s="29">
        <f t="shared" ref="G4:G19" si="2">SUM(E4,F4)</f>
        <v>1376</v>
      </c>
      <c r="H4" s="29">
        <v>50</v>
      </c>
      <c r="I4" s="29">
        <v>0</v>
      </c>
      <c r="J4" s="29">
        <f t="shared" ref="J4:J19" si="3">G4+H4+I4</f>
        <v>1426</v>
      </c>
      <c r="K4" s="156">
        <v>1426</v>
      </c>
      <c r="L4" s="158" t="s">
        <v>311</v>
      </c>
      <c r="M4" s="160"/>
      <c r="N4" s="160"/>
    </row>
    <row r="5" spans="1:15" ht="14.25" customHeight="1" x14ac:dyDescent="0.25">
      <c r="A5" s="32" t="s">
        <v>70</v>
      </c>
      <c r="B5" s="30">
        <v>172.48</v>
      </c>
      <c r="C5" s="30">
        <v>177.11</v>
      </c>
      <c r="D5" s="29">
        <f t="shared" si="1"/>
        <v>4630.0000000000236</v>
      </c>
      <c r="E5" s="64">
        <f>ROUND(D5*D23,0)</f>
        <v>393</v>
      </c>
      <c r="F5" s="29">
        <v>1200</v>
      </c>
      <c r="G5" s="29">
        <f t="shared" si="2"/>
        <v>1593</v>
      </c>
      <c r="H5" s="29">
        <v>50</v>
      </c>
      <c r="I5" s="29">
        <v>0</v>
      </c>
      <c r="J5" s="29">
        <f t="shared" si="3"/>
        <v>1643</v>
      </c>
      <c r="K5" s="29">
        <v>1643</v>
      </c>
      <c r="L5" s="158" t="s">
        <v>311</v>
      </c>
      <c r="M5" s="114"/>
      <c r="N5" s="114"/>
    </row>
    <row r="6" spans="1:15" ht="14.25" customHeight="1" x14ac:dyDescent="0.25">
      <c r="A6" s="32" t="s">
        <v>16</v>
      </c>
      <c r="B6" s="30">
        <v>353.79</v>
      </c>
      <c r="C6" s="30">
        <v>361.71</v>
      </c>
      <c r="D6" s="29">
        <f t="shared" si="1"/>
        <v>7919.9999999999591</v>
      </c>
      <c r="E6" s="64">
        <f>ROUND(D6*D23,0)</f>
        <v>672</v>
      </c>
      <c r="F6" s="29">
        <v>1200</v>
      </c>
      <c r="G6" s="29">
        <f t="shared" si="2"/>
        <v>1872</v>
      </c>
      <c r="H6" s="29">
        <v>50</v>
      </c>
      <c r="I6" s="29">
        <v>0</v>
      </c>
      <c r="J6" s="29">
        <f t="shared" si="3"/>
        <v>1922</v>
      </c>
      <c r="K6" s="29">
        <v>1922</v>
      </c>
      <c r="L6" s="158" t="s">
        <v>311</v>
      </c>
      <c r="M6" s="114"/>
      <c r="N6" s="114"/>
    </row>
    <row r="7" spans="1:15" ht="14.25" customHeight="1" x14ac:dyDescent="0.25">
      <c r="A7" s="32" t="s">
        <v>13</v>
      </c>
      <c r="B7" s="30">
        <v>274.42</v>
      </c>
      <c r="C7" s="30">
        <v>282.52</v>
      </c>
      <c r="D7" s="29">
        <f t="shared" si="1"/>
        <v>8099.9999999999654</v>
      </c>
      <c r="E7" s="64">
        <f>ROUND(D7*D23,0)</f>
        <v>687</v>
      </c>
      <c r="F7" s="29">
        <v>1200</v>
      </c>
      <c r="G7" s="29">
        <f t="shared" si="2"/>
        <v>1887</v>
      </c>
      <c r="H7" s="29">
        <v>50</v>
      </c>
      <c r="I7" s="29">
        <v>0</v>
      </c>
      <c r="J7" s="29">
        <f t="shared" si="3"/>
        <v>1937</v>
      </c>
      <c r="K7" s="29">
        <v>1937</v>
      </c>
      <c r="L7" s="158" t="s">
        <v>311</v>
      </c>
      <c r="M7" s="114"/>
      <c r="N7" s="114"/>
    </row>
    <row r="8" spans="1:15" ht="14.25" customHeight="1" x14ac:dyDescent="0.25">
      <c r="A8" s="32">
        <v>101</v>
      </c>
      <c r="B8" s="30">
        <v>26.89</v>
      </c>
      <c r="C8" s="30">
        <v>33.06</v>
      </c>
      <c r="D8" s="29">
        <f t="shared" si="1"/>
        <v>6170.0000000000018</v>
      </c>
      <c r="E8" s="64">
        <f>ROUND(D8*D23,0)</f>
        <v>523</v>
      </c>
      <c r="F8" s="29">
        <v>1200</v>
      </c>
      <c r="G8" s="29">
        <f t="shared" si="2"/>
        <v>1723</v>
      </c>
      <c r="H8" s="29">
        <v>50</v>
      </c>
      <c r="I8" s="29">
        <v>0</v>
      </c>
      <c r="J8" s="29">
        <f t="shared" si="3"/>
        <v>1773</v>
      </c>
      <c r="K8" s="29">
        <v>1773</v>
      </c>
      <c r="L8" s="158" t="s">
        <v>311</v>
      </c>
      <c r="M8" s="153" t="s">
        <v>239</v>
      </c>
      <c r="N8" s="153"/>
    </row>
    <row r="9" spans="1:15" ht="14.25" customHeight="1" x14ac:dyDescent="0.25">
      <c r="A9" s="32">
        <v>102</v>
      </c>
      <c r="B9" s="30">
        <v>522.05999999999995</v>
      </c>
      <c r="C9" s="30">
        <v>526.44000000000005</v>
      </c>
      <c r="D9" s="29">
        <f t="shared" si="1"/>
        <v>4380.0000000001091</v>
      </c>
      <c r="E9" s="64">
        <f>ROUND(D9*D23,0)</f>
        <v>371</v>
      </c>
      <c r="F9" s="29">
        <v>1200</v>
      </c>
      <c r="G9" s="29">
        <f t="shared" si="2"/>
        <v>1571</v>
      </c>
      <c r="H9" s="29">
        <v>50</v>
      </c>
      <c r="I9" s="29">
        <v>0</v>
      </c>
      <c r="J9" s="29">
        <f t="shared" si="3"/>
        <v>1621</v>
      </c>
      <c r="K9" s="29">
        <v>1621</v>
      </c>
      <c r="L9" s="158" t="s">
        <v>311</v>
      </c>
      <c r="M9" s="114" t="s">
        <v>489</v>
      </c>
      <c r="N9" s="128">
        <v>6500</v>
      </c>
      <c r="O9" s="162">
        <v>45325</v>
      </c>
    </row>
    <row r="10" spans="1:15" ht="14.25" customHeight="1" x14ac:dyDescent="0.25">
      <c r="A10" s="32">
        <v>103</v>
      </c>
      <c r="B10" s="30">
        <v>180.89</v>
      </c>
      <c r="C10" s="30">
        <v>186.7</v>
      </c>
      <c r="D10" s="29">
        <f t="shared" si="1"/>
        <v>5810.0000000000018</v>
      </c>
      <c r="E10" s="64">
        <f>ROUND(D10*D23,0)</f>
        <v>493</v>
      </c>
      <c r="F10" s="29">
        <v>1200</v>
      </c>
      <c r="G10" s="29">
        <f t="shared" si="2"/>
        <v>1693</v>
      </c>
      <c r="H10" s="29">
        <v>50</v>
      </c>
      <c r="I10" s="29">
        <v>0</v>
      </c>
      <c r="J10" s="29">
        <f t="shared" si="3"/>
        <v>1743</v>
      </c>
      <c r="K10" s="29">
        <v>1743</v>
      </c>
      <c r="L10" s="158" t="s">
        <v>311</v>
      </c>
      <c r="M10" s="160" t="s">
        <v>490</v>
      </c>
      <c r="N10" s="160">
        <v>11000</v>
      </c>
      <c r="O10" s="162">
        <v>45325</v>
      </c>
    </row>
    <row r="11" spans="1:15" ht="14.25" customHeight="1" x14ac:dyDescent="0.25">
      <c r="A11" s="32">
        <v>104</v>
      </c>
      <c r="B11" s="30">
        <v>401.86</v>
      </c>
      <c r="C11" s="30">
        <v>415.74</v>
      </c>
      <c r="D11" s="29">
        <f t="shared" si="1"/>
        <v>13879.999999999996</v>
      </c>
      <c r="E11" s="64">
        <f>ROUND(D11*D23,0)</f>
        <v>1177</v>
      </c>
      <c r="F11" s="29">
        <v>1200</v>
      </c>
      <c r="G11" s="29">
        <f t="shared" si="2"/>
        <v>2377</v>
      </c>
      <c r="H11" s="29">
        <v>50</v>
      </c>
      <c r="I11" s="29">
        <v>0</v>
      </c>
      <c r="J11" s="29">
        <f t="shared" si="3"/>
        <v>2427</v>
      </c>
      <c r="K11" s="29">
        <v>2427</v>
      </c>
      <c r="L11" s="158" t="s">
        <v>311</v>
      </c>
      <c r="M11" s="160" t="s">
        <v>491</v>
      </c>
      <c r="N11" s="160">
        <v>2042</v>
      </c>
      <c r="O11" s="162">
        <v>45325</v>
      </c>
    </row>
    <row r="12" spans="1:15" ht="14.25" customHeight="1" x14ac:dyDescent="0.25">
      <c r="A12" s="32">
        <v>201</v>
      </c>
      <c r="B12" s="30">
        <v>86.67</v>
      </c>
      <c r="C12" s="30">
        <v>93.13</v>
      </c>
      <c r="D12" s="29">
        <f t="shared" si="1"/>
        <v>6459.9999999999936</v>
      </c>
      <c r="E12" s="64">
        <f>ROUND(D12*D23,0)</f>
        <v>548</v>
      </c>
      <c r="F12" s="29">
        <v>1200</v>
      </c>
      <c r="G12" s="29">
        <f t="shared" si="2"/>
        <v>1748</v>
      </c>
      <c r="H12" s="29">
        <v>50</v>
      </c>
      <c r="I12" s="29">
        <v>0</v>
      </c>
      <c r="J12" s="29">
        <f t="shared" si="3"/>
        <v>1798</v>
      </c>
      <c r="K12" s="29">
        <v>1798</v>
      </c>
      <c r="L12" s="158" t="s">
        <v>311</v>
      </c>
      <c r="M12" s="160" t="s">
        <v>492</v>
      </c>
      <c r="N12" s="160">
        <v>2044</v>
      </c>
      <c r="O12" s="162">
        <v>45325</v>
      </c>
    </row>
    <row r="13" spans="1:15" ht="14.25" customHeight="1" x14ac:dyDescent="0.25">
      <c r="A13" s="32">
        <v>202</v>
      </c>
      <c r="B13" s="30">
        <v>251.57</v>
      </c>
      <c r="C13" s="30">
        <v>253.51</v>
      </c>
      <c r="D13" s="29">
        <f t="shared" si="1"/>
        <v>1939.9999999999977</v>
      </c>
      <c r="E13" s="64">
        <f>ROUND(D13*D23,0)</f>
        <v>164</v>
      </c>
      <c r="F13" s="29">
        <v>1200</v>
      </c>
      <c r="G13" s="29">
        <f t="shared" si="2"/>
        <v>1364</v>
      </c>
      <c r="H13" s="29">
        <v>50</v>
      </c>
      <c r="I13" s="29">
        <v>0</v>
      </c>
      <c r="J13" s="29">
        <f t="shared" si="3"/>
        <v>1414</v>
      </c>
      <c r="K13" s="29">
        <v>1414</v>
      </c>
      <c r="L13" s="158" t="s">
        <v>311</v>
      </c>
      <c r="M13" s="114" t="s">
        <v>493</v>
      </c>
      <c r="N13" s="114">
        <v>200</v>
      </c>
      <c r="O13" s="162">
        <v>45326</v>
      </c>
    </row>
    <row r="14" spans="1:15" ht="14.25" customHeight="1" x14ac:dyDescent="0.25">
      <c r="A14" s="32">
        <v>203</v>
      </c>
      <c r="B14" s="30">
        <v>319.42</v>
      </c>
      <c r="C14" s="30">
        <v>329.24</v>
      </c>
      <c r="D14" s="29">
        <f t="shared" si="1"/>
        <v>9819.9999999999927</v>
      </c>
      <c r="E14" s="64">
        <f>ROUND(D14*D23,0)</f>
        <v>833</v>
      </c>
      <c r="F14" s="29">
        <v>1200</v>
      </c>
      <c r="G14" s="29">
        <f t="shared" si="2"/>
        <v>2033</v>
      </c>
      <c r="H14" s="29">
        <v>50</v>
      </c>
      <c r="I14" s="29">
        <v>0</v>
      </c>
      <c r="J14" s="29">
        <f t="shared" si="3"/>
        <v>2083</v>
      </c>
      <c r="K14" s="29">
        <v>2083</v>
      </c>
      <c r="L14" s="158" t="s">
        <v>311</v>
      </c>
      <c r="M14" s="114" t="s">
        <v>494</v>
      </c>
      <c r="N14" s="114">
        <v>500</v>
      </c>
      <c r="O14" s="162">
        <v>45328</v>
      </c>
    </row>
    <row r="15" spans="1:15" ht="14.25" customHeight="1" x14ac:dyDescent="0.25">
      <c r="A15" s="32">
        <v>204</v>
      </c>
      <c r="B15" s="30">
        <v>231.95</v>
      </c>
      <c r="C15" s="30">
        <v>237.2</v>
      </c>
      <c r="D15" s="29">
        <f t="shared" si="1"/>
        <v>5250</v>
      </c>
      <c r="E15" s="64">
        <f>ROUND(D15*D23,0)</f>
        <v>445</v>
      </c>
      <c r="F15" s="29">
        <v>1200</v>
      </c>
      <c r="G15" s="29">
        <f t="shared" si="2"/>
        <v>1645</v>
      </c>
      <c r="H15" s="29">
        <v>50</v>
      </c>
      <c r="I15" s="29">
        <v>0</v>
      </c>
      <c r="J15" s="29">
        <f t="shared" si="3"/>
        <v>1695</v>
      </c>
      <c r="K15" s="29">
        <v>1695</v>
      </c>
      <c r="L15" s="158" t="s">
        <v>311</v>
      </c>
      <c r="M15" s="114" t="s">
        <v>495</v>
      </c>
      <c r="N15" s="114">
        <v>170</v>
      </c>
      <c r="O15" s="162">
        <v>45350</v>
      </c>
    </row>
    <row r="16" spans="1:15" ht="14.25" customHeight="1" x14ac:dyDescent="0.25">
      <c r="A16" s="32">
        <v>301</v>
      </c>
      <c r="B16" s="30">
        <v>33.64</v>
      </c>
      <c r="C16" s="30">
        <v>37.409999999999997</v>
      </c>
      <c r="D16" s="29">
        <f t="shared" si="1"/>
        <v>3769.9999999999959</v>
      </c>
      <c r="E16" s="64">
        <f>ROUND(D16*D23,0)</f>
        <v>320</v>
      </c>
      <c r="F16" s="29">
        <v>1200</v>
      </c>
      <c r="G16" s="29">
        <f t="shared" si="2"/>
        <v>1520</v>
      </c>
      <c r="H16" s="29">
        <v>50</v>
      </c>
      <c r="I16" s="29">
        <v>0</v>
      </c>
      <c r="J16" s="29">
        <f t="shared" si="3"/>
        <v>1570</v>
      </c>
      <c r="K16" s="29">
        <v>1570</v>
      </c>
      <c r="L16" s="158" t="s">
        <v>311</v>
      </c>
      <c r="M16" s="114"/>
      <c r="N16" s="114"/>
    </row>
    <row r="17" spans="1:14" ht="14.25" customHeight="1" x14ac:dyDescent="0.25">
      <c r="A17" s="32">
        <v>302</v>
      </c>
      <c r="B17" s="30">
        <v>124.47</v>
      </c>
      <c r="C17" s="30">
        <v>131.31</v>
      </c>
      <c r="D17" s="29">
        <f t="shared" si="1"/>
        <v>6840.0000000000036</v>
      </c>
      <c r="E17" s="64">
        <f>ROUND(D17*D23,0)</f>
        <v>580</v>
      </c>
      <c r="F17" s="29">
        <v>1200</v>
      </c>
      <c r="G17" s="29">
        <f t="shared" si="2"/>
        <v>1780</v>
      </c>
      <c r="H17" s="29">
        <v>50</v>
      </c>
      <c r="I17" s="29">
        <v>0</v>
      </c>
      <c r="J17" s="29">
        <f t="shared" si="3"/>
        <v>1830</v>
      </c>
      <c r="K17" s="29">
        <v>1830</v>
      </c>
      <c r="L17" s="158" t="s">
        <v>311</v>
      </c>
      <c r="M17" s="160"/>
      <c r="N17" s="114"/>
    </row>
    <row r="18" spans="1:14" ht="14.25" customHeight="1" x14ac:dyDescent="0.25">
      <c r="A18" s="32">
        <v>303</v>
      </c>
      <c r="B18" s="30">
        <v>770.27</v>
      </c>
      <c r="C18" s="30">
        <v>789.74</v>
      </c>
      <c r="D18" s="29">
        <f t="shared" si="1"/>
        <v>19470.000000000029</v>
      </c>
      <c r="E18" s="64">
        <f>ROUND(D18*D23,0)</f>
        <v>1651</v>
      </c>
      <c r="F18" s="29">
        <v>1200</v>
      </c>
      <c r="G18" s="29">
        <f t="shared" si="2"/>
        <v>2851</v>
      </c>
      <c r="H18" s="29">
        <v>50</v>
      </c>
      <c r="I18" s="29">
        <v>0</v>
      </c>
      <c r="J18" s="29">
        <f t="shared" si="3"/>
        <v>2901</v>
      </c>
      <c r="K18" s="29">
        <v>2901</v>
      </c>
      <c r="L18" s="158" t="s">
        <v>311</v>
      </c>
      <c r="M18" s="114"/>
      <c r="N18" s="114"/>
    </row>
    <row r="19" spans="1:14" ht="14.25" customHeight="1" x14ac:dyDescent="0.25">
      <c r="A19" s="32">
        <v>304</v>
      </c>
      <c r="B19" s="30">
        <v>227.82</v>
      </c>
      <c r="C19" s="30">
        <v>240.48</v>
      </c>
      <c r="D19" s="29">
        <f t="shared" si="1"/>
        <v>12659.999999999996</v>
      </c>
      <c r="E19" s="64">
        <f>ROUND(D19*D23,0)</f>
        <v>1073</v>
      </c>
      <c r="F19" s="29">
        <v>1200</v>
      </c>
      <c r="G19" s="29">
        <f t="shared" si="2"/>
        <v>2273</v>
      </c>
      <c r="H19" s="29">
        <v>50</v>
      </c>
      <c r="I19" s="29">
        <v>0</v>
      </c>
      <c r="J19" s="29">
        <f t="shared" si="3"/>
        <v>2323</v>
      </c>
      <c r="K19" s="29">
        <v>2323</v>
      </c>
      <c r="L19" s="158" t="s">
        <v>311</v>
      </c>
      <c r="M19" s="156"/>
      <c r="N19" s="114"/>
    </row>
    <row r="20" spans="1:14" ht="14.25" customHeight="1" x14ac:dyDescent="0.25">
      <c r="A20" s="29" t="s">
        <v>287</v>
      </c>
      <c r="B20" s="30">
        <v>237.55</v>
      </c>
      <c r="C20" s="30">
        <v>248.11799999999999</v>
      </c>
      <c r="D20" s="29">
        <f t="shared" si="1"/>
        <v>10567.999999999984</v>
      </c>
      <c r="E20" s="64">
        <v>0</v>
      </c>
      <c r="F20" s="123">
        <v>0</v>
      </c>
      <c r="G20" s="29"/>
      <c r="H20" s="29">
        <v>0</v>
      </c>
      <c r="I20" s="29"/>
      <c r="J20" s="29">
        <f>G20+H20</f>
        <v>0</v>
      </c>
      <c r="K20" s="29"/>
      <c r="L20" s="51"/>
      <c r="M20" s="114"/>
      <c r="N20" s="114"/>
    </row>
    <row r="21" spans="1:14" ht="14.25" customHeight="1" x14ac:dyDescent="0.25">
      <c r="A21" s="29"/>
      <c r="B21" s="29"/>
      <c r="C21" s="29"/>
      <c r="D21" s="29"/>
      <c r="E21" s="49"/>
      <c r="F21" s="49"/>
      <c r="G21" s="49"/>
      <c r="H21" s="49">
        <f>SUM(H2:H20)</f>
        <v>800</v>
      </c>
      <c r="I21" s="49"/>
      <c r="J21" s="49">
        <f>SUM(J2:J20)</f>
        <v>30706</v>
      </c>
      <c r="K21" s="49">
        <f>SUM(K2:K19)</f>
        <v>30706</v>
      </c>
      <c r="L21" s="29"/>
      <c r="M21" s="114"/>
      <c r="N21" s="114"/>
    </row>
    <row r="22" spans="1:14" ht="14.25" customHeight="1" x14ac:dyDescent="0.25">
      <c r="A22" s="29"/>
      <c r="B22" s="29" t="s">
        <v>75</v>
      </c>
      <c r="C22" s="29"/>
      <c r="D22" s="30">
        <f>SUM(D4:D20)</f>
        <v>129738.00000000006</v>
      </c>
      <c r="E22" s="29">
        <f>SUM(E4:E19)</f>
        <v>10106</v>
      </c>
      <c r="F22" s="29"/>
      <c r="G22" s="29"/>
      <c r="H22" s="29"/>
      <c r="I22" s="29"/>
      <c r="J22" s="29"/>
      <c r="K22" s="29"/>
      <c r="L22" s="29"/>
      <c r="M22" s="121" t="s">
        <v>488</v>
      </c>
      <c r="N22" s="121">
        <v>22456</v>
      </c>
    </row>
    <row r="23" spans="1:14" ht="14.25" customHeight="1" x14ac:dyDescent="0.25">
      <c r="A23" s="29"/>
      <c r="B23" s="29" t="s">
        <v>243</v>
      </c>
      <c r="C23" s="119" t="s">
        <v>244</v>
      </c>
      <c r="D23" s="111">
        <f>B24/D22</f>
        <v>8.4786261542493288E-2</v>
      </c>
      <c r="E23" s="29"/>
      <c r="F23" s="29"/>
      <c r="G23" s="29" t="s">
        <v>205</v>
      </c>
      <c r="H23" s="29">
        <f>(K21+N1)-N22</f>
        <v>25322</v>
      </c>
      <c r="I23" s="29"/>
      <c r="J23" s="29"/>
      <c r="K23" s="29"/>
      <c r="L23" s="29"/>
      <c r="M23" s="152"/>
      <c r="N23" s="152"/>
    </row>
    <row r="24" spans="1:14" ht="14.25" customHeight="1" x14ac:dyDescent="0.25">
      <c r="A24" s="119" t="s">
        <v>85</v>
      </c>
      <c r="B24" s="30">
        <v>11000</v>
      </c>
      <c r="C24" s="119" t="s">
        <v>381</v>
      </c>
      <c r="D24" s="29"/>
      <c r="E24" s="29"/>
      <c r="F24" s="29"/>
      <c r="G24" s="29"/>
      <c r="H24" s="29"/>
      <c r="I24" s="29"/>
      <c r="J24" s="29"/>
      <c r="K24" s="29"/>
      <c r="L24" s="29"/>
      <c r="M24" s="114"/>
      <c r="N24" s="114"/>
    </row>
    <row r="34" spans="13:13" ht="14.25" customHeight="1" x14ac:dyDescent="0.25">
      <c r="M34" s="1" t="s">
        <v>496</v>
      </c>
    </row>
  </sheetData>
  <pageMargins left="0.7" right="0.7" top="0.75" bottom="0.75" header="0" footer="0"/>
  <pageSetup orientation="landscape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O24"/>
  <sheetViews>
    <sheetView workbookViewId="0">
      <selection activeCell="D17" sqref="D17"/>
    </sheetView>
  </sheetViews>
  <sheetFormatPr defaultColWidth="14.42578125" defaultRowHeight="15" customHeight="1" x14ac:dyDescent="0.25"/>
  <cols>
    <col min="1" max="1" width="12.7109375" customWidth="1"/>
    <col min="2" max="2" width="20.85546875" customWidth="1"/>
    <col min="3" max="3" width="21.7109375" customWidth="1"/>
    <col min="4" max="4" width="10.5703125" customWidth="1"/>
    <col min="5" max="5" width="9.85546875" customWidth="1"/>
    <col min="6" max="6" width="20.140625" customWidth="1"/>
    <col min="7" max="7" width="16.7109375" customWidth="1"/>
    <col min="8" max="9" width="15.140625" customWidth="1"/>
    <col min="10" max="10" width="7.5703125" customWidth="1"/>
    <col min="11" max="11" width="15.140625" customWidth="1"/>
    <col min="13" max="13" width="32.7109375" customWidth="1"/>
    <col min="14" max="14" width="13" customWidth="1"/>
  </cols>
  <sheetData>
    <row r="1" spans="1:15" ht="14.25" customHeight="1" x14ac:dyDescent="0.25">
      <c r="A1" s="49" t="s">
        <v>287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 t="s">
        <v>128</v>
      </c>
      <c r="M1" s="154" t="s">
        <v>451</v>
      </c>
      <c r="N1" s="151">
        <v>25322</v>
      </c>
    </row>
    <row r="2" spans="1:15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>
        <v>300</v>
      </c>
      <c r="L2" s="158"/>
      <c r="M2" s="148" t="s">
        <v>446</v>
      </c>
      <c r="N2" s="149"/>
    </row>
    <row r="3" spans="1:15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>
        <v>300</v>
      </c>
      <c r="L3" s="158"/>
      <c r="M3" s="148"/>
      <c r="N3" s="148"/>
    </row>
    <row r="4" spans="1:15" ht="14.25" customHeight="1" x14ac:dyDescent="0.25">
      <c r="A4" s="32" t="s">
        <v>68</v>
      </c>
      <c r="B4" s="30">
        <v>82.04</v>
      </c>
      <c r="C4" s="30">
        <v>84.54</v>
      </c>
      <c r="D4" s="29">
        <f t="shared" ref="D4:D20" si="1">(C4-B4)*1000</f>
        <v>2500</v>
      </c>
      <c r="E4" s="64">
        <f>ROUND(D4*D23,0)</f>
        <v>224</v>
      </c>
      <c r="F4" s="29">
        <v>1200</v>
      </c>
      <c r="G4" s="29">
        <f t="shared" ref="G4:G19" si="2">SUM(E4,F4)</f>
        <v>1424</v>
      </c>
      <c r="H4" s="29">
        <v>50</v>
      </c>
      <c r="I4" s="29">
        <v>0</v>
      </c>
      <c r="J4" s="29">
        <f t="shared" ref="J4:J19" si="3">G4+H4+I4</f>
        <v>1474</v>
      </c>
      <c r="K4" s="156">
        <v>1474</v>
      </c>
      <c r="L4" s="158"/>
      <c r="M4" s="160"/>
      <c r="N4" s="160"/>
    </row>
    <row r="5" spans="1:15" ht="14.25" customHeight="1" x14ac:dyDescent="0.25">
      <c r="A5" s="32" t="s">
        <v>70</v>
      </c>
      <c r="B5" s="30">
        <v>177.11</v>
      </c>
      <c r="C5" s="30">
        <v>182.07</v>
      </c>
      <c r="D5" s="29">
        <f t="shared" si="1"/>
        <v>4959.99999999998</v>
      </c>
      <c r="E5" s="64">
        <f>ROUND(D5*D23,0)</f>
        <v>445</v>
      </c>
      <c r="F5" s="29">
        <v>1200</v>
      </c>
      <c r="G5" s="29">
        <f t="shared" si="2"/>
        <v>1645</v>
      </c>
      <c r="H5" s="29">
        <v>50</v>
      </c>
      <c r="I5" s="29">
        <v>0</v>
      </c>
      <c r="J5" s="29">
        <f t="shared" si="3"/>
        <v>1695</v>
      </c>
      <c r="K5" s="29">
        <v>1695</v>
      </c>
      <c r="L5" s="158"/>
      <c r="M5" s="114"/>
      <c r="N5" s="114"/>
    </row>
    <row r="6" spans="1:15" ht="14.25" customHeight="1" x14ac:dyDescent="0.25">
      <c r="A6" s="32" t="s">
        <v>16</v>
      </c>
      <c r="B6" s="30">
        <v>361.71</v>
      </c>
      <c r="C6" s="30">
        <v>370.36</v>
      </c>
      <c r="D6" s="29">
        <f t="shared" si="1"/>
        <v>8650.0000000000346</v>
      </c>
      <c r="E6" s="64">
        <f>ROUND(D6*D23,0)</f>
        <v>776</v>
      </c>
      <c r="F6" s="29">
        <v>1200</v>
      </c>
      <c r="G6" s="29">
        <f t="shared" si="2"/>
        <v>1976</v>
      </c>
      <c r="H6" s="29">
        <v>50</v>
      </c>
      <c r="I6" s="29">
        <v>0</v>
      </c>
      <c r="J6" s="29">
        <f t="shared" si="3"/>
        <v>2026</v>
      </c>
      <c r="K6" s="29">
        <v>2026</v>
      </c>
      <c r="L6" s="158"/>
      <c r="M6" s="114"/>
      <c r="N6" s="114"/>
    </row>
    <row r="7" spans="1:15" ht="14.25" customHeight="1" x14ac:dyDescent="0.25">
      <c r="A7" s="32" t="s">
        <v>13</v>
      </c>
      <c r="B7" s="30">
        <v>282.52</v>
      </c>
      <c r="C7" s="30">
        <v>289.33999999999997</v>
      </c>
      <c r="D7" s="29">
        <f t="shared" si="1"/>
        <v>6819.9999999999927</v>
      </c>
      <c r="E7" s="64">
        <f>ROUND(D7*D23,0)</f>
        <v>611</v>
      </c>
      <c r="F7" s="29">
        <v>1200</v>
      </c>
      <c r="G7" s="29">
        <f t="shared" si="2"/>
        <v>1811</v>
      </c>
      <c r="H7" s="29">
        <v>50</v>
      </c>
      <c r="I7" s="29">
        <v>0</v>
      </c>
      <c r="J7" s="29">
        <f t="shared" si="3"/>
        <v>1861</v>
      </c>
      <c r="K7" s="29">
        <v>1861</v>
      </c>
      <c r="L7" s="158"/>
      <c r="M7" s="114"/>
      <c r="N7" s="114"/>
    </row>
    <row r="8" spans="1:15" ht="14.25" customHeight="1" x14ac:dyDescent="0.25">
      <c r="A8" s="32">
        <v>101</v>
      </c>
      <c r="B8" s="30">
        <v>33.06</v>
      </c>
      <c r="C8" s="30">
        <v>39.869999999999997</v>
      </c>
      <c r="D8" s="29">
        <f t="shared" si="1"/>
        <v>6809.9999999999955</v>
      </c>
      <c r="E8" s="64">
        <f>ROUND(D8*D23,0)</f>
        <v>611</v>
      </c>
      <c r="F8" s="29">
        <v>1200</v>
      </c>
      <c r="G8" s="29">
        <f t="shared" si="2"/>
        <v>1811</v>
      </c>
      <c r="H8" s="29">
        <v>50</v>
      </c>
      <c r="I8" s="29">
        <v>0</v>
      </c>
      <c r="J8" s="29">
        <f t="shared" si="3"/>
        <v>1861</v>
      </c>
      <c r="K8" s="29">
        <v>1861</v>
      </c>
      <c r="L8" s="158"/>
      <c r="M8" s="153" t="s">
        <v>239</v>
      </c>
      <c r="N8" s="153"/>
    </row>
    <row r="9" spans="1:15" ht="14.25" customHeight="1" x14ac:dyDescent="0.25">
      <c r="A9" s="32">
        <v>102</v>
      </c>
      <c r="B9" s="30">
        <v>526.44000000000005</v>
      </c>
      <c r="C9" s="30">
        <v>540.15</v>
      </c>
      <c r="D9" s="29">
        <f t="shared" si="1"/>
        <v>13709.999999999924</v>
      </c>
      <c r="E9" s="64">
        <f>ROUND(D9*D23,0)</f>
        <v>1229</v>
      </c>
      <c r="F9" s="29">
        <v>1200</v>
      </c>
      <c r="G9" s="29">
        <f t="shared" si="2"/>
        <v>2429</v>
      </c>
      <c r="H9" s="29">
        <v>50</v>
      </c>
      <c r="I9" s="29">
        <v>0</v>
      </c>
      <c r="J9" s="29">
        <f t="shared" si="3"/>
        <v>2479</v>
      </c>
      <c r="K9" s="29">
        <v>2479</v>
      </c>
      <c r="L9" s="158"/>
      <c r="M9" s="114" t="s">
        <v>489</v>
      </c>
      <c r="N9" s="128">
        <v>6500</v>
      </c>
      <c r="O9" s="162">
        <v>45353</v>
      </c>
    </row>
    <row r="10" spans="1:15" ht="14.25" customHeight="1" x14ac:dyDescent="0.25">
      <c r="A10" s="32">
        <v>103</v>
      </c>
      <c r="B10" s="30">
        <v>186.7</v>
      </c>
      <c r="C10" s="30">
        <v>189.05</v>
      </c>
      <c r="D10" s="29">
        <f t="shared" si="1"/>
        <v>2350.0000000000227</v>
      </c>
      <c r="E10" s="64">
        <f>ROUND(D10*D23,0)</f>
        <v>211</v>
      </c>
      <c r="F10" s="29">
        <v>1200</v>
      </c>
      <c r="G10" s="29">
        <f t="shared" si="2"/>
        <v>1411</v>
      </c>
      <c r="H10" s="29">
        <v>50</v>
      </c>
      <c r="I10" s="29">
        <v>0</v>
      </c>
      <c r="J10" s="29">
        <f t="shared" si="3"/>
        <v>1461</v>
      </c>
      <c r="K10" s="29">
        <v>1461</v>
      </c>
      <c r="L10" s="158"/>
      <c r="M10" s="160" t="s">
        <v>497</v>
      </c>
      <c r="N10" s="160">
        <v>800</v>
      </c>
      <c r="O10" s="162">
        <v>45353</v>
      </c>
    </row>
    <row r="11" spans="1:15" ht="14.25" customHeight="1" x14ac:dyDescent="0.25">
      <c r="A11" s="32">
        <v>104</v>
      </c>
      <c r="B11" s="30">
        <v>415.74</v>
      </c>
      <c r="C11" s="30">
        <v>433.98</v>
      </c>
      <c r="D11" s="29">
        <f t="shared" si="1"/>
        <v>18240.000000000007</v>
      </c>
      <c r="E11" s="64">
        <f>ROUND(D11*D23,0)</f>
        <v>1635</v>
      </c>
      <c r="F11" s="29">
        <v>1200</v>
      </c>
      <c r="G11" s="29">
        <f t="shared" si="2"/>
        <v>2835</v>
      </c>
      <c r="H11" s="29">
        <v>50</v>
      </c>
      <c r="I11" s="29">
        <v>0</v>
      </c>
      <c r="J11" s="29">
        <f t="shared" si="3"/>
        <v>2885</v>
      </c>
      <c r="K11" s="29">
        <v>2885</v>
      </c>
      <c r="L11" s="158"/>
      <c r="M11" s="160" t="s">
        <v>498</v>
      </c>
      <c r="N11" s="160">
        <v>13000</v>
      </c>
      <c r="O11" s="162">
        <v>45353</v>
      </c>
    </row>
    <row r="12" spans="1:15" ht="14.25" customHeight="1" x14ac:dyDescent="0.25">
      <c r="A12" s="32">
        <v>201</v>
      </c>
      <c r="B12" s="30">
        <v>93.13</v>
      </c>
      <c r="C12" s="30">
        <v>98.63</v>
      </c>
      <c r="D12" s="29">
        <f t="shared" si="1"/>
        <v>5500</v>
      </c>
      <c r="E12" s="64">
        <f>ROUND(D12*D23,0)</f>
        <v>493</v>
      </c>
      <c r="F12" s="29">
        <v>1200</v>
      </c>
      <c r="G12" s="29">
        <f t="shared" si="2"/>
        <v>1693</v>
      </c>
      <c r="H12" s="29">
        <v>50</v>
      </c>
      <c r="I12" s="29">
        <v>0</v>
      </c>
      <c r="J12" s="29">
        <f t="shared" si="3"/>
        <v>1743</v>
      </c>
      <c r="K12" s="29">
        <v>1743</v>
      </c>
      <c r="L12" s="158"/>
      <c r="M12" s="160" t="s">
        <v>499</v>
      </c>
      <c r="N12" s="160">
        <v>2044</v>
      </c>
      <c r="O12" s="162">
        <v>45353</v>
      </c>
    </row>
    <row r="13" spans="1:15" ht="14.25" customHeight="1" x14ac:dyDescent="0.25">
      <c r="A13" s="32">
        <v>202</v>
      </c>
      <c r="B13" s="30">
        <v>253.51</v>
      </c>
      <c r="C13" s="30">
        <v>255.76</v>
      </c>
      <c r="D13" s="29">
        <f t="shared" si="1"/>
        <v>2250</v>
      </c>
      <c r="E13" s="64">
        <f>ROUND(D13*D23,0)</f>
        <v>202</v>
      </c>
      <c r="F13" s="29">
        <v>1200</v>
      </c>
      <c r="G13" s="29">
        <f t="shared" si="2"/>
        <v>1402</v>
      </c>
      <c r="H13" s="29">
        <v>50</v>
      </c>
      <c r="I13" s="29">
        <v>0</v>
      </c>
      <c r="J13" s="29">
        <f t="shared" si="3"/>
        <v>1452</v>
      </c>
      <c r="K13" s="29">
        <v>1452</v>
      </c>
      <c r="L13" s="158"/>
      <c r="M13" s="114" t="s">
        <v>500</v>
      </c>
      <c r="N13" s="114">
        <v>2310</v>
      </c>
      <c r="O13" s="162">
        <v>45356</v>
      </c>
    </row>
    <row r="14" spans="1:15" ht="14.25" customHeight="1" x14ac:dyDescent="0.25">
      <c r="A14" s="32">
        <v>203</v>
      </c>
      <c r="B14" s="30">
        <v>329.24</v>
      </c>
      <c r="C14" s="30">
        <v>341.92</v>
      </c>
      <c r="D14" s="29">
        <f t="shared" si="1"/>
        <v>12680.000000000007</v>
      </c>
      <c r="E14" s="64">
        <f>ROUND(D14*D23,0)</f>
        <v>1137</v>
      </c>
      <c r="F14" s="29">
        <v>1200</v>
      </c>
      <c r="G14" s="29">
        <f t="shared" si="2"/>
        <v>2337</v>
      </c>
      <c r="H14" s="29">
        <v>50</v>
      </c>
      <c r="I14" s="29">
        <v>0</v>
      </c>
      <c r="J14" s="29">
        <f t="shared" si="3"/>
        <v>2387</v>
      </c>
      <c r="K14" s="29">
        <v>2387</v>
      </c>
      <c r="L14" s="158"/>
      <c r="M14" s="114" t="s">
        <v>388</v>
      </c>
      <c r="N14" s="114">
        <v>500</v>
      </c>
      <c r="O14" s="162">
        <v>45359</v>
      </c>
    </row>
    <row r="15" spans="1:15" ht="14.25" customHeight="1" x14ac:dyDescent="0.25">
      <c r="A15" s="32">
        <v>204</v>
      </c>
      <c r="B15" s="30">
        <v>237.2</v>
      </c>
      <c r="C15" s="30">
        <v>241.94</v>
      </c>
      <c r="D15" s="29">
        <f t="shared" si="1"/>
        <v>4740.0000000000091</v>
      </c>
      <c r="E15" s="64">
        <f>ROUND(D15*D23,0)</f>
        <v>425</v>
      </c>
      <c r="F15" s="29">
        <v>1200</v>
      </c>
      <c r="G15" s="29">
        <f t="shared" si="2"/>
        <v>1625</v>
      </c>
      <c r="H15" s="29">
        <v>50</v>
      </c>
      <c r="I15" s="29">
        <v>0</v>
      </c>
      <c r="J15" s="29">
        <f t="shared" si="3"/>
        <v>1675</v>
      </c>
      <c r="K15" s="29">
        <v>1675</v>
      </c>
      <c r="L15" s="158"/>
      <c r="M15" s="114" t="s">
        <v>486</v>
      </c>
      <c r="N15" s="114">
        <v>120</v>
      </c>
      <c r="O15" s="162">
        <v>45371</v>
      </c>
    </row>
    <row r="16" spans="1:15" ht="14.25" customHeight="1" x14ac:dyDescent="0.25">
      <c r="A16" s="32">
        <v>301</v>
      </c>
      <c r="B16" s="30">
        <v>37.409999999999997</v>
      </c>
      <c r="C16" s="30">
        <v>41.8</v>
      </c>
      <c r="D16" s="29">
        <f t="shared" si="1"/>
        <v>4390.0000000000009</v>
      </c>
      <c r="E16" s="64">
        <f>ROUND(D16*D23,0)</f>
        <v>394</v>
      </c>
      <c r="F16" s="29">
        <v>1200</v>
      </c>
      <c r="G16" s="29">
        <f t="shared" si="2"/>
        <v>1594</v>
      </c>
      <c r="H16" s="29">
        <v>50</v>
      </c>
      <c r="I16" s="29">
        <v>0</v>
      </c>
      <c r="J16" s="29">
        <f t="shared" si="3"/>
        <v>1644</v>
      </c>
      <c r="K16" s="29">
        <v>1644</v>
      </c>
      <c r="L16" s="158"/>
      <c r="M16" s="114" t="s">
        <v>501</v>
      </c>
      <c r="N16" s="114">
        <v>6500</v>
      </c>
      <c r="O16" s="162">
        <v>45376</v>
      </c>
    </row>
    <row r="17" spans="1:15" ht="14.25" customHeight="1" x14ac:dyDescent="0.25">
      <c r="A17" s="32">
        <v>302</v>
      </c>
      <c r="B17" s="30">
        <v>131.31</v>
      </c>
      <c r="C17" s="30">
        <v>139.69999999999999</v>
      </c>
      <c r="D17" s="29">
        <f t="shared" si="1"/>
        <v>8389.9999999999854</v>
      </c>
      <c r="E17" s="64">
        <f>ROUND(D17*D23,0)</f>
        <v>752</v>
      </c>
      <c r="F17" s="29">
        <v>1200</v>
      </c>
      <c r="G17" s="29">
        <f t="shared" si="2"/>
        <v>1952</v>
      </c>
      <c r="H17" s="29">
        <v>50</v>
      </c>
      <c r="I17" s="29">
        <v>0</v>
      </c>
      <c r="J17" s="29">
        <f t="shared" si="3"/>
        <v>2002</v>
      </c>
      <c r="K17" s="29">
        <v>2002</v>
      </c>
      <c r="L17" s="158"/>
      <c r="M17" s="160" t="s">
        <v>502</v>
      </c>
      <c r="N17" s="114">
        <v>14000</v>
      </c>
      <c r="O17" s="162">
        <v>45382</v>
      </c>
    </row>
    <row r="18" spans="1:15" ht="14.25" customHeight="1" x14ac:dyDescent="0.25">
      <c r="A18" s="32">
        <v>303</v>
      </c>
      <c r="B18" s="30">
        <v>789.74</v>
      </c>
      <c r="C18" s="30">
        <v>812.22</v>
      </c>
      <c r="D18" s="29">
        <f t="shared" si="1"/>
        <v>22480.000000000018</v>
      </c>
      <c r="E18" s="64">
        <f>ROUND(D18*D23,0)</f>
        <v>2015</v>
      </c>
      <c r="F18" s="29">
        <v>1200</v>
      </c>
      <c r="G18" s="29">
        <f t="shared" si="2"/>
        <v>3215</v>
      </c>
      <c r="H18" s="29">
        <v>50</v>
      </c>
      <c r="I18" s="29">
        <v>0</v>
      </c>
      <c r="J18" s="29">
        <f t="shared" si="3"/>
        <v>3265</v>
      </c>
      <c r="K18" s="29">
        <v>3265</v>
      </c>
      <c r="L18" s="158"/>
      <c r="M18" s="114"/>
      <c r="N18" s="114"/>
    </row>
    <row r="19" spans="1:15" ht="14.25" customHeight="1" x14ac:dyDescent="0.25">
      <c r="A19" s="32">
        <v>304</v>
      </c>
      <c r="B19" s="30">
        <v>240.48</v>
      </c>
      <c r="C19" s="30">
        <v>249.75</v>
      </c>
      <c r="D19" s="29">
        <f t="shared" si="1"/>
        <v>9270.0000000000109</v>
      </c>
      <c r="E19" s="64">
        <f>ROUND(D19*D23,0)</f>
        <v>831</v>
      </c>
      <c r="F19" s="29">
        <v>1200</v>
      </c>
      <c r="G19" s="29">
        <f t="shared" si="2"/>
        <v>2031</v>
      </c>
      <c r="H19" s="29">
        <v>50</v>
      </c>
      <c r="I19" s="29">
        <v>0</v>
      </c>
      <c r="J19" s="29">
        <f t="shared" si="3"/>
        <v>2081</v>
      </c>
      <c r="K19" s="29">
        <v>2081</v>
      </c>
      <c r="L19" s="158"/>
      <c r="M19" s="156"/>
      <c r="N19" s="114"/>
    </row>
    <row r="20" spans="1:15" ht="14.25" customHeight="1" x14ac:dyDescent="0.25">
      <c r="A20" s="29" t="s">
        <v>287</v>
      </c>
      <c r="B20" s="30">
        <v>248.12</v>
      </c>
      <c r="C20" s="30">
        <v>259.38099999999997</v>
      </c>
      <c r="D20" s="29">
        <f t="shared" si="1"/>
        <v>11260.999999999967</v>
      </c>
      <c r="E20" s="64">
        <v>0</v>
      </c>
      <c r="F20" s="123">
        <v>0</v>
      </c>
      <c r="G20" s="29"/>
      <c r="H20" s="29">
        <v>0</v>
      </c>
      <c r="I20" s="29"/>
      <c r="J20" s="29">
        <f>G20+H20</f>
        <v>0</v>
      </c>
      <c r="K20" s="29"/>
      <c r="L20" s="51"/>
      <c r="M20" s="114"/>
      <c r="N20" s="114"/>
    </row>
    <row r="21" spans="1:15" ht="14.25" customHeight="1" x14ac:dyDescent="0.25">
      <c r="A21" s="29"/>
      <c r="B21" s="29"/>
      <c r="C21" s="29"/>
      <c r="D21" s="29"/>
      <c r="E21" s="49"/>
      <c r="F21" s="49"/>
      <c r="G21" s="49"/>
      <c r="H21" s="49">
        <f>SUM(H2:H20)</f>
        <v>800</v>
      </c>
      <c r="I21" s="49"/>
      <c r="J21" s="49">
        <f>SUM(J2:J20)</f>
        <v>32591</v>
      </c>
      <c r="K21" s="49">
        <f>SUM(K2:K19)</f>
        <v>32591</v>
      </c>
      <c r="L21" s="29"/>
      <c r="M21" s="114"/>
      <c r="N21" s="114"/>
    </row>
    <row r="22" spans="1:15" ht="14.25" customHeight="1" x14ac:dyDescent="0.25">
      <c r="A22" s="29"/>
      <c r="B22" s="29" t="s">
        <v>75</v>
      </c>
      <c r="C22" s="29"/>
      <c r="D22" s="30">
        <f>SUM(D4:D20)</f>
        <v>145000.99999999997</v>
      </c>
      <c r="E22" s="29">
        <f>SUM(E4:E19)</f>
        <v>11991</v>
      </c>
      <c r="F22" s="29"/>
      <c r="G22" s="29"/>
      <c r="H22" s="29"/>
      <c r="I22" s="29"/>
      <c r="J22" s="29"/>
      <c r="K22" s="29"/>
      <c r="L22" s="29"/>
      <c r="M22" s="121"/>
      <c r="N22" s="121">
        <f>SUM(N9:N20)</f>
        <v>45774</v>
      </c>
    </row>
    <row r="23" spans="1:15" ht="14.25" customHeight="1" x14ac:dyDescent="0.25">
      <c r="A23" s="29"/>
      <c r="B23" s="29" t="s">
        <v>243</v>
      </c>
      <c r="C23" s="119" t="s">
        <v>244</v>
      </c>
      <c r="D23" s="111">
        <f>B24/D22</f>
        <v>8.9654554106523426E-2</v>
      </c>
      <c r="E23" s="29"/>
      <c r="F23" s="29"/>
      <c r="G23" s="29" t="s">
        <v>205</v>
      </c>
      <c r="H23" s="29">
        <f>(K21+N1)-N22</f>
        <v>12139</v>
      </c>
      <c r="I23" s="29"/>
      <c r="J23" s="29"/>
      <c r="K23" s="29"/>
      <c r="L23" s="29"/>
      <c r="M23" s="152"/>
      <c r="N23" s="152"/>
    </row>
    <row r="24" spans="1:15" ht="14.25" customHeight="1" x14ac:dyDescent="0.25">
      <c r="A24" s="119" t="s">
        <v>85</v>
      </c>
      <c r="B24" s="30">
        <v>13000</v>
      </c>
      <c r="C24" s="119" t="s">
        <v>456</v>
      </c>
      <c r="D24" s="29"/>
      <c r="E24" s="29"/>
      <c r="F24" s="29"/>
      <c r="G24" s="29"/>
      <c r="H24" s="29"/>
      <c r="I24" s="29"/>
      <c r="J24" s="29"/>
      <c r="K24" s="29"/>
      <c r="L24" s="29"/>
      <c r="M24" s="114"/>
      <c r="N24" s="114"/>
    </row>
  </sheetData>
  <pageMargins left="0.7" right="0.7" top="0.75" bottom="0.75" header="0" footer="0"/>
  <pageSetup orientation="landscape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P24"/>
  <sheetViews>
    <sheetView workbookViewId="0">
      <selection activeCell="D17" sqref="D17"/>
    </sheetView>
  </sheetViews>
  <sheetFormatPr defaultColWidth="14.42578125" defaultRowHeight="15" customHeight="1" x14ac:dyDescent="0.25"/>
  <cols>
    <col min="1" max="1" width="12.7109375" customWidth="1"/>
    <col min="2" max="2" width="20.85546875" customWidth="1"/>
    <col min="3" max="3" width="21.7109375" customWidth="1"/>
    <col min="4" max="4" width="10.5703125" customWidth="1"/>
    <col min="5" max="5" width="9.85546875" customWidth="1"/>
    <col min="6" max="6" width="20.140625" customWidth="1"/>
    <col min="7" max="7" width="16.7109375" customWidth="1"/>
    <col min="8" max="9" width="15.140625" customWidth="1"/>
    <col min="10" max="10" width="7.5703125" customWidth="1"/>
    <col min="11" max="12" width="15.140625" customWidth="1"/>
    <col min="14" max="14" width="32.7109375" customWidth="1"/>
    <col min="15" max="15" width="13" customWidth="1"/>
  </cols>
  <sheetData>
    <row r="1" spans="1:16" ht="14.25" customHeight="1" x14ac:dyDescent="0.25">
      <c r="A1" s="49" t="s">
        <v>287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/>
      <c r="M1" s="146" t="s">
        <v>128</v>
      </c>
      <c r="N1" s="154" t="s">
        <v>503</v>
      </c>
      <c r="O1" s="151">
        <v>12139</v>
      </c>
    </row>
    <row r="2" spans="1:16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>
        <v>300</v>
      </c>
      <c r="L2" s="29" t="s">
        <v>504</v>
      </c>
      <c r="M2" s="158"/>
      <c r="N2" s="148" t="s">
        <v>446</v>
      </c>
      <c r="O2" s="149">
        <v>15000</v>
      </c>
      <c r="P2" s="1" t="s">
        <v>505</v>
      </c>
    </row>
    <row r="3" spans="1:16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>
        <v>300</v>
      </c>
      <c r="L3" s="29" t="s">
        <v>504</v>
      </c>
      <c r="M3" s="158"/>
      <c r="N3" s="148"/>
      <c r="O3" s="148"/>
    </row>
    <row r="4" spans="1:16" ht="14.25" customHeight="1" x14ac:dyDescent="0.25">
      <c r="A4" s="32" t="s">
        <v>68</v>
      </c>
      <c r="B4" s="30">
        <v>84.54</v>
      </c>
      <c r="C4" s="30">
        <v>86.24</v>
      </c>
      <c r="D4" s="29">
        <f t="shared" ref="D4:D20" si="1">(C4-B4)*1000</f>
        <v>1699.9999999999886</v>
      </c>
      <c r="E4" s="64">
        <f>ROUND(D4*D23,0)</f>
        <v>197</v>
      </c>
      <c r="F4" s="29">
        <v>1200</v>
      </c>
      <c r="G4" s="29">
        <f t="shared" ref="G4:G19" si="2">SUM(E4,F4)</f>
        <v>1397</v>
      </c>
      <c r="H4" s="29">
        <v>50</v>
      </c>
      <c r="I4" s="29">
        <v>0</v>
      </c>
      <c r="J4" s="29">
        <f t="shared" ref="J4:J19" si="3">G4+H4+I4</f>
        <v>1447</v>
      </c>
      <c r="K4" s="156">
        <v>1447</v>
      </c>
      <c r="L4" s="156" t="s">
        <v>504</v>
      </c>
      <c r="M4" s="158"/>
      <c r="N4" s="160"/>
      <c r="O4" s="160"/>
    </row>
    <row r="5" spans="1:16" ht="14.25" customHeight="1" x14ac:dyDescent="0.25">
      <c r="A5" s="32" t="s">
        <v>70</v>
      </c>
      <c r="B5" s="30">
        <v>182.07</v>
      </c>
      <c r="C5" s="30">
        <v>188.49</v>
      </c>
      <c r="D5" s="29">
        <f t="shared" si="1"/>
        <v>6420.0000000000164</v>
      </c>
      <c r="E5" s="64">
        <f>ROUND(D5*D23,0)</f>
        <v>743</v>
      </c>
      <c r="F5" s="29">
        <v>1200</v>
      </c>
      <c r="G5" s="29">
        <f t="shared" si="2"/>
        <v>1943</v>
      </c>
      <c r="H5" s="29">
        <v>50</v>
      </c>
      <c r="I5" s="29">
        <v>0</v>
      </c>
      <c r="J5" s="29">
        <f t="shared" si="3"/>
        <v>1993</v>
      </c>
      <c r="K5" s="29">
        <v>1993</v>
      </c>
      <c r="L5" s="29" t="s">
        <v>504</v>
      </c>
      <c r="M5" s="158"/>
      <c r="N5" s="114"/>
      <c r="O5" s="114"/>
    </row>
    <row r="6" spans="1:16" ht="14.25" customHeight="1" x14ac:dyDescent="0.25">
      <c r="A6" s="32" t="s">
        <v>16</v>
      </c>
      <c r="B6" s="30">
        <v>370.36</v>
      </c>
      <c r="C6" s="30">
        <v>381.43</v>
      </c>
      <c r="D6" s="29">
        <f t="shared" si="1"/>
        <v>11069.999999999993</v>
      </c>
      <c r="E6" s="64">
        <f>ROUND(D6*D23,0)</f>
        <v>1282</v>
      </c>
      <c r="F6" s="29">
        <v>1200</v>
      </c>
      <c r="G6" s="29">
        <f t="shared" si="2"/>
        <v>2482</v>
      </c>
      <c r="H6" s="29">
        <v>50</v>
      </c>
      <c r="I6" s="29">
        <v>0</v>
      </c>
      <c r="J6" s="29">
        <f t="shared" si="3"/>
        <v>2532</v>
      </c>
      <c r="K6" s="29">
        <v>2532</v>
      </c>
      <c r="L6" s="29" t="s">
        <v>504</v>
      </c>
      <c r="M6" s="158"/>
      <c r="N6" s="114"/>
      <c r="O6" s="114"/>
    </row>
    <row r="7" spans="1:16" ht="14.25" customHeight="1" x14ac:dyDescent="0.25">
      <c r="A7" s="32" t="s">
        <v>13</v>
      </c>
      <c r="B7" s="30">
        <v>289.33999999999997</v>
      </c>
      <c r="C7" s="30">
        <v>296.48</v>
      </c>
      <c r="D7" s="29">
        <f t="shared" si="1"/>
        <v>7140.0000000000437</v>
      </c>
      <c r="E7" s="64">
        <f>ROUND(D7*D23,0)</f>
        <v>827</v>
      </c>
      <c r="F7" s="29">
        <v>1200</v>
      </c>
      <c r="G7" s="29">
        <f t="shared" si="2"/>
        <v>2027</v>
      </c>
      <c r="H7" s="29">
        <v>50</v>
      </c>
      <c r="I7" s="29">
        <v>0</v>
      </c>
      <c r="J7" s="29">
        <f t="shared" si="3"/>
        <v>2077</v>
      </c>
      <c r="K7" s="29">
        <v>2077</v>
      </c>
      <c r="L7" s="29" t="s">
        <v>504</v>
      </c>
      <c r="M7" s="158"/>
      <c r="N7" s="114"/>
      <c r="O7" s="114"/>
    </row>
    <row r="8" spans="1:16" ht="14.25" customHeight="1" x14ac:dyDescent="0.25">
      <c r="A8" s="32">
        <v>101</v>
      </c>
      <c r="B8" s="30">
        <v>39.869999999999997</v>
      </c>
      <c r="C8" s="30">
        <v>47</v>
      </c>
      <c r="D8" s="29">
        <f t="shared" si="1"/>
        <v>7130.0000000000027</v>
      </c>
      <c r="E8" s="64">
        <f>ROUND(D8*D23,0)</f>
        <v>826</v>
      </c>
      <c r="F8" s="29">
        <v>1200</v>
      </c>
      <c r="G8" s="29">
        <f t="shared" si="2"/>
        <v>2026</v>
      </c>
      <c r="H8" s="29">
        <v>50</v>
      </c>
      <c r="I8" s="29">
        <v>0</v>
      </c>
      <c r="J8" s="29">
        <f t="shared" si="3"/>
        <v>2076</v>
      </c>
      <c r="K8" s="29">
        <v>2076</v>
      </c>
      <c r="L8" s="29" t="s">
        <v>504</v>
      </c>
      <c r="M8" s="158"/>
      <c r="N8" s="153" t="s">
        <v>239</v>
      </c>
      <c r="O8" s="153"/>
    </row>
    <row r="9" spans="1:16" ht="14.25" customHeight="1" x14ac:dyDescent="0.25">
      <c r="A9" s="32">
        <v>102</v>
      </c>
      <c r="B9" s="30">
        <v>540.15</v>
      </c>
      <c r="C9" s="30">
        <v>553.83000000000004</v>
      </c>
      <c r="D9" s="29">
        <f t="shared" si="1"/>
        <v>13680.000000000064</v>
      </c>
      <c r="E9" s="64">
        <f>ROUND(D9*D23,0)</f>
        <v>1584</v>
      </c>
      <c r="F9" s="29">
        <v>1200</v>
      </c>
      <c r="G9" s="29">
        <f t="shared" si="2"/>
        <v>2784</v>
      </c>
      <c r="H9" s="29">
        <v>50</v>
      </c>
      <c r="I9" s="29">
        <v>0</v>
      </c>
      <c r="J9" s="29">
        <f t="shared" si="3"/>
        <v>2834</v>
      </c>
      <c r="K9" s="29">
        <v>2834</v>
      </c>
      <c r="L9" s="29" t="s">
        <v>504</v>
      </c>
      <c r="M9" s="158"/>
      <c r="N9" s="114" t="s">
        <v>482</v>
      </c>
      <c r="O9" s="128">
        <v>2044</v>
      </c>
      <c r="P9" s="162"/>
    </row>
    <row r="10" spans="1:16" ht="14.25" customHeight="1" x14ac:dyDescent="0.25">
      <c r="A10" s="32">
        <v>103</v>
      </c>
      <c r="B10" s="30">
        <v>189.05</v>
      </c>
      <c r="C10" s="30">
        <v>194.32</v>
      </c>
      <c r="D10" s="29">
        <f t="shared" si="1"/>
        <v>5269.9999999999818</v>
      </c>
      <c r="E10" s="64">
        <f>ROUND(D10*D23,0)</f>
        <v>610</v>
      </c>
      <c r="F10" s="29">
        <v>1200</v>
      </c>
      <c r="G10" s="29">
        <f t="shared" si="2"/>
        <v>1810</v>
      </c>
      <c r="H10" s="29">
        <v>50</v>
      </c>
      <c r="I10" s="29">
        <v>0</v>
      </c>
      <c r="J10" s="29">
        <f t="shared" si="3"/>
        <v>1860</v>
      </c>
      <c r="K10" s="29">
        <v>1860</v>
      </c>
      <c r="L10" s="29" t="s">
        <v>504</v>
      </c>
      <c r="M10" s="158"/>
      <c r="N10" s="160" t="s">
        <v>506</v>
      </c>
      <c r="O10" s="160">
        <v>0</v>
      </c>
      <c r="P10" s="162"/>
    </row>
    <row r="11" spans="1:16" ht="14.25" customHeight="1" x14ac:dyDescent="0.25">
      <c r="A11" s="32">
        <v>104</v>
      </c>
      <c r="B11" s="30">
        <v>433.98</v>
      </c>
      <c r="C11" s="30">
        <v>450</v>
      </c>
      <c r="D11" s="29">
        <f t="shared" si="1"/>
        <v>16019.999999999982</v>
      </c>
      <c r="E11" s="64">
        <f>ROUND(D11*D23,0)</f>
        <v>1855</v>
      </c>
      <c r="F11" s="29">
        <v>1200</v>
      </c>
      <c r="G11" s="29">
        <f t="shared" si="2"/>
        <v>3055</v>
      </c>
      <c r="H11" s="29">
        <v>50</v>
      </c>
      <c r="I11" s="29">
        <v>0</v>
      </c>
      <c r="J11" s="29">
        <f t="shared" si="3"/>
        <v>3105</v>
      </c>
      <c r="K11" s="29">
        <v>3105</v>
      </c>
      <c r="L11" s="29" t="s">
        <v>504</v>
      </c>
      <c r="M11" s="158"/>
      <c r="N11" s="160" t="s">
        <v>507</v>
      </c>
      <c r="O11" s="160">
        <v>13000</v>
      </c>
      <c r="P11" s="162"/>
    </row>
    <row r="12" spans="1:16" ht="14.25" customHeight="1" x14ac:dyDescent="0.25">
      <c r="A12" s="32">
        <v>201</v>
      </c>
      <c r="B12" s="30">
        <v>98.63</v>
      </c>
      <c r="C12" s="30">
        <v>103.53</v>
      </c>
      <c r="D12" s="29">
        <f t="shared" si="1"/>
        <v>4900.0000000000055</v>
      </c>
      <c r="E12" s="64">
        <f>ROUND(D12*D23,0)</f>
        <v>567</v>
      </c>
      <c r="F12" s="29">
        <v>1200</v>
      </c>
      <c r="G12" s="29">
        <f t="shared" si="2"/>
        <v>1767</v>
      </c>
      <c r="H12" s="29">
        <v>50</v>
      </c>
      <c r="I12" s="29">
        <v>0</v>
      </c>
      <c r="J12" s="29">
        <f t="shared" si="3"/>
        <v>1817</v>
      </c>
      <c r="K12" s="29">
        <v>1817</v>
      </c>
      <c r="L12" s="29" t="s">
        <v>504</v>
      </c>
      <c r="M12" s="158"/>
      <c r="N12" s="160" t="s">
        <v>508</v>
      </c>
      <c r="O12" s="160">
        <v>4949</v>
      </c>
      <c r="P12" s="162"/>
    </row>
    <row r="13" spans="1:16" ht="14.25" customHeight="1" x14ac:dyDescent="0.25">
      <c r="A13" s="32">
        <v>202</v>
      </c>
      <c r="B13" s="30">
        <v>255.76</v>
      </c>
      <c r="C13" s="30">
        <v>257.5</v>
      </c>
      <c r="D13" s="29">
        <f t="shared" si="1"/>
        <v>1740.0000000000091</v>
      </c>
      <c r="E13" s="64">
        <f>ROUND(D13*D23,0)</f>
        <v>201</v>
      </c>
      <c r="F13" s="29">
        <v>1200</v>
      </c>
      <c r="G13" s="29">
        <f t="shared" si="2"/>
        <v>1401</v>
      </c>
      <c r="H13" s="29">
        <v>50</v>
      </c>
      <c r="I13" s="29">
        <v>0</v>
      </c>
      <c r="J13" s="29">
        <f t="shared" si="3"/>
        <v>1451</v>
      </c>
      <c r="K13" s="29">
        <v>1451</v>
      </c>
      <c r="L13" s="29" t="s">
        <v>504</v>
      </c>
      <c r="M13" s="158"/>
      <c r="N13" s="114" t="s">
        <v>500</v>
      </c>
      <c r="O13" s="114">
        <v>2269</v>
      </c>
      <c r="P13" s="162"/>
    </row>
    <row r="14" spans="1:16" ht="14.25" customHeight="1" x14ac:dyDescent="0.25">
      <c r="A14" s="32">
        <v>203</v>
      </c>
      <c r="B14" s="30">
        <v>341.92</v>
      </c>
      <c r="C14" s="30">
        <v>343.2</v>
      </c>
      <c r="D14" s="29">
        <f t="shared" si="1"/>
        <v>1279.9999999999727</v>
      </c>
      <c r="E14" s="64">
        <f>ROUND(D14*D23,0)</f>
        <v>148</v>
      </c>
      <c r="F14" s="29">
        <v>1200</v>
      </c>
      <c r="G14" s="29">
        <f t="shared" si="2"/>
        <v>1348</v>
      </c>
      <c r="H14" s="29">
        <v>50</v>
      </c>
      <c r="I14" s="29">
        <v>0</v>
      </c>
      <c r="J14" s="29">
        <f t="shared" si="3"/>
        <v>1398</v>
      </c>
      <c r="K14" s="29">
        <v>1398</v>
      </c>
      <c r="L14" s="29" t="s">
        <v>504</v>
      </c>
      <c r="M14" s="158"/>
      <c r="N14" s="114" t="s">
        <v>509</v>
      </c>
      <c r="O14" s="114">
        <v>400</v>
      </c>
      <c r="P14" s="162"/>
    </row>
    <row r="15" spans="1:16" ht="14.25" customHeight="1" x14ac:dyDescent="0.25">
      <c r="A15" s="32">
        <v>204</v>
      </c>
      <c r="B15" s="30">
        <v>241.94</v>
      </c>
      <c r="C15" s="30">
        <v>247.29</v>
      </c>
      <c r="D15" s="29">
        <f t="shared" si="1"/>
        <v>5349.9999999999945</v>
      </c>
      <c r="E15" s="64">
        <f>ROUND(D15*D23,0)</f>
        <v>619</v>
      </c>
      <c r="F15" s="29">
        <v>1200</v>
      </c>
      <c r="G15" s="29">
        <f t="shared" si="2"/>
        <v>1819</v>
      </c>
      <c r="H15" s="29">
        <v>50</v>
      </c>
      <c r="I15" s="29">
        <v>0</v>
      </c>
      <c r="J15" s="29">
        <f t="shared" si="3"/>
        <v>1869</v>
      </c>
      <c r="K15" s="29">
        <v>1869</v>
      </c>
      <c r="L15" s="29" t="s">
        <v>504</v>
      </c>
      <c r="M15" s="158"/>
      <c r="N15" s="114" t="s">
        <v>510</v>
      </c>
      <c r="O15" s="114">
        <v>143</v>
      </c>
      <c r="P15" s="162"/>
    </row>
    <row r="16" spans="1:16" ht="14.25" customHeight="1" x14ac:dyDescent="0.25">
      <c r="A16" s="32">
        <v>301</v>
      </c>
      <c r="B16" s="30">
        <v>41.8</v>
      </c>
      <c r="C16" s="30">
        <v>49.13</v>
      </c>
      <c r="D16" s="29">
        <f t="shared" si="1"/>
        <v>7330.0000000000055</v>
      </c>
      <c r="E16" s="64">
        <f>ROUND(D16*D23,0)</f>
        <v>849</v>
      </c>
      <c r="F16" s="29">
        <v>1200</v>
      </c>
      <c r="G16" s="29">
        <f t="shared" si="2"/>
        <v>2049</v>
      </c>
      <c r="H16" s="29">
        <v>50</v>
      </c>
      <c r="I16" s="29">
        <v>0</v>
      </c>
      <c r="J16" s="29">
        <f t="shared" si="3"/>
        <v>2099</v>
      </c>
      <c r="K16" s="29">
        <v>2099</v>
      </c>
      <c r="L16" s="29" t="s">
        <v>504</v>
      </c>
      <c r="M16" s="158"/>
      <c r="N16" s="114" t="s">
        <v>511</v>
      </c>
      <c r="O16" s="114">
        <v>450</v>
      </c>
      <c r="P16" s="162"/>
    </row>
    <row r="17" spans="1:16" ht="14.25" customHeight="1" x14ac:dyDescent="0.25">
      <c r="A17" s="32">
        <v>302</v>
      </c>
      <c r="B17" s="30">
        <v>139.69999999999999</v>
      </c>
      <c r="C17" s="30">
        <v>144.41999999999999</v>
      </c>
      <c r="D17" s="29">
        <f t="shared" si="1"/>
        <v>4719.9999999999991</v>
      </c>
      <c r="E17" s="64">
        <f>ROUND(D17*D23,0)</f>
        <v>546</v>
      </c>
      <c r="F17" s="29">
        <v>1200</v>
      </c>
      <c r="G17" s="29">
        <f t="shared" si="2"/>
        <v>1746</v>
      </c>
      <c r="H17" s="29">
        <v>50</v>
      </c>
      <c r="I17" s="29">
        <v>0</v>
      </c>
      <c r="J17" s="29">
        <f t="shared" si="3"/>
        <v>1796</v>
      </c>
      <c r="K17" s="29">
        <v>1796</v>
      </c>
      <c r="L17" s="29" t="s">
        <v>504</v>
      </c>
      <c r="M17" s="158"/>
      <c r="N17" s="160" t="s">
        <v>512</v>
      </c>
      <c r="O17" s="114">
        <v>100</v>
      </c>
      <c r="P17" s="162"/>
    </row>
    <row r="18" spans="1:16" ht="14.25" customHeight="1" x14ac:dyDescent="0.25">
      <c r="A18" s="32">
        <v>303</v>
      </c>
      <c r="B18" s="30">
        <v>812.22</v>
      </c>
      <c r="C18" s="30">
        <v>815.5</v>
      </c>
      <c r="D18" s="29">
        <f t="shared" si="1"/>
        <v>3279.9999999999727</v>
      </c>
      <c r="E18" s="64">
        <f>ROUND(D18*D23,0)</f>
        <v>380</v>
      </c>
      <c r="F18" s="29">
        <v>1200</v>
      </c>
      <c r="G18" s="29">
        <f t="shared" si="2"/>
        <v>1580</v>
      </c>
      <c r="H18" s="29">
        <v>50</v>
      </c>
      <c r="I18" s="29">
        <v>0</v>
      </c>
      <c r="J18" s="29">
        <f t="shared" si="3"/>
        <v>1630</v>
      </c>
      <c r="K18" s="29">
        <v>1630</v>
      </c>
      <c r="L18" s="29" t="s">
        <v>504</v>
      </c>
      <c r="M18" s="158"/>
      <c r="N18" s="114" t="s">
        <v>513</v>
      </c>
      <c r="O18" s="114">
        <v>100</v>
      </c>
    </row>
    <row r="19" spans="1:16" ht="14.25" customHeight="1" x14ac:dyDescent="0.25">
      <c r="A19" s="32">
        <v>304</v>
      </c>
      <c r="B19" s="30">
        <v>249.75</v>
      </c>
      <c r="C19" s="30">
        <v>251.8</v>
      </c>
      <c r="D19" s="29">
        <f t="shared" si="1"/>
        <v>2050.0000000000114</v>
      </c>
      <c r="E19" s="64">
        <f>ROUND(D19*D23,0)</f>
        <v>237</v>
      </c>
      <c r="F19" s="29">
        <v>1200</v>
      </c>
      <c r="G19" s="29">
        <f t="shared" si="2"/>
        <v>1437</v>
      </c>
      <c r="H19" s="29">
        <v>50</v>
      </c>
      <c r="I19" s="29">
        <v>0</v>
      </c>
      <c r="J19" s="29">
        <f t="shared" si="3"/>
        <v>1487</v>
      </c>
      <c r="K19" s="29">
        <v>1487</v>
      </c>
      <c r="L19" s="29" t="s">
        <v>504</v>
      </c>
      <c r="M19" s="158"/>
      <c r="N19" s="160" t="s">
        <v>514</v>
      </c>
      <c r="O19" s="114">
        <v>500</v>
      </c>
    </row>
    <row r="20" spans="1:16" ht="14.25" customHeight="1" x14ac:dyDescent="0.25">
      <c r="A20" s="29" t="s">
        <v>287</v>
      </c>
      <c r="B20" s="30">
        <v>259.38</v>
      </c>
      <c r="C20" s="30">
        <v>272.58</v>
      </c>
      <c r="D20" s="29">
        <f t="shared" si="1"/>
        <v>13199.999999999989</v>
      </c>
      <c r="E20" s="64">
        <v>0</v>
      </c>
      <c r="F20" s="123">
        <v>0</v>
      </c>
      <c r="G20" s="29"/>
      <c r="H20" s="29">
        <v>0</v>
      </c>
      <c r="I20" s="29"/>
      <c r="J20" s="29">
        <f>G20+H20</f>
        <v>0</v>
      </c>
      <c r="K20" s="29"/>
      <c r="L20" s="29"/>
      <c r="M20" s="51"/>
      <c r="N20" s="114"/>
      <c r="O20" s="114"/>
    </row>
    <row r="21" spans="1:16" ht="14.25" customHeight="1" x14ac:dyDescent="0.25">
      <c r="A21" s="29"/>
      <c r="B21" s="29"/>
      <c r="C21" s="29"/>
      <c r="D21" s="29"/>
      <c r="E21" s="49"/>
      <c r="F21" s="49"/>
      <c r="G21" s="49"/>
      <c r="H21" s="49">
        <f>SUM(H2:H20)</f>
        <v>800</v>
      </c>
      <c r="I21" s="49"/>
      <c r="J21" s="49">
        <f>SUM(J2:J20)</f>
        <v>32071</v>
      </c>
      <c r="K21" s="49">
        <f>SUM(K2:K19)</f>
        <v>32071</v>
      </c>
      <c r="L21" s="49"/>
      <c r="M21" s="29"/>
      <c r="N21" s="114"/>
      <c r="O21" s="114"/>
    </row>
    <row r="22" spans="1:16" ht="14.25" customHeight="1" x14ac:dyDescent="0.25">
      <c r="A22" s="29"/>
      <c r="B22" s="29" t="s">
        <v>75</v>
      </c>
      <c r="C22" s="29"/>
      <c r="D22" s="30">
        <f>SUM(D4:D20)</f>
        <v>112280.00000000003</v>
      </c>
      <c r="E22" s="29">
        <f>SUM(E4:E19)</f>
        <v>11471</v>
      </c>
      <c r="F22" s="29"/>
      <c r="G22" s="29"/>
      <c r="H22" s="29"/>
      <c r="I22" s="29"/>
      <c r="J22" s="29"/>
      <c r="K22" s="29"/>
      <c r="L22" s="29"/>
      <c r="M22" s="29"/>
      <c r="N22" s="121"/>
      <c r="O22" s="121">
        <f>SUM(O9:O20)</f>
        <v>23955</v>
      </c>
    </row>
    <row r="23" spans="1:16" ht="14.25" customHeight="1" x14ac:dyDescent="0.25">
      <c r="A23" s="29"/>
      <c r="B23" s="29" t="s">
        <v>243</v>
      </c>
      <c r="C23" s="119" t="s">
        <v>244</v>
      </c>
      <c r="D23" s="111">
        <f>B24/D22</f>
        <v>0.11578197363733521</v>
      </c>
      <c r="E23" s="29"/>
      <c r="F23" s="29"/>
      <c r="G23" s="29" t="s">
        <v>205</v>
      </c>
      <c r="H23" s="29">
        <f>(K21+O1)-O22</f>
        <v>20255</v>
      </c>
      <c r="I23" s="29"/>
      <c r="J23" s="29"/>
      <c r="K23" s="29"/>
      <c r="L23" s="29"/>
      <c r="M23" s="29"/>
      <c r="N23" s="152"/>
      <c r="O23" s="152"/>
    </row>
    <row r="24" spans="1:16" ht="14.25" customHeight="1" x14ac:dyDescent="0.25">
      <c r="A24" s="119" t="s">
        <v>85</v>
      </c>
      <c r="B24" s="30">
        <v>13000</v>
      </c>
      <c r="C24" s="119" t="s">
        <v>456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114"/>
      <c r="O24" s="114"/>
    </row>
  </sheetData>
  <pageMargins left="0.7" right="0.7" top="0.75" bottom="0.75" header="0" footer="0"/>
  <pageSetup orientation="landscape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P24"/>
  <sheetViews>
    <sheetView workbookViewId="0">
      <selection activeCell="D13" sqref="D13"/>
    </sheetView>
  </sheetViews>
  <sheetFormatPr defaultColWidth="14.42578125" defaultRowHeight="15" customHeight="1" x14ac:dyDescent="0.25"/>
  <cols>
    <col min="1" max="1" width="9" customWidth="1"/>
    <col min="2" max="2" width="22.7109375" customWidth="1"/>
    <col min="3" max="3" width="21.7109375" customWidth="1"/>
    <col min="4" max="4" width="10.5703125" customWidth="1"/>
    <col min="5" max="5" width="9.85546875" customWidth="1"/>
    <col min="6" max="6" width="21" customWidth="1"/>
    <col min="7" max="7" width="17.85546875" customWidth="1"/>
    <col min="8" max="8" width="16.140625" customWidth="1"/>
    <col min="9" max="9" width="16.42578125" customWidth="1"/>
    <col min="10" max="10" width="6.7109375" customWidth="1"/>
    <col min="11" max="11" width="15.7109375" customWidth="1"/>
    <col min="12" max="12" width="14.5703125" customWidth="1"/>
    <col min="13" max="13" width="14.85546875" customWidth="1"/>
    <col min="14" max="14" width="49.7109375" customWidth="1"/>
    <col min="15" max="15" width="7" customWidth="1"/>
    <col min="16" max="16" width="10.42578125" customWidth="1"/>
    <col min="17" max="26" width="8.7109375" customWidth="1"/>
  </cols>
  <sheetData>
    <row r="1" spans="1:16" ht="14.25" customHeight="1" x14ac:dyDescent="0.25">
      <c r="A1" s="49" t="s">
        <v>287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/>
      <c r="M1" s="146" t="s">
        <v>128</v>
      </c>
      <c r="N1" s="154" t="s">
        <v>503</v>
      </c>
      <c r="O1" s="151">
        <v>20255</v>
      </c>
      <c r="P1" s="160"/>
    </row>
    <row r="2" spans="1:16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>
        <v>300</v>
      </c>
      <c r="L2" s="29"/>
      <c r="M2" s="158" t="s">
        <v>311</v>
      </c>
      <c r="N2" s="148" t="s">
        <v>446</v>
      </c>
      <c r="O2" s="149">
        <v>0</v>
      </c>
      <c r="P2" s="160"/>
    </row>
    <row r="3" spans="1:16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>
        <v>300</v>
      </c>
      <c r="L3" s="29"/>
      <c r="M3" s="158" t="s">
        <v>311</v>
      </c>
      <c r="N3" s="148"/>
      <c r="O3" s="148"/>
      <c r="P3" s="160"/>
    </row>
    <row r="4" spans="1:16" ht="14.25" customHeight="1" x14ac:dyDescent="0.25">
      <c r="A4" s="32" t="s">
        <v>68</v>
      </c>
      <c r="B4" s="30">
        <v>86.24</v>
      </c>
      <c r="C4" s="30">
        <v>95.54</v>
      </c>
      <c r="D4" s="29">
        <f t="shared" ref="D4:D20" si="1">(C4-B4)*1000</f>
        <v>9300.0000000000109</v>
      </c>
      <c r="E4" s="64">
        <f>ROUND(D4*D23,0)</f>
        <v>1145</v>
      </c>
      <c r="F4" s="29">
        <v>1200</v>
      </c>
      <c r="G4" s="29">
        <f t="shared" ref="G4:G19" si="2">SUM(E4,F4)</f>
        <v>2345</v>
      </c>
      <c r="H4" s="29">
        <v>50</v>
      </c>
      <c r="I4" s="29">
        <v>0</v>
      </c>
      <c r="J4" s="29">
        <f t="shared" ref="J4:J19" si="3">G4+H4+I4</f>
        <v>2395</v>
      </c>
      <c r="K4" s="156">
        <v>2395</v>
      </c>
      <c r="L4" s="156"/>
      <c r="M4" s="158" t="s">
        <v>311</v>
      </c>
      <c r="N4" s="160"/>
      <c r="O4" s="160"/>
      <c r="P4" s="160"/>
    </row>
    <row r="5" spans="1:16" ht="14.25" customHeight="1" x14ac:dyDescent="0.25">
      <c r="A5" s="32" t="s">
        <v>70</v>
      </c>
      <c r="B5" s="30">
        <v>188.49</v>
      </c>
      <c r="C5" s="30">
        <v>190.41</v>
      </c>
      <c r="D5" s="29">
        <f t="shared" si="1"/>
        <v>1919.9999999999875</v>
      </c>
      <c r="E5" s="64">
        <f>ROUND(D5*D23,0)</f>
        <v>236</v>
      </c>
      <c r="F5" s="29">
        <v>1200</v>
      </c>
      <c r="G5" s="29">
        <f t="shared" si="2"/>
        <v>1436</v>
      </c>
      <c r="H5" s="29">
        <v>50</v>
      </c>
      <c r="I5" s="29">
        <v>0</v>
      </c>
      <c r="J5" s="29">
        <f t="shared" si="3"/>
        <v>1486</v>
      </c>
      <c r="K5" s="29">
        <v>1486</v>
      </c>
      <c r="L5" s="29"/>
      <c r="M5" s="158" t="s">
        <v>311</v>
      </c>
      <c r="N5" s="114"/>
      <c r="O5" s="114"/>
      <c r="P5" s="160"/>
    </row>
    <row r="6" spans="1:16" ht="14.25" customHeight="1" x14ac:dyDescent="0.25">
      <c r="A6" s="32" t="s">
        <v>16</v>
      </c>
      <c r="B6" s="30">
        <v>381.43</v>
      </c>
      <c r="C6" s="30">
        <v>383.92</v>
      </c>
      <c r="D6" s="29">
        <f t="shared" si="1"/>
        <v>2490.0000000000091</v>
      </c>
      <c r="E6" s="64">
        <f>ROUND(D6*D23,0)</f>
        <v>307</v>
      </c>
      <c r="F6" s="29">
        <v>1200</v>
      </c>
      <c r="G6" s="29">
        <f t="shared" si="2"/>
        <v>1507</v>
      </c>
      <c r="H6" s="29">
        <v>50</v>
      </c>
      <c r="I6" s="29">
        <v>0</v>
      </c>
      <c r="J6" s="29">
        <f t="shared" si="3"/>
        <v>1557</v>
      </c>
      <c r="K6" s="29">
        <v>1557</v>
      </c>
      <c r="L6" s="29"/>
      <c r="M6" s="158" t="s">
        <v>311</v>
      </c>
      <c r="N6" s="114"/>
      <c r="O6" s="114"/>
      <c r="P6" s="160"/>
    </row>
    <row r="7" spans="1:16" ht="14.25" customHeight="1" x14ac:dyDescent="0.25">
      <c r="A7" s="32" t="s">
        <v>13</v>
      </c>
      <c r="B7" s="30">
        <v>296.48</v>
      </c>
      <c r="C7" s="30">
        <v>304.13</v>
      </c>
      <c r="D7" s="29">
        <f t="shared" si="1"/>
        <v>7649.9999999999773</v>
      </c>
      <c r="E7" s="64">
        <f>ROUND(D7*D23,0)</f>
        <v>942</v>
      </c>
      <c r="F7" s="29">
        <v>1200</v>
      </c>
      <c r="G7" s="29">
        <f t="shared" si="2"/>
        <v>2142</v>
      </c>
      <c r="H7" s="29">
        <v>50</v>
      </c>
      <c r="I7" s="29">
        <v>0</v>
      </c>
      <c r="J7" s="29">
        <f t="shared" si="3"/>
        <v>2192</v>
      </c>
      <c r="K7" s="29">
        <v>2192</v>
      </c>
      <c r="L7" s="29"/>
      <c r="M7" s="158" t="s">
        <v>311</v>
      </c>
      <c r="N7" s="114"/>
      <c r="O7" s="114"/>
      <c r="P7" s="160"/>
    </row>
    <row r="8" spans="1:16" ht="14.25" customHeight="1" x14ac:dyDescent="0.25">
      <c r="A8" s="32">
        <v>101</v>
      </c>
      <c r="B8" s="30">
        <v>47</v>
      </c>
      <c r="C8" s="30">
        <v>51.76</v>
      </c>
      <c r="D8" s="29">
        <f t="shared" si="1"/>
        <v>4759.9999999999982</v>
      </c>
      <c r="E8" s="64">
        <f>ROUND(D8*D23,0)</f>
        <v>586</v>
      </c>
      <c r="F8" s="29">
        <v>1200</v>
      </c>
      <c r="G8" s="29">
        <f t="shared" si="2"/>
        <v>1786</v>
      </c>
      <c r="H8" s="29">
        <v>50</v>
      </c>
      <c r="I8" s="29">
        <v>0</v>
      </c>
      <c r="J8" s="29">
        <f t="shared" si="3"/>
        <v>1836</v>
      </c>
      <c r="K8" s="29">
        <v>1836</v>
      </c>
      <c r="L8" s="29"/>
      <c r="M8" s="158" t="s">
        <v>311</v>
      </c>
      <c r="N8" s="153" t="s">
        <v>239</v>
      </c>
      <c r="O8" s="153"/>
      <c r="P8" s="160"/>
    </row>
    <row r="9" spans="1:16" ht="14.25" customHeight="1" x14ac:dyDescent="0.25">
      <c r="A9" s="32">
        <v>102</v>
      </c>
      <c r="B9" s="30">
        <v>553.83000000000004</v>
      </c>
      <c r="C9" s="30">
        <v>559.71</v>
      </c>
      <c r="D9" s="29">
        <f t="shared" si="1"/>
        <v>5879.9999999999955</v>
      </c>
      <c r="E9" s="64">
        <f>ROUND(D9*D23,0)</f>
        <v>724</v>
      </c>
      <c r="F9" s="29">
        <v>1200</v>
      </c>
      <c r="G9" s="29">
        <f t="shared" si="2"/>
        <v>1924</v>
      </c>
      <c r="H9" s="29">
        <v>50</v>
      </c>
      <c r="I9" s="29">
        <v>0</v>
      </c>
      <c r="J9" s="29">
        <f t="shared" si="3"/>
        <v>1974</v>
      </c>
      <c r="K9" s="29">
        <v>1974</v>
      </c>
      <c r="L9" s="29"/>
      <c r="M9" s="158" t="s">
        <v>311</v>
      </c>
      <c r="N9" s="114" t="s">
        <v>314</v>
      </c>
      <c r="O9" s="128">
        <v>6500</v>
      </c>
      <c r="P9" s="161">
        <v>45414</v>
      </c>
    </row>
    <row r="10" spans="1:16" ht="14.25" customHeight="1" x14ac:dyDescent="0.25">
      <c r="A10" s="32">
        <v>103</v>
      </c>
      <c r="B10" s="30">
        <v>194.32</v>
      </c>
      <c r="C10" s="30">
        <v>195.81</v>
      </c>
      <c r="D10" s="29">
        <f t="shared" si="1"/>
        <v>1490.0000000000091</v>
      </c>
      <c r="E10" s="64">
        <f>ROUND(D10*D23,0)</f>
        <v>183</v>
      </c>
      <c r="F10" s="29">
        <v>1200</v>
      </c>
      <c r="G10" s="29">
        <f t="shared" si="2"/>
        <v>1383</v>
      </c>
      <c r="H10" s="29">
        <v>50</v>
      </c>
      <c r="I10" s="29">
        <v>0</v>
      </c>
      <c r="J10" s="29">
        <f t="shared" si="3"/>
        <v>1433</v>
      </c>
      <c r="K10" s="29">
        <v>1433</v>
      </c>
      <c r="L10" s="29"/>
      <c r="M10" s="158" t="s">
        <v>311</v>
      </c>
      <c r="N10" s="160" t="s">
        <v>515</v>
      </c>
      <c r="O10" s="160">
        <v>2044</v>
      </c>
      <c r="P10" s="161">
        <v>45414</v>
      </c>
    </row>
    <row r="11" spans="1:16" ht="14.25" customHeight="1" x14ac:dyDescent="0.25">
      <c r="A11" s="32">
        <v>104</v>
      </c>
      <c r="B11" s="163">
        <v>450</v>
      </c>
      <c r="C11" s="30">
        <v>457.33</v>
      </c>
      <c r="D11" s="29">
        <f t="shared" si="1"/>
        <v>7329.9999999999836</v>
      </c>
      <c r="E11" s="64">
        <f>ROUND(D11*D23,0)</f>
        <v>903</v>
      </c>
      <c r="F11" s="29">
        <v>1200</v>
      </c>
      <c r="G11" s="29">
        <f t="shared" si="2"/>
        <v>2103</v>
      </c>
      <c r="H11" s="29">
        <v>50</v>
      </c>
      <c r="I11" s="29">
        <v>0</v>
      </c>
      <c r="J11" s="29">
        <f t="shared" si="3"/>
        <v>2153</v>
      </c>
      <c r="K11" s="29">
        <v>2153</v>
      </c>
      <c r="L11" s="29"/>
      <c r="M11" s="158" t="s">
        <v>311</v>
      </c>
      <c r="N11" s="160" t="s">
        <v>500</v>
      </c>
      <c r="O11" s="160">
        <v>1058</v>
      </c>
      <c r="P11" s="161">
        <v>45417</v>
      </c>
    </row>
    <row r="12" spans="1:16" ht="14.25" customHeight="1" x14ac:dyDescent="0.25">
      <c r="A12" s="32">
        <v>201</v>
      </c>
      <c r="B12" s="30">
        <v>103.53</v>
      </c>
      <c r="C12" s="30">
        <v>108.24</v>
      </c>
      <c r="D12" s="29">
        <f t="shared" si="1"/>
        <v>4709.9999999999936</v>
      </c>
      <c r="E12" s="64">
        <f>ROUND(D12*D23,0)</f>
        <v>580</v>
      </c>
      <c r="F12" s="29">
        <v>1200</v>
      </c>
      <c r="G12" s="29">
        <f t="shared" si="2"/>
        <v>1780</v>
      </c>
      <c r="H12" s="29">
        <v>50</v>
      </c>
      <c r="I12" s="29">
        <v>0</v>
      </c>
      <c r="J12" s="29">
        <f t="shared" si="3"/>
        <v>1830</v>
      </c>
      <c r="K12" s="29">
        <v>1830</v>
      </c>
      <c r="L12" s="29"/>
      <c r="M12" s="158" t="s">
        <v>311</v>
      </c>
      <c r="N12" s="160" t="s">
        <v>516</v>
      </c>
      <c r="O12" s="160">
        <v>13000</v>
      </c>
      <c r="P12" s="161">
        <v>45417</v>
      </c>
    </row>
    <row r="13" spans="1:16" ht="14.25" customHeight="1" x14ac:dyDescent="0.25">
      <c r="A13" s="32">
        <v>202</v>
      </c>
      <c r="B13" s="30">
        <v>257.5</v>
      </c>
      <c r="C13" s="30">
        <v>261.68</v>
      </c>
      <c r="D13" s="29">
        <f t="shared" si="1"/>
        <v>4180.0000000000073</v>
      </c>
      <c r="E13" s="64">
        <f>ROUND(D13*D23,0)</f>
        <v>515</v>
      </c>
      <c r="F13" s="29">
        <v>1200</v>
      </c>
      <c r="G13" s="29">
        <f t="shared" si="2"/>
        <v>1715</v>
      </c>
      <c r="H13" s="29">
        <v>50</v>
      </c>
      <c r="I13" s="29">
        <v>0</v>
      </c>
      <c r="J13" s="29">
        <f t="shared" si="3"/>
        <v>1765</v>
      </c>
      <c r="K13" s="29">
        <v>1765</v>
      </c>
      <c r="L13" s="29"/>
      <c r="M13" s="158" t="s">
        <v>311</v>
      </c>
      <c r="N13" s="114" t="s">
        <v>517</v>
      </c>
      <c r="O13" s="114">
        <v>3250</v>
      </c>
      <c r="P13" s="161">
        <v>45417</v>
      </c>
    </row>
    <row r="14" spans="1:16" ht="14.25" customHeight="1" x14ac:dyDescent="0.25">
      <c r="A14" s="32">
        <v>203</v>
      </c>
      <c r="B14" s="163">
        <v>343.2</v>
      </c>
      <c r="C14" s="30">
        <v>348.4</v>
      </c>
      <c r="D14" s="29">
        <f t="shared" si="1"/>
        <v>5199.9999999999891</v>
      </c>
      <c r="E14" s="64">
        <f>ROUND(D14*D23,0)</f>
        <v>640</v>
      </c>
      <c r="F14" s="29">
        <v>1200</v>
      </c>
      <c r="G14" s="29">
        <f t="shared" si="2"/>
        <v>1840</v>
      </c>
      <c r="H14" s="29">
        <v>50</v>
      </c>
      <c r="I14" s="29">
        <v>0</v>
      </c>
      <c r="J14" s="29">
        <f t="shared" si="3"/>
        <v>1890</v>
      </c>
      <c r="K14" s="29">
        <v>1890</v>
      </c>
      <c r="L14" s="29"/>
      <c r="M14" s="158" t="s">
        <v>311</v>
      </c>
      <c r="N14" s="114" t="s">
        <v>388</v>
      </c>
      <c r="O14" s="114">
        <v>800</v>
      </c>
      <c r="P14" s="161">
        <v>45419</v>
      </c>
    </row>
    <row r="15" spans="1:16" ht="14.25" customHeight="1" x14ac:dyDescent="0.25">
      <c r="A15" s="32">
        <v>204</v>
      </c>
      <c r="B15" s="30">
        <v>247.29</v>
      </c>
      <c r="C15" s="30">
        <v>251.81</v>
      </c>
      <c r="D15" s="29">
        <f t="shared" si="1"/>
        <v>4520.00000000001</v>
      </c>
      <c r="E15" s="64">
        <f>ROUND(D15*D23,0)</f>
        <v>557</v>
      </c>
      <c r="F15" s="29">
        <v>1200</v>
      </c>
      <c r="G15" s="29">
        <f t="shared" si="2"/>
        <v>1757</v>
      </c>
      <c r="H15" s="29">
        <v>50</v>
      </c>
      <c r="I15" s="29">
        <v>0</v>
      </c>
      <c r="J15" s="29">
        <f t="shared" si="3"/>
        <v>1807</v>
      </c>
      <c r="K15" s="29">
        <v>1807</v>
      </c>
      <c r="L15" s="29"/>
      <c r="M15" s="158" t="s">
        <v>311</v>
      </c>
      <c r="N15" s="114" t="s">
        <v>176</v>
      </c>
      <c r="O15" s="114">
        <v>100</v>
      </c>
      <c r="P15" s="161">
        <v>45432</v>
      </c>
    </row>
    <row r="16" spans="1:16" ht="14.25" customHeight="1" x14ac:dyDescent="0.25">
      <c r="A16" s="32">
        <v>301</v>
      </c>
      <c r="B16" s="30">
        <v>49.13</v>
      </c>
      <c r="C16" s="30">
        <v>52.5</v>
      </c>
      <c r="D16" s="29">
        <f t="shared" si="1"/>
        <v>3369.9999999999973</v>
      </c>
      <c r="E16" s="64">
        <f>ROUND(D16*D23,0)</f>
        <v>415</v>
      </c>
      <c r="F16" s="29">
        <v>1200</v>
      </c>
      <c r="G16" s="29">
        <f t="shared" si="2"/>
        <v>1615</v>
      </c>
      <c r="H16" s="29">
        <v>50</v>
      </c>
      <c r="I16" s="29">
        <v>0</v>
      </c>
      <c r="J16" s="29">
        <f t="shared" si="3"/>
        <v>1665</v>
      </c>
      <c r="K16" s="29">
        <v>1665</v>
      </c>
      <c r="L16" s="29"/>
      <c r="M16" s="158" t="s">
        <v>311</v>
      </c>
      <c r="N16" s="114"/>
      <c r="O16" s="114"/>
      <c r="P16" s="160"/>
    </row>
    <row r="17" spans="1:16" ht="14.25" customHeight="1" x14ac:dyDescent="0.25">
      <c r="A17" s="32">
        <v>302</v>
      </c>
      <c r="B17" s="163">
        <v>144.41999999999999</v>
      </c>
      <c r="C17" s="30">
        <v>149.13999999999999</v>
      </c>
      <c r="D17" s="29">
        <f t="shared" si="1"/>
        <v>4719.9999999999991</v>
      </c>
      <c r="E17" s="64">
        <f>ROUND(D17*D23,0)</f>
        <v>581</v>
      </c>
      <c r="F17" s="29">
        <v>1200</v>
      </c>
      <c r="G17" s="29">
        <f t="shared" si="2"/>
        <v>1781</v>
      </c>
      <c r="H17" s="29">
        <v>50</v>
      </c>
      <c r="I17" s="29">
        <v>0</v>
      </c>
      <c r="J17" s="29">
        <f t="shared" si="3"/>
        <v>1831</v>
      </c>
      <c r="K17" s="29">
        <v>1831</v>
      </c>
      <c r="L17" s="29" t="s">
        <v>518</v>
      </c>
      <c r="M17" s="158" t="s">
        <v>311</v>
      </c>
      <c r="N17" s="160"/>
      <c r="O17" s="114"/>
      <c r="P17" s="160"/>
    </row>
    <row r="18" spans="1:16" ht="14.25" customHeight="1" x14ac:dyDescent="0.25">
      <c r="A18" s="32">
        <v>303</v>
      </c>
      <c r="B18" s="30">
        <v>815.5</v>
      </c>
      <c r="C18" s="30">
        <v>831.56</v>
      </c>
      <c r="D18" s="29">
        <f t="shared" si="1"/>
        <v>16059.999999999945</v>
      </c>
      <c r="E18" s="64">
        <f>ROUND(D18*D23,0)</f>
        <v>1977</v>
      </c>
      <c r="F18" s="29">
        <v>1200</v>
      </c>
      <c r="G18" s="29">
        <f t="shared" si="2"/>
        <v>3177</v>
      </c>
      <c r="H18" s="29">
        <v>50</v>
      </c>
      <c r="I18" s="29">
        <v>0</v>
      </c>
      <c r="J18" s="29">
        <f t="shared" si="3"/>
        <v>3227</v>
      </c>
      <c r="K18" s="29">
        <v>3227</v>
      </c>
      <c r="L18" s="29"/>
      <c r="M18" s="158" t="s">
        <v>311</v>
      </c>
      <c r="N18" s="114"/>
      <c r="O18" s="114"/>
      <c r="P18" s="160"/>
    </row>
    <row r="19" spans="1:16" ht="14.25" customHeight="1" x14ac:dyDescent="0.25">
      <c r="A19" s="32">
        <v>304</v>
      </c>
      <c r="B19" s="30">
        <v>251.8</v>
      </c>
      <c r="C19" s="30">
        <v>262.77999999999997</v>
      </c>
      <c r="D19" s="29">
        <f t="shared" si="1"/>
        <v>10979.999999999962</v>
      </c>
      <c r="E19" s="64">
        <f>ROUND(D19*D23,0)</f>
        <v>1352</v>
      </c>
      <c r="F19" s="29">
        <v>1200</v>
      </c>
      <c r="G19" s="29">
        <f t="shared" si="2"/>
        <v>2552</v>
      </c>
      <c r="H19" s="29">
        <v>50</v>
      </c>
      <c r="I19" s="29">
        <v>0</v>
      </c>
      <c r="J19" s="29">
        <f t="shared" si="3"/>
        <v>2602</v>
      </c>
      <c r="K19" s="29">
        <v>2602</v>
      </c>
      <c r="L19" s="29"/>
      <c r="M19" s="158" t="s">
        <v>311</v>
      </c>
      <c r="N19" s="160"/>
      <c r="O19" s="114"/>
      <c r="P19" s="160"/>
    </row>
    <row r="20" spans="1:16" ht="14.25" customHeight="1" x14ac:dyDescent="0.25">
      <c r="A20" s="29" t="s">
        <v>287</v>
      </c>
      <c r="B20" s="30">
        <v>272.58</v>
      </c>
      <c r="C20" s="30">
        <v>283.59899999999999</v>
      </c>
      <c r="D20" s="29">
        <f t="shared" si="1"/>
        <v>11019.000000000005</v>
      </c>
      <c r="E20" s="64">
        <v>0</v>
      </c>
      <c r="F20" s="123">
        <v>0</v>
      </c>
      <c r="G20" s="29"/>
      <c r="H20" s="29">
        <v>0</v>
      </c>
      <c r="I20" s="29"/>
      <c r="J20" s="29">
        <f>G20+H20</f>
        <v>0</v>
      </c>
      <c r="K20" s="29"/>
      <c r="L20" s="29"/>
      <c r="M20" s="51"/>
      <c r="N20" s="114"/>
      <c r="O20" s="114"/>
      <c r="P20" s="160"/>
    </row>
    <row r="21" spans="1:16" ht="14.25" customHeight="1" x14ac:dyDescent="0.25">
      <c r="A21" s="29"/>
      <c r="B21" s="29"/>
      <c r="C21" s="29"/>
      <c r="D21" s="29"/>
      <c r="E21" s="49"/>
      <c r="F21" s="49"/>
      <c r="G21" s="49"/>
      <c r="H21" s="49">
        <f>SUM(H2:H20)</f>
        <v>800</v>
      </c>
      <c r="I21" s="49"/>
      <c r="J21" s="49">
        <f>SUM(J2:J20)</f>
        <v>32243</v>
      </c>
      <c r="K21" s="49">
        <f>SUM(K2:K19)</f>
        <v>32243</v>
      </c>
      <c r="L21" s="49"/>
      <c r="M21" s="29"/>
      <c r="N21" s="114"/>
      <c r="O21" s="114"/>
      <c r="P21" s="160"/>
    </row>
    <row r="22" spans="1:16" ht="14.25" customHeight="1" x14ac:dyDescent="0.25">
      <c r="A22" s="29"/>
      <c r="B22" s="29" t="s">
        <v>75</v>
      </c>
      <c r="C22" s="29"/>
      <c r="D22" s="30">
        <f>SUM(D4:D20)</f>
        <v>105578.99999999987</v>
      </c>
      <c r="E22" s="29">
        <f>SUM(E4:E19)</f>
        <v>11643</v>
      </c>
      <c r="F22" s="29"/>
      <c r="G22" s="29"/>
      <c r="H22" s="29"/>
      <c r="I22" s="29"/>
      <c r="J22" s="29"/>
      <c r="K22" s="29"/>
      <c r="L22" s="29"/>
      <c r="M22" s="29"/>
      <c r="N22" s="121"/>
      <c r="O22" s="121">
        <f>SUM(O9:O20)</f>
        <v>26752</v>
      </c>
      <c r="P22" s="160"/>
    </row>
    <row r="23" spans="1:16" ht="14.25" customHeight="1" x14ac:dyDescent="0.25">
      <c r="A23" s="29"/>
      <c r="B23" s="29" t="s">
        <v>243</v>
      </c>
      <c r="C23" s="119" t="s">
        <v>244</v>
      </c>
      <c r="D23" s="111">
        <f>B24/D22</f>
        <v>0.12313054679434372</v>
      </c>
      <c r="E23" s="29"/>
      <c r="F23" s="29"/>
      <c r="G23" s="29" t="s">
        <v>205</v>
      </c>
      <c r="H23" s="29">
        <f>(K21+O1)-O22</f>
        <v>25746</v>
      </c>
      <c r="I23" s="29"/>
      <c r="J23" s="29"/>
      <c r="K23" s="29"/>
      <c r="L23" s="29"/>
      <c r="M23" s="29"/>
      <c r="N23" s="152"/>
      <c r="O23" s="152"/>
      <c r="P23" s="160"/>
    </row>
    <row r="24" spans="1:16" ht="14.25" customHeight="1" x14ac:dyDescent="0.25">
      <c r="A24" s="119" t="s">
        <v>85</v>
      </c>
      <c r="B24" s="30">
        <v>13000</v>
      </c>
      <c r="C24" s="119" t="s">
        <v>456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114" t="s">
        <v>519</v>
      </c>
      <c r="O24" s="114"/>
      <c r="P24" s="160"/>
    </row>
  </sheetData>
  <pageMargins left="0.7" right="0.7" top="0.75" bottom="0.75" header="0" footer="0"/>
  <pageSetup orientation="landscape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P42"/>
  <sheetViews>
    <sheetView zoomScale="79" workbookViewId="0">
      <selection activeCell="I30" sqref="I30"/>
    </sheetView>
  </sheetViews>
  <sheetFormatPr defaultColWidth="14.42578125" defaultRowHeight="15" customHeight="1" x14ac:dyDescent="0.25"/>
  <cols>
    <col min="1" max="1" width="9" customWidth="1"/>
    <col min="2" max="2" width="22.7109375" customWidth="1"/>
    <col min="3" max="3" width="21.7109375" customWidth="1"/>
    <col min="4" max="4" width="10.5703125" customWidth="1"/>
    <col min="5" max="5" width="9.85546875" customWidth="1"/>
    <col min="6" max="6" width="21" customWidth="1"/>
    <col min="7" max="7" width="17.85546875" customWidth="1"/>
    <col min="8" max="8" width="16.140625" customWidth="1"/>
    <col min="9" max="9" width="16.42578125" customWidth="1"/>
    <col min="10" max="10" width="6.7109375" customWidth="1"/>
    <col min="11" max="11" width="15.7109375" customWidth="1"/>
    <col min="12" max="12" width="14.5703125" customWidth="1"/>
    <col min="13" max="13" width="14.85546875" customWidth="1"/>
    <col min="14" max="14" width="49.7109375" customWidth="1"/>
    <col min="15" max="15" width="7" customWidth="1"/>
    <col min="16" max="16" width="32.7109375" customWidth="1"/>
    <col min="17" max="26" width="8.7109375" customWidth="1"/>
  </cols>
  <sheetData>
    <row r="1" spans="1:16" ht="14.25" customHeight="1" x14ac:dyDescent="0.25">
      <c r="A1" s="49" t="s">
        <v>287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/>
      <c r="M1" s="146" t="s">
        <v>128</v>
      </c>
      <c r="N1" s="154" t="s">
        <v>605</v>
      </c>
      <c r="O1" s="151">
        <v>25746</v>
      </c>
      <c r="P1" s="160"/>
    </row>
    <row r="2" spans="1:16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>
        <v>300</v>
      </c>
      <c r="L2" s="29"/>
      <c r="M2" s="158" t="s">
        <v>311</v>
      </c>
      <c r="N2" s="160"/>
      <c r="O2" s="160"/>
      <c r="P2" s="160"/>
    </row>
    <row r="3" spans="1:16" ht="14.25" customHeight="1" x14ac:dyDescent="0.25">
      <c r="A3" s="72" t="s">
        <v>132</v>
      </c>
      <c r="B3" s="29" t="s">
        <v>131</v>
      </c>
      <c r="C3" s="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>
        <v>300</v>
      </c>
      <c r="L3" s="29"/>
      <c r="M3" s="158" t="s">
        <v>311</v>
      </c>
      <c r="N3" s="160"/>
      <c r="O3" s="160"/>
      <c r="P3" s="160"/>
    </row>
    <row r="4" spans="1:16" ht="14.25" customHeight="1" x14ac:dyDescent="0.25">
      <c r="A4" s="32" t="s">
        <v>68</v>
      </c>
      <c r="B4" s="30">
        <v>95.54</v>
      </c>
      <c r="C4" s="30">
        <v>96.43</v>
      </c>
      <c r="D4" s="29">
        <f t="shared" ref="D4:D20" si="1">(C4-B4)*1000</f>
        <v>890.00000000000057</v>
      </c>
      <c r="E4" s="64">
        <f>ROUND(D4*D23,0)</f>
        <v>72</v>
      </c>
      <c r="F4" s="29">
        <v>1200</v>
      </c>
      <c r="G4" s="29">
        <f t="shared" ref="G4:G19" si="2">SUM(E4,F4)</f>
        <v>1272</v>
      </c>
      <c r="H4" s="29">
        <v>50</v>
      </c>
      <c r="I4" s="29">
        <v>0</v>
      </c>
      <c r="J4" s="29">
        <f t="shared" ref="J4:J19" si="3">G4+H4+I4</f>
        <v>1322</v>
      </c>
      <c r="K4" s="29">
        <v>1322</v>
      </c>
      <c r="L4" s="156"/>
      <c r="M4" s="158" t="s">
        <v>311</v>
      </c>
      <c r="N4" s="160"/>
      <c r="O4" s="160"/>
      <c r="P4" s="160"/>
    </row>
    <row r="5" spans="1:16" ht="14.25" customHeight="1" x14ac:dyDescent="0.25">
      <c r="A5" s="32" t="s">
        <v>70</v>
      </c>
      <c r="B5" s="30">
        <v>190.41</v>
      </c>
      <c r="C5" s="30">
        <v>191.71</v>
      </c>
      <c r="D5" s="29">
        <f t="shared" si="1"/>
        <v>1300.0000000000114</v>
      </c>
      <c r="E5" s="64">
        <f>ROUND(D5*D23,0)</f>
        <v>105</v>
      </c>
      <c r="F5" s="29">
        <v>1200</v>
      </c>
      <c r="G5" s="29">
        <f t="shared" si="2"/>
        <v>1305</v>
      </c>
      <c r="H5" s="29">
        <v>50</v>
      </c>
      <c r="I5" s="29">
        <v>0</v>
      </c>
      <c r="J5" s="29">
        <f t="shared" si="3"/>
        <v>1355</v>
      </c>
      <c r="K5" s="29">
        <v>1355</v>
      </c>
      <c r="L5" s="29"/>
      <c r="M5" s="158" t="s">
        <v>311</v>
      </c>
      <c r="N5" s="114"/>
      <c r="O5" s="114"/>
      <c r="P5" s="160"/>
    </row>
    <row r="6" spans="1:16" ht="14.25" customHeight="1" x14ac:dyDescent="0.25">
      <c r="A6" s="32" t="s">
        <v>16</v>
      </c>
      <c r="B6" s="30">
        <v>383.92</v>
      </c>
      <c r="C6" s="30">
        <v>384.1</v>
      </c>
      <c r="D6" s="29">
        <f t="shared" si="1"/>
        <v>180.00000000000682</v>
      </c>
      <c r="E6" s="64">
        <f>ROUND(D6*D23,0)</f>
        <v>15</v>
      </c>
      <c r="F6" s="29">
        <v>1200</v>
      </c>
      <c r="G6" s="29">
        <f t="shared" si="2"/>
        <v>1215</v>
      </c>
      <c r="H6" s="29">
        <v>50</v>
      </c>
      <c r="I6" s="29">
        <v>0</v>
      </c>
      <c r="J6" s="29">
        <f t="shared" si="3"/>
        <v>1265</v>
      </c>
      <c r="K6" s="29">
        <v>1265</v>
      </c>
      <c r="L6" s="29"/>
      <c r="M6" s="158" t="s">
        <v>311</v>
      </c>
      <c r="N6" s="114"/>
      <c r="O6" s="114"/>
      <c r="P6" s="160"/>
    </row>
    <row r="7" spans="1:16" ht="14.25" customHeight="1" x14ac:dyDescent="0.25">
      <c r="A7" s="32" t="s">
        <v>13</v>
      </c>
      <c r="B7" s="30">
        <v>304.13</v>
      </c>
      <c r="C7" s="30">
        <v>309.3</v>
      </c>
      <c r="D7" s="29">
        <f t="shared" si="1"/>
        <v>5170.0000000000164</v>
      </c>
      <c r="E7" s="64">
        <f>ROUND(D7*D23,0)</f>
        <v>417</v>
      </c>
      <c r="F7" s="29">
        <v>1200</v>
      </c>
      <c r="G7" s="29">
        <f t="shared" si="2"/>
        <v>1617</v>
      </c>
      <c r="H7" s="29">
        <v>50</v>
      </c>
      <c r="I7" s="29">
        <v>0</v>
      </c>
      <c r="J7" s="29">
        <f t="shared" si="3"/>
        <v>1667</v>
      </c>
      <c r="K7" s="29">
        <v>1667</v>
      </c>
      <c r="L7" s="29"/>
      <c r="M7" s="158" t="s">
        <v>311</v>
      </c>
      <c r="N7" s="114"/>
      <c r="O7" s="114"/>
      <c r="P7" s="160"/>
    </row>
    <row r="8" spans="1:16" ht="14.25" customHeight="1" x14ac:dyDescent="0.25">
      <c r="A8" s="32">
        <v>101</v>
      </c>
      <c r="B8" s="30">
        <v>51.76</v>
      </c>
      <c r="C8" s="30">
        <v>56.02</v>
      </c>
      <c r="D8" s="29">
        <f t="shared" si="1"/>
        <v>4260.0000000000055</v>
      </c>
      <c r="E8" s="64">
        <f>ROUND(D8*D23,0)</f>
        <v>343</v>
      </c>
      <c r="F8" s="29">
        <v>1200</v>
      </c>
      <c r="G8" s="29">
        <f t="shared" si="2"/>
        <v>1543</v>
      </c>
      <c r="H8" s="29">
        <v>50</v>
      </c>
      <c r="I8" s="29">
        <v>0</v>
      </c>
      <c r="J8" s="29">
        <f t="shared" si="3"/>
        <v>1593</v>
      </c>
      <c r="K8" s="29">
        <v>1593</v>
      </c>
      <c r="L8" s="29"/>
      <c r="M8" s="158" t="s">
        <v>311</v>
      </c>
      <c r="N8" s="153" t="s">
        <v>239</v>
      </c>
      <c r="O8" s="153"/>
      <c r="P8" s="160"/>
    </row>
    <row r="9" spans="1:16" ht="14.25" customHeight="1" x14ac:dyDescent="0.25">
      <c r="A9" s="32">
        <v>102</v>
      </c>
      <c r="B9" s="30">
        <v>559.71</v>
      </c>
      <c r="C9" s="30">
        <v>562.03</v>
      </c>
      <c r="D9" s="29">
        <f t="shared" si="1"/>
        <v>2319.9999999999363</v>
      </c>
      <c r="E9" s="64">
        <f>ROUND(D9*D23,0)</f>
        <v>187</v>
      </c>
      <c r="F9" s="29">
        <v>1200</v>
      </c>
      <c r="G9" s="29">
        <f t="shared" si="2"/>
        <v>1387</v>
      </c>
      <c r="H9" s="29">
        <v>50</v>
      </c>
      <c r="I9" s="29">
        <v>0</v>
      </c>
      <c r="J9" s="29">
        <f t="shared" si="3"/>
        <v>1437</v>
      </c>
      <c r="K9" s="29">
        <v>1437</v>
      </c>
      <c r="L9" s="29"/>
      <c r="M9" s="158" t="s">
        <v>311</v>
      </c>
      <c r="N9" s="114" t="s">
        <v>314</v>
      </c>
      <c r="O9" s="128">
        <v>6500</v>
      </c>
      <c r="P9" s="161"/>
    </row>
    <row r="10" spans="1:16" ht="14.25" customHeight="1" x14ac:dyDescent="0.25">
      <c r="A10" s="32">
        <v>103</v>
      </c>
      <c r="B10" s="30">
        <v>195.81</v>
      </c>
      <c r="C10" s="30">
        <v>200.72</v>
      </c>
      <c r="D10" s="29">
        <f t="shared" si="1"/>
        <v>4909.9999999999964</v>
      </c>
      <c r="E10" s="64">
        <f>ROUND(D10*D23,0)</f>
        <v>396</v>
      </c>
      <c r="F10" s="29">
        <v>1200</v>
      </c>
      <c r="G10" s="29">
        <f t="shared" si="2"/>
        <v>1596</v>
      </c>
      <c r="H10" s="29">
        <v>50</v>
      </c>
      <c r="I10" s="29">
        <v>0</v>
      </c>
      <c r="J10" s="29">
        <f t="shared" si="3"/>
        <v>1646</v>
      </c>
      <c r="K10" s="29">
        <v>1646</v>
      </c>
      <c r="L10" s="29"/>
      <c r="M10" s="158" t="s">
        <v>311</v>
      </c>
      <c r="N10" s="160" t="s">
        <v>520</v>
      </c>
      <c r="O10" s="160">
        <v>2044</v>
      </c>
      <c r="P10" s="161"/>
    </row>
    <row r="11" spans="1:16" ht="14.25" customHeight="1" x14ac:dyDescent="0.25">
      <c r="A11" s="32">
        <v>104</v>
      </c>
      <c r="B11" s="163">
        <v>7.33</v>
      </c>
      <c r="C11" s="30">
        <v>11.44</v>
      </c>
      <c r="D11" s="29">
        <f t="shared" si="1"/>
        <v>4109.9999999999991</v>
      </c>
      <c r="E11" s="64">
        <f>ROUND(D11*D23,0)</f>
        <v>331</v>
      </c>
      <c r="F11" s="29">
        <v>1200</v>
      </c>
      <c r="G11" s="29">
        <f t="shared" si="2"/>
        <v>1531</v>
      </c>
      <c r="H11" s="29">
        <v>50</v>
      </c>
      <c r="I11" s="29">
        <v>0</v>
      </c>
      <c r="J11" s="29">
        <f t="shared" si="3"/>
        <v>1581</v>
      </c>
      <c r="K11" s="29">
        <v>1581</v>
      </c>
      <c r="L11" s="29"/>
      <c r="M11" s="158" t="s">
        <v>311</v>
      </c>
      <c r="N11" s="160" t="s">
        <v>500</v>
      </c>
      <c r="O11" s="160">
        <v>1767</v>
      </c>
      <c r="P11" s="161"/>
    </row>
    <row r="12" spans="1:16" ht="14.25" customHeight="1" x14ac:dyDescent="0.25">
      <c r="A12" s="32">
        <v>201</v>
      </c>
      <c r="B12" s="30">
        <v>108.24</v>
      </c>
      <c r="C12" s="30">
        <v>112.87</v>
      </c>
      <c r="D12" s="29">
        <f t="shared" si="1"/>
        <v>4630.00000000001</v>
      </c>
      <c r="E12" s="64">
        <f>ROUND(D12*D23,0)</f>
        <v>373</v>
      </c>
      <c r="F12" s="29">
        <v>1200</v>
      </c>
      <c r="G12" s="29">
        <f t="shared" si="2"/>
        <v>1573</v>
      </c>
      <c r="H12" s="29">
        <v>50</v>
      </c>
      <c r="I12" s="29">
        <v>0</v>
      </c>
      <c r="J12" s="29">
        <f t="shared" si="3"/>
        <v>1623</v>
      </c>
      <c r="K12" s="29">
        <v>1623</v>
      </c>
      <c r="L12" s="29"/>
      <c r="M12" s="158" t="s">
        <v>311</v>
      </c>
      <c r="N12" s="160" t="s">
        <v>516</v>
      </c>
      <c r="O12" s="160">
        <v>11250</v>
      </c>
      <c r="P12" s="161"/>
    </row>
    <row r="13" spans="1:16" ht="14.25" customHeight="1" x14ac:dyDescent="0.25">
      <c r="A13" s="32">
        <v>202</v>
      </c>
      <c r="B13" s="30">
        <v>261.68</v>
      </c>
      <c r="C13" s="30">
        <v>266.2</v>
      </c>
      <c r="D13" s="29">
        <f t="shared" si="1"/>
        <v>4519.9999999999818</v>
      </c>
      <c r="E13" s="64">
        <f>ROUND(D13*D23,0)</f>
        <v>364</v>
      </c>
      <c r="F13" s="29">
        <v>1200</v>
      </c>
      <c r="G13" s="29">
        <f t="shared" si="2"/>
        <v>1564</v>
      </c>
      <c r="H13" s="29">
        <v>50</v>
      </c>
      <c r="I13" s="29">
        <v>0</v>
      </c>
      <c r="J13" s="29">
        <f t="shared" si="3"/>
        <v>1614</v>
      </c>
      <c r="K13" s="29">
        <v>1614</v>
      </c>
      <c r="L13" s="119" t="s">
        <v>525</v>
      </c>
      <c r="M13" s="158" t="s">
        <v>311</v>
      </c>
      <c r="N13" s="204" t="s">
        <v>521</v>
      </c>
      <c r="O13" s="204">
        <v>5000</v>
      </c>
      <c r="P13" s="205" t="s">
        <v>522</v>
      </c>
    </row>
    <row r="14" spans="1:16" ht="14.25" customHeight="1" x14ac:dyDescent="0.25">
      <c r="A14" s="32">
        <v>203</v>
      </c>
      <c r="B14" s="163">
        <v>5.2</v>
      </c>
      <c r="C14" s="30">
        <v>8.86</v>
      </c>
      <c r="D14" s="29">
        <f t="shared" si="1"/>
        <v>3659.9999999999991</v>
      </c>
      <c r="E14" s="64">
        <f>ROUND(D14*D23,0)</f>
        <v>295</v>
      </c>
      <c r="F14" s="29">
        <v>1200</v>
      </c>
      <c r="G14" s="29">
        <f t="shared" si="2"/>
        <v>1495</v>
      </c>
      <c r="H14" s="29">
        <v>50</v>
      </c>
      <c r="I14" s="29">
        <v>0</v>
      </c>
      <c r="J14" s="29">
        <f t="shared" si="3"/>
        <v>1545</v>
      </c>
      <c r="K14" s="29">
        <v>1545</v>
      </c>
      <c r="L14" s="29"/>
      <c r="M14" s="158" t="s">
        <v>311</v>
      </c>
      <c r="N14" s="114" t="s">
        <v>388</v>
      </c>
      <c r="O14" s="114">
        <v>800</v>
      </c>
      <c r="P14" s="161"/>
    </row>
    <row r="15" spans="1:16" ht="14.25" customHeight="1" x14ac:dyDescent="0.25">
      <c r="A15" s="32">
        <v>204</v>
      </c>
      <c r="B15" s="30">
        <v>251.81</v>
      </c>
      <c r="C15" s="30">
        <v>256.86</v>
      </c>
      <c r="D15" s="29">
        <f t="shared" si="1"/>
        <v>5050.0000000000109</v>
      </c>
      <c r="E15" s="64">
        <f>ROUND(D15*D23,0)</f>
        <v>407</v>
      </c>
      <c r="F15" s="29">
        <v>1200</v>
      </c>
      <c r="G15" s="29">
        <f t="shared" si="2"/>
        <v>1607</v>
      </c>
      <c r="H15" s="29">
        <v>50</v>
      </c>
      <c r="I15" s="29">
        <v>0</v>
      </c>
      <c r="J15" s="29">
        <f t="shared" si="3"/>
        <v>1657</v>
      </c>
      <c r="K15" s="29">
        <v>1657</v>
      </c>
      <c r="L15" s="29"/>
      <c r="M15" s="158" t="s">
        <v>311</v>
      </c>
      <c r="N15" s="114" t="s">
        <v>523</v>
      </c>
      <c r="O15" s="114">
        <v>191</v>
      </c>
      <c r="P15" s="161"/>
    </row>
    <row r="16" spans="1:16" ht="14.25" customHeight="1" x14ac:dyDescent="0.25">
      <c r="A16" s="32">
        <v>301</v>
      </c>
      <c r="B16" s="30">
        <v>52.5</v>
      </c>
      <c r="C16" s="30">
        <v>54.23</v>
      </c>
      <c r="D16" s="29">
        <f t="shared" si="1"/>
        <v>1729.9999999999968</v>
      </c>
      <c r="E16" s="64">
        <f>ROUND(D16*D23,0)</f>
        <v>139</v>
      </c>
      <c r="F16" s="29">
        <v>1200</v>
      </c>
      <c r="G16" s="29">
        <f t="shared" si="2"/>
        <v>1339</v>
      </c>
      <c r="H16" s="29">
        <v>50</v>
      </c>
      <c r="I16" s="29">
        <v>0</v>
      </c>
      <c r="J16" s="29">
        <f t="shared" si="3"/>
        <v>1389</v>
      </c>
      <c r="K16" s="29">
        <v>1389</v>
      </c>
      <c r="L16" s="29"/>
      <c r="M16" s="158" t="s">
        <v>311</v>
      </c>
      <c r="N16" s="114" t="s">
        <v>524</v>
      </c>
      <c r="O16" s="114">
        <v>640</v>
      </c>
      <c r="P16" s="160"/>
    </row>
    <row r="17" spans="1:16" ht="14.25" customHeight="1" x14ac:dyDescent="0.25">
      <c r="A17" s="32">
        <v>302</v>
      </c>
      <c r="B17" s="163">
        <v>149.13999999999999</v>
      </c>
      <c r="C17" s="30">
        <v>153.86000000000001</v>
      </c>
      <c r="D17" s="29">
        <f t="shared" si="1"/>
        <v>4720.0000000000273</v>
      </c>
      <c r="E17" s="64">
        <f>ROUND(D17*D23,0)</f>
        <v>380</v>
      </c>
      <c r="F17" s="29">
        <v>1200</v>
      </c>
      <c r="G17" s="29">
        <f t="shared" si="2"/>
        <v>1580</v>
      </c>
      <c r="H17" s="29">
        <v>50</v>
      </c>
      <c r="I17" s="29">
        <v>0</v>
      </c>
      <c r="J17" s="29">
        <f t="shared" si="3"/>
        <v>1630</v>
      </c>
      <c r="K17" s="29">
        <v>1630</v>
      </c>
      <c r="L17" s="119" t="s">
        <v>525</v>
      </c>
      <c r="M17" s="158" t="s">
        <v>311</v>
      </c>
      <c r="N17" s="160" t="s">
        <v>227</v>
      </c>
      <c r="O17" s="114">
        <v>364</v>
      </c>
      <c r="P17" s="160"/>
    </row>
    <row r="18" spans="1:16" ht="14.25" customHeight="1" x14ac:dyDescent="0.25">
      <c r="A18" s="32">
        <v>303</v>
      </c>
      <c r="B18" s="30">
        <v>831.56</v>
      </c>
      <c r="C18" s="30">
        <v>868.44</v>
      </c>
      <c r="D18" s="29">
        <f t="shared" si="1"/>
        <v>36880.000000000109</v>
      </c>
      <c r="E18" s="64">
        <f>ROUND(D18*D23,0)</f>
        <v>2972</v>
      </c>
      <c r="F18" s="29">
        <v>1200</v>
      </c>
      <c r="G18" s="29">
        <f t="shared" si="2"/>
        <v>4172</v>
      </c>
      <c r="H18" s="29">
        <v>50</v>
      </c>
      <c r="I18" s="29">
        <v>0</v>
      </c>
      <c r="J18" s="29">
        <f t="shared" si="3"/>
        <v>4222</v>
      </c>
      <c r="K18" s="29">
        <v>4222</v>
      </c>
      <c r="L18" s="29"/>
      <c r="M18" s="158" t="s">
        <v>311</v>
      </c>
      <c r="N18" s="114" t="s">
        <v>526</v>
      </c>
      <c r="O18" s="114">
        <v>70</v>
      </c>
      <c r="P18" s="160"/>
    </row>
    <row r="19" spans="1:16" ht="14.25" customHeight="1" x14ac:dyDescent="0.25">
      <c r="A19" s="32">
        <v>304</v>
      </c>
      <c r="B19" s="30">
        <v>262.77999999999997</v>
      </c>
      <c r="C19" s="30">
        <v>277.31</v>
      </c>
      <c r="D19" s="29">
        <f t="shared" si="1"/>
        <v>14530.000000000029</v>
      </c>
      <c r="E19" s="64">
        <f>ROUND(D19*D23,0)</f>
        <v>1171</v>
      </c>
      <c r="F19" s="29">
        <v>1200</v>
      </c>
      <c r="G19" s="29">
        <f t="shared" si="2"/>
        <v>2371</v>
      </c>
      <c r="H19" s="29">
        <v>50</v>
      </c>
      <c r="I19" s="29">
        <v>0</v>
      </c>
      <c r="J19" s="29">
        <f t="shared" si="3"/>
        <v>2421</v>
      </c>
      <c r="K19" s="29">
        <v>2421</v>
      </c>
      <c r="L19" s="29"/>
      <c r="M19" s="158" t="s">
        <v>311</v>
      </c>
      <c r="N19" s="160" t="s">
        <v>527</v>
      </c>
      <c r="O19" s="114">
        <v>105</v>
      </c>
      <c r="P19" s="160"/>
    </row>
    <row r="20" spans="1:16" ht="14.25" customHeight="1" x14ac:dyDescent="0.25">
      <c r="A20" s="29" t="s">
        <v>287</v>
      </c>
      <c r="B20" s="30">
        <v>283.60000000000002</v>
      </c>
      <c r="C20" s="30">
        <v>296.44</v>
      </c>
      <c r="D20" s="29">
        <f t="shared" si="1"/>
        <v>12839.999999999975</v>
      </c>
      <c r="E20" s="64">
        <v>0</v>
      </c>
      <c r="F20" s="123">
        <v>0</v>
      </c>
      <c r="G20" s="29"/>
      <c r="H20" s="29">
        <v>0</v>
      </c>
      <c r="I20" s="29"/>
      <c r="J20" s="29">
        <f>G20+H20</f>
        <v>0</v>
      </c>
      <c r="K20" s="29"/>
      <c r="L20" s="29"/>
      <c r="M20" s="51"/>
      <c r="N20" s="114" t="s">
        <v>528</v>
      </c>
      <c r="O20" s="114">
        <v>250</v>
      </c>
      <c r="P20" s="160"/>
    </row>
    <row r="21" spans="1:16" ht="14.25" customHeight="1" x14ac:dyDescent="0.25">
      <c r="A21" s="29"/>
      <c r="B21" s="29"/>
      <c r="C21" s="29"/>
      <c r="D21" s="29"/>
      <c r="E21" s="29"/>
      <c r="F21" s="49"/>
      <c r="G21" s="49"/>
      <c r="H21" s="49">
        <f>SUM(H2:H20)</f>
        <v>800</v>
      </c>
      <c r="I21" s="49"/>
      <c r="J21" s="49">
        <f>SUM(J2:J20)</f>
        <v>28567</v>
      </c>
      <c r="K21" s="49">
        <f>SUM(K2:K19)</f>
        <v>28567</v>
      </c>
      <c r="L21" s="49"/>
      <c r="M21" s="29"/>
      <c r="N21" s="114" t="s">
        <v>529</v>
      </c>
      <c r="O21" s="114">
        <v>6000</v>
      </c>
      <c r="P21" s="160"/>
    </row>
    <row r="22" spans="1:16" ht="14.25" customHeight="1" x14ac:dyDescent="0.25">
      <c r="A22" s="29"/>
      <c r="B22" s="29" t="s">
        <v>75</v>
      </c>
      <c r="C22" s="29"/>
      <c r="D22" s="30">
        <f>SUM(D4:D20)</f>
        <v>111700.00000000012</v>
      </c>
      <c r="E22" s="29">
        <f>SUM(E4:E19)</f>
        <v>7967</v>
      </c>
      <c r="F22" s="29"/>
      <c r="G22" s="29"/>
      <c r="H22" s="29"/>
      <c r="I22" s="29"/>
      <c r="J22" s="29"/>
      <c r="K22" s="29"/>
      <c r="L22" s="29"/>
      <c r="M22" s="29"/>
      <c r="N22" s="114" t="s">
        <v>530</v>
      </c>
      <c r="O22" s="121">
        <v>608</v>
      </c>
      <c r="P22" s="160"/>
    </row>
    <row r="23" spans="1:16" ht="14.25" customHeight="1" x14ac:dyDescent="0.25">
      <c r="A23" s="29"/>
      <c r="B23" s="29" t="s">
        <v>243</v>
      </c>
      <c r="C23" s="119" t="s">
        <v>244</v>
      </c>
      <c r="D23" s="111">
        <f>B24/D22</f>
        <v>8.0572963294538863E-2</v>
      </c>
      <c r="E23" s="29"/>
      <c r="F23" s="29"/>
      <c r="G23" s="29" t="s">
        <v>205</v>
      </c>
      <c r="H23" s="29">
        <f>(K21+O1)-O22</f>
        <v>53705</v>
      </c>
      <c r="I23" s="29"/>
      <c r="J23" s="29"/>
      <c r="K23" s="29"/>
      <c r="L23" s="29"/>
      <c r="M23" s="29"/>
      <c r="N23" s="152" t="s">
        <v>531</v>
      </c>
      <c r="O23" s="152">
        <v>400</v>
      </c>
      <c r="P23" s="160"/>
    </row>
    <row r="24" spans="1:16" ht="14.25" customHeight="1" x14ac:dyDescent="0.25">
      <c r="A24" s="119" t="s">
        <v>85</v>
      </c>
      <c r="B24" s="30">
        <v>9000</v>
      </c>
      <c r="C24" s="119" t="s">
        <v>273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114" t="s">
        <v>532</v>
      </c>
      <c r="O24" s="114">
        <v>1235</v>
      </c>
      <c r="P24" s="160"/>
    </row>
    <row r="25" spans="1:16" ht="14.25" customHeight="1" x14ac:dyDescent="0.25">
      <c r="N25" s="1" t="s">
        <v>533</v>
      </c>
      <c r="O25" s="1">
        <v>400</v>
      </c>
    </row>
    <row r="26" spans="1:16" ht="14.25" customHeight="1" x14ac:dyDescent="0.25">
      <c r="N26" s="1" t="s">
        <v>534</v>
      </c>
      <c r="O26" s="1">
        <v>180</v>
      </c>
    </row>
    <row r="27" spans="1:16" ht="14.25" customHeight="1" x14ac:dyDescent="0.25"/>
    <row r="28" spans="1:16" ht="14.25" customHeight="1" x14ac:dyDescent="0.25">
      <c r="O28" s="1">
        <f>SUM(O9:O26)</f>
        <v>37804</v>
      </c>
      <c r="P28" s="1">
        <f>O22-K21-25476</f>
        <v>-53435</v>
      </c>
    </row>
    <row r="29" spans="1:16" ht="14.25" customHeight="1" x14ac:dyDescent="0.25">
      <c r="P29" s="1">
        <f>P28+10650</f>
        <v>-42785</v>
      </c>
    </row>
    <row r="30" spans="1:16" ht="14.25" customHeight="1" x14ac:dyDescent="0.25"/>
    <row r="31" spans="1:16" ht="14.25" customHeight="1" x14ac:dyDescent="0.25">
      <c r="N31" s="1" t="s">
        <v>205</v>
      </c>
      <c r="O31" s="1">
        <f>J21+O1-O28</f>
        <v>16509</v>
      </c>
    </row>
    <row r="33" spans="8:14" ht="14.25" customHeight="1" x14ac:dyDescent="0.25">
      <c r="H33" s="1">
        <f>6000-350</f>
        <v>5650</v>
      </c>
      <c r="I33" s="1">
        <f>5650+5000</f>
        <v>10650</v>
      </c>
    </row>
    <row r="34" spans="8:14" ht="14.25" customHeight="1" x14ac:dyDescent="0.25"/>
    <row r="35" spans="8:14" ht="14.25" customHeight="1" x14ac:dyDescent="0.25"/>
    <row r="36" spans="8:14" ht="14.25" customHeight="1" x14ac:dyDescent="0.25"/>
    <row r="37" spans="8:14" ht="14.25" customHeight="1" x14ac:dyDescent="0.25"/>
    <row r="38" spans="8:14" ht="14.25" customHeight="1" x14ac:dyDescent="0.25"/>
    <row r="39" spans="8:14" ht="14.25" customHeight="1" x14ac:dyDescent="0.25">
      <c r="L39" s="160"/>
      <c r="M39" s="160"/>
      <c r="N39" s="160"/>
    </row>
    <row r="40" spans="8:14" ht="14.25" customHeight="1" x14ac:dyDescent="0.25">
      <c r="L40" s="160">
        <v>203</v>
      </c>
      <c r="M40" s="160" t="s">
        <v>535</v>
      </c>
      <c r="N40" s="160">
        <v>8.86</v>
      </c>
    </row>
    <row r="41" spans="8:14" ht="14.25" customHeight="1" x14ac:dyDescent="0.25">
      <c r="L41" s="160">
        <v>104</v>
      </c>
      <c r="M41" s="160" t="s">
        <v>535</v>
      </c>
      <c r="N41" s="160">
        <v>11.4</v>
      </c>
    </row>
    <row r="42" spans="8:14" ht="14.25" customHeight="1" x14ac:dyDescent="0.25">
      <c r="L42" s="160">
        <v>302</v>
      </c>
      <c r="M42" s="160" t="s">
        <v>536</v>
      </c>
      <c r="N42" s="160">
        <v>4.72</v>
      </c>
    </row>
  </sheetData>
  <pageMargins left="0.7" right="0.7" top="0.75" bottom="0.75" header="0" footer="0"/>
  <pageSetup orientation="landscape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P42"/>
  <sheetViews>
    <sheetView zoomScale="79" workbookViewId="0">
      <selection activeCell="P15" sqref="P15"/>
    </sheetView>
  </sheetViews>
  <sheetFormatPr defaultColWidth="14.42578125" defaultRowHeight="15" customHeight="1" x14ac:dyDescent="0.25"/>
  <cols>
    <col min="1" max="1" width="9" customWidth="1"/>
    <col min="2" max="2" width="22.7109375" customWidth="1"/>
    <col min="3" max="3" width="21.7109375" customWidth="1"/>
    <col min="4" max="4" width="10.5703125" customWidth="1"/>
    <col min="5" max="5" width="9.85546875" customWidth="1"/>
    <col min="6" max="6" width="21" customWidth="1"/>
    <col min="7" max="7" width="17.85546875" customWidth="1"/>
    <col min="8" max="8" width="16.140625" customWidth="1"/>
    <col min="9" max="9" width="16.42578125" customWidth="1"/>
    <col min="10" max="10" width="6.7109375" customWidth="1"/>
    <col min="11" max="11" width="15.7109375" customWidth="1"/>
    <col min="12" max="12" width="4" bestFit="1" customWidth="1"/>
    <col min="13" max="13" width="14.85546875" customWidth="1"/>
    <col min="14" max="14" width="30.28515625" bestFit="1" customWidth="1"/>
    <col min="15" max="15" width="7" customWidth="1"/>
    <col min="16" max="16" width="32.7109375" customWidth="1"/>
    <col min="17" max="26" width="8.7109375" customWidth="1"/>
  </cols>
  <sheetData>
    <row r="1" spans="1:16" ht="14.25" customHeight="1" x14ac:dyDescent="0.25">
      <c r="A1" s="49" t="s">
        <v>537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/>
      <c r="M1" s="146" t="s">
        <v>128</v>
      </c>
      <c r="N1" s="154" t="s">
        <v>538</v>
      </c>
      <c r="O1" s="151">
        <v>21509</v>
      </c>
    </row>
    <row r="2" spans="1:16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>
        <v>300</v>
      </c>
      <c r="L2" s="29"/>
      <c r="M2" s="158"/>
      <c r="N2" s="148"/>
      <c r="O2" s="149"/>
    </row>
    <row r="3" spans="1:16" ht="14.25" customHeight="1" x14ac:dyDescent="0.25">
      <c r="A3" s="72" t="s">
        <v>132</v>
      </c>
      <c r="B3" s="29" t="s">
        <v>131</v>
      </c>
      <c r="C3" s="30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>
        <v>300</v>
      </c>
      <c r="L3" s="29"/>
      <c r="M3" s="158"/>
      <c r="N3" s="148"/>
      <c r="O3" s="148"/>
    </row>
    <row r="4" spans="1:16" ht="14.25" customHeight="1" x14ac:dyDescent="0.25">
      <c r="A4" s="32" t="s">
        <v>68</v>
      </c>
      <c r="B4" s="30">
        <v>96.43</v>
      </c>
      <c r="C4" s="30">
        <v>112.7</v>
      </c>
      <c r="D4" s="29">
        <f t="shared" ref="D4:D20" si="1">(C4-B4)*1000</f>
        <v>16269.999999999996</v>
      </c>
      <c r="E4" s="64">
        <f>ROUND(D4*D23,0)</f>
        <v>1634</v>
      </c>
      <c r="F4" s="29">
        <v>1200</v>
      </c>
      <c r="G4" s="29">
        <f t="shared" ref="G4:G19" si="2">SUM(E4,F4)</f>
        <v>2834</v>
      </c>
      <c r="H4" s="29">
        <v>50</v>
      </c>
      <c r="I4" s="29">
        <v>0</v>
      </c>
      <c r="J4" s="29">
        <f t="shared" ref="J4:J19" si="3">G4+H4+I4</f>
        <v>2884</v>
      </c>
      <c r="K4" s="29">
        <v>2884</v>
      </c>
      <c r="L4" s="156"/>
      <c r="M4" s="158"/>
      <c r="N4" s="160"/>
      <c r="O4" s="160"/>
    </row>
    <row r="5" spans="1:16" ht="14.25" customHeight="1" x14ac:dyDescent="0.25">
      <c r="A5" s="32" t="s">
        <v>70</v>
      </c>
      <c r="B5" s="30">
        <v>191.71</v>
      </c>
      <c r="C5" s="30">
        <v>196.27</v>
      </c>
      <c r="D5" s="29">
        <f t="shared" si="1"/>
        <v>4560.0000000000018</v>
      </c>
      <c r="E5" s="64">
        <f>ROUND(D5*D23,0)</f>
        <v>458</v>
      </c>
      <c r="F5" s="29">
        <v>1200</v>
      </c>
      <c r="G5" s="29">
        <f t="shared" si="2"/>
        <v>1658</v>
      </c>
      <c r="H5" s="29">
        <v>50</v>
      </c>
      <c r="I5" s="29">
        <v>0</v>
      </c>
      <c r="J5" s="29">
        <f t="shared" si="3"/>
        <v>1708</v>
      </c>
      <c r="K5" s="29">
        <v>1708</v>
      </c>
      <c r="L5" s="29"/>
      <c r="M5" s="158"/>
      <c r="N5" s="114"/>
      <c r="O5" s="114"/>
    </row>
    <row r="6" spans="1:16" ht="14.25" customHeight="1" x14ac:dyDescent="0.25">
      <c r="A6" s="32" t="s">
        <v>16</v>
      </c>
      <c r="B6" s="30">
        <v>384.1</v>
      </c>
      <c r="C6" s="30">
        <v>391.65</v>
      </c>
      <c r="D6" s="29">
        <f t="shared" si="1"/>
        <v>7549.9999999999545</v>
      </c>
      <c r="E6" s="64">
        <f>ROUND(D6*D23,0)</f>
        <v>758</v>
      </c>
      <c r="F6" s="29">
        <v>1200</v>
      </c>
      <c r="G6" s="29">
        <f t="shared" si="2"/>
        <v>1958</v>
      </c>
      <c r="H6" s="29">
        <v>50</v>
      </c>
      <c r="I6" s="29">
        <v>0</v>
      </c>
      <c r="J6" s="29">
        <f t="shared" si="3"/>
        <v>2008</v>
      </c>
      <c r="K6" s="29">
        <v>2008</v>
      </c>
      <c r="L6" s="29"/>
      <c r="M6" s="158"/>
      <c r="N6" s="114"/>
      <c r="O6" s="114"/>
    </row>
    <row r="7" spans="1:16" ht="14.25" customHeight="1" x14ac:dyDescent="0.25">
      <c r="A7" s="32" t="s">
        <v>13</v>
      </c>
      <c r="B7" s="30">
        <v>309.3</v>
      </c>
      <c r="C7" s="30">
        <v>315.77999999999997</v>
      </c>
      <c r="D7" s="29">
        <f t="shared" si="1"/>
        <v>6479.9999999999618</v>
      </c>
      <c r="E7" s="64">
        <f>ROUND(D7*D23,0)</f>
        <v>651</v>
      </c>
      <c r="F7" s="29">
        <v>1200</v>
      </c>
      <c r="G7" s="29">
        <f t="shared" si="2"/>
        <v>1851</v>
      </c>
      <c r="H7" s="29">
        <v>50</v>
      </c>
      <c r="I7" s="29">
        <v>0</v>
      </c>
      <c r="J7" s="29">
        <f t="shared" si="3"/>
        <v>1901</v>
      </c>
      <c r="K7" s="29">
        <v>1901</v>
      </c>
      <c r="L7" s="29"/>
      <c r="M7" s="158"/>
      <c r="N7" s="114"/>
      <c r="O7" s="114"/>
    </row>
    <row r="8" spans="1:16" ht="14.25" customHeight="1" x14ac:dyDescent="0.25">
      <c r="A8" s="32">
        <v>101</v>
      </c>
      <c r="B8" s="30">
        <v>56.02</v>
      </c>
      <c r="C8" s="30">
        <v>60.51</v>
      </c>
      <c r="D8" s="29">
        <f t="shared" si="1"/>
        <v>4489.9999999999945</v>
      </c>
      <c r="E8" s="64">
        <f>ROUND(D8*D23,0)</f>
        <v>451</v>
      </c>
      <c r="F8" s="29">
        <v>1200</v>
      </c>
      <c r="G8" s="29">
        <f t="shared" si="2"/>
        <v>1651</v>
      </c>
      <c r="H8" s="29">
        <v>50</v>
      </c>
      <c r="I8" s="29">
        <v>0</v>
      </c>
      <c r="J8" s="29">
        <f t="shared" si="3"/>
        <v>1701</v>
      </c>
      <c r="K8" s="29">
        <v>1701</v>
      </c>
      <c r="L8" s="29"/>
      <c r="M8" s="158"/>
      <c r="N8" s="153" t="s">
        <v>239</v>
      </c>
      <c r="O8" s="153"/>
    </row>
    <row r="9" spans="1:16" ht="14.25" customHeight="1" x14ac:dyDescent="0.25">
      <c r="A9" s="32">
        <v>102</v>
      </c>
      <c r="B9" s="30">
        <v>562.03</v>
      </c>
      <c r="C9" s="30">
        <v>572.82000000000005</v>
      </c>
      <c r="D9" s="29">
        <f t="shared" si="1"/>
        <v>10790.000000000076</v>
      </c>
      <c r="E9" s="64">
        <f>ROUND(D9*D23,0)</f>
        <v>1083</v>
      </c>
      <c r="F9" s="29">
        <v>1200</v>
      </c>
      <c r="G9" s="29">
        <f t="shared" si="2"/>
        <v>2283</v>
      </c>
      <c r="H9" s="29">
        <v>50</v>
      </c>
      <c r="I9" s="29">
        <v>0</v>
      </c>
      <c r="J9" s="29">
        <f t="shared" si="3"/>
        <v>2333</v>
      </c>
      <c r="K9" s="29">
        <v>2333</v>
      </c>
      <c r="L9" s="29"/>
      <c r="M9" s="158"/>
      <c r="N9" s="114" t="s">
        <v>314</v>
      </c>
      <c r="O9" s="160">
        <v>6500</v>
      </c>
    </row>
    <row r="10" spans="1:16" ht="14.25" customHeight="1" x14ac:dyDescent="0.25">
      <c r="A10" s="32">
        <v>103</v>
      </c>
      <c r="B10" s="30">
        <v>200.72</v>
      </c>
      <c r="C10" s="29">
        <v>204.86</v>
      </c>
      <c r="D10" s="29">
        <f t="shared" si="1"/>
        <v>4140.0000000000146</v>
      </c>
      <c r="E10" s="64">
        <f>ROUND(D10*D23,0)</f>
        <v>416</v>
      </c>
      <c r="F10" s="29">
        <v>1200</v>
      </c>
      <c r="G10" s="29">
        <f t="shared" si="2"/>
        <v>1616</v>
      </c>
      <c r="H10" s="29">
        <v>50</v>
      </c>
      <c r="I10" s="29">
        <v>0</v>
      </c>
      <c r="J10" s="29">
        <f t="shared" si="3"/>
        <v>1666</v>
      </c>
      <c r="K10" s="29">
        <v>1666</v>
      </c>
      <c r="L10" s="29"/>
      <c r="M10" s="158"/>
      <c r="N10" s="160" t="s">
        <v>520</v>
      </c>
      <c r="O10" s="160">
        <v>2044</v>
      </c>
    </row>
    <row r="11" spans="1:16" ht="14.25" customHeight="1" x14ac:dyDescent="0.25">
      <c r="A11" s="32">
        <v>104</v>
      </c>
      <c r="B11" s="30">
        <v>11.44</v>
      </c>
      <c r="C11" s="30">
        <v>19.23</v>
      </c>
      <c r="D11" s="29">
        <f t="shared" si="1"/>
        <v>7790.0000000000009</v>
      </c>
      <c r="E11" s="64">
        <f>ROUND(D11*D23,0)</f>
        <v>782</v>
      </c>
      <c r="F11" s="29">
        <v>1200</v>
      </c>
      <c r="G11" s="29">
        <f t="shared" si="2"/>
        <v>1982</v>
      </c>
      <c r="H11" s="29">
        <v>50</v>
      </c>
      <c r="I11" s="29">
        <v>0</v>
      </c>
      <c r="J11" s="29">
        <f t="shared" si="3"/>
        <v>2032</v>
      </c>
      <c r="K11" s="29">
        <v>2032</v>
      </c>
      <c r="L11" s="29"/>
      <c r="M11" s="158"/>
      <c r="N11" s="160" t="s">
        <v>500</v>
      </c>
      <c r="O11" s="160">
        <v>2414</v>
      </c>
    </row>
    <row r="12" spans="1:16" ht="14.25" customHeight="1" x14ac:dyDescent="0.25">
      <c r="A12" s="32">
        <v>201</v>
      </c>
      <c r="B12" s="30">
        <v>112.87</v>
      </c>
      <c r="C12" s="30">
        <v>117.94</v>
      </c>
      <c r="D12" s="29">
        <f t="shared" si="1"/>
        <v>5069.9999999999927</v>
      </c>
      <c r="E12" s="64">
        <f>ROUND(D12*D23,0)</f>
        <v>509</v>
      </c>
      <c r="F12" s="29">
        <v>1200</v>
      </c>
      <c r="G12" s="29">
        <f t="shared" si="2"/>
        <v>1709</v>
      </c>
      <c r="H12" s="29">
        <v>50</v>
      </c>
      <c r="I12" s="29">
        <v>0</v>
      </c>
      <c r="J12" s="29">
        <f t="shared" si="3"/>
        <v>1759</v>
      </c>
      <c r="K12" s="29">
        <v>1759</v>
      </c>
      <c r="L12" s="29"/>
      <c r="M12" s="158"/>
      <c r="N12" s="160" t="s">
        <v>516</v>
      </c>
      <c r="O12" s="160">
        <v>15000</v>
      </c>
    </row>
    <row r="13" spans="1:16" ht="14.25" customHeight="1" x14ac:dyDescent="0.25">
      <c r="A13" s="32">
        <v>202</v>
      </c>
      <c r="B13" s="163">
        <v>264.60000000000002</v>
      </c>
      <c r="C13" s="30">
        <v>270.13</v>
      </c>
      <c r="D13" s="29">
        <f t="shared" si="1"/>
        <v>5529.9999999999727</v>
      </c>
      <c r="E13" s="64">
        <f>ROUND(D13*D23,0)</f>
        <v>555</v>
      </c>
      <c r="F13" s="29">
        <v>1200</v>
      </c>
      <c r="G13" s="29">
        <f t="shared" si="2"/>
        <v>1755</v>
      </c>
      <c r="H13" s="29">
        <v>50</v>
      </c>
      <c r="I13" s="29">
        <v>0</v>
      </c>
      <c r="J13" s="29">
        <f t="shared" si="3"/>
        <v>1805</v>
      </c>
      <c r="K13" s="29">
        <v>1805</v>
      </c>
      <c r="L13" s="29"/>
      <c r="M13" s="158"/>
      <c r="N13" s="114" t="s">
        <v>388</v>
      </c>
      <c r="O13" s="114">
        <v>800</v>
      </c>
    </row>
    <row r="14" spans="1:16" ht="14.25" customHeight="1" x14ac:dyDescent="0.25">
      <c r="A14" s="32">
        <v>203</v>
      </c>
      <c r="B14" s="30">
        <v>8.86</v>
      </c>
      <c r="C14" s="30">
        <v>15.49</v>
      </c>
      <c r="D14" s="29">
        <f t="shared" si="1"/>
        <v>6630.0000000000009</v>
      </c>
      <c r="E14" s="64">
        <f>ROUND(D14*D23,0)</f>
        <v>666</v>
      </c>
      <c r="F14" s="29">
        <v>1200</v>
      </c>
      <c r="G14" s="29">
        <f t="shared" si="2"/>
        <v>1866</v>
      </c>
      <c r="H14" s="29">
        <v>50</v>
      </c>
      <c r="I14" s="29">
        <v>0</v>
      </c>
      <c r="J14" s="29">
        <f t="shared" si="3"/>
        <v>1916</v>
      </c>
      <c r="K14" s="29">
        <v>1916</v>
      </c>
      <c r="L14" s="29"/>
      <c r="M14" s="158"/>
      <c r="N14" s="114" t="s">
        <v>604</v>
      </c>
      <c r="O14" s="114">
        <v>0</v>
      </c>
      <c r="P14" t="s">
        <v>610</v>
      </c>
    </row>
    <row r="15" spans="1:16" ht="14.25" customHeight="1" x14ac:dyDescent="0.25">
      <c r="A15" s="32">
        <v>204</v>
      </c>
      <c r="B15" s="30">
        <v>256.86</v>
      </c>
      <c r="C15" s="30">
        <v>262.83999999999997</v>
      </c>
      <c r="D15" s="29">
        <f t="shared" si="1"/>
        <v>5979.9999999999618</v>
      </c>
      <c r="E15" s="64">
        <f>ROUND(D15*D23,0)</f>
        <v>600</v>
      </c>
      <c r="F15" s="29">
        <v>1200</v>
      </c>
      <c r="G15" s="29">
        <f t="shared" si="2"/>
        <v>1800</v>
      </c>
      <c r="H15" s="29">
        <v>50</v>
      </c>
      <c r="I15" s="29">
        <v>0</v>
      </c>
      <c r="J15" s="29">
        <f t="shared" si="3"/>
        <v>1850</v>
      </c>
      <c r="K15" s="29">
        <v>1850</v>
      </c>
      <c r="L15" s="29"/>
      <c r="M15" s="158"/>
      <c r="N15" s="114" t="s">
        <v>609</v>
      </c>
      <c r="O15" s="114">
        <v>7500</v>
      </c>
    </row>
    <row r="16" spans="1:16" ht="14.25" customHeight="1" x14ac:dyDescent="0.25">
      <c r="A16" s="32">
        <v>301</v>
      </c>
      <c r="B16" s="30">
        <v>54.23</v>
      </c>
      <c r="C16" s="30">
        <v>59.35</v>
      </c>
      <c r="D16" s="29">
        <f t="shared" si="1"/>
        <v>5120.0000000000045</v>
      </c>
      <c r="E16" s="64">
        <f>ROUND(D16*D23,0)</f>
        <v>514</v>
      </c>
      <c r="F16" s="29">
        <v>1200</v>
      </c>
      <c r="G16" s="29">
        <f t="shared" si="2"/>
        <v>1714</v>
      </c>
      <c r="H16" s="29">
        <v>50</v>
      </c>
      <c r="I16" s="29">
        <v>0</v>
      </c>
      <c r="J16" s="29">
        <f t="shared" si="3"/>
        <v>1764</v>
      </c>
      <c r="K16" s="29">
        <v>1764</v>
      </c>
      <c r="L16" s="29"/>
      <c r="M16" s="158"/>
      <c r="N16" s="160"/>
      <c r="O16" s="114"/>
    </row>
    <row r="17" spans="1:16" ht="14.25" customHeight="1" x14ac:dyDescent="0.25">
      <c r="A17" s="32">
        <v>302</v>
      </c>
      <c r="B17" s="163">
        <v>144.5</v>
      </c>
      <c r="C17" s="30">
        <v>150.53</v>
      </c>
      <c r="D17" s="29">
        <f t="shared" si="1"/>
        <v>6030.0000000000009</v>
      </c>
      <c r="E17" s="64">
        <f>ROUND(D17*D23,0)</f>
        <v>606</v>
      </c>
      <c r="F17" s="29">
        <v>1200</v>
      </c>
      <c r="G17" s="29">
        <f t="shared" si="2"/>
        <v>1806</v>
      </c>
      <c r="H17" s="29">
        <v>50</v>
      </c>
      <c r="I17" s="29">
        <v>0</v>
      </c>
      <c r="J17" s="29">
        <f t="shared" si="3"/>
        <v>1856</v>
      </c>
      <c r="K17" s="29">
        <v>1856</v>
      </c>
      <c r="L17" s="119"/>
      <c r="M17" s="158"/>
      <c r="N17" s="114"/>
      <c r="O17" s="114"/>
      <c r="P17" s="160"/>
    </row>
    <row r="18" spans="1:16" ht="14.25" customHeight="1" x14ac:dyDescent="0.25">
      <c r="A18" s="32">
        <v>303</v>
      </c>
      <c r="B18" s="30">
        <v>868.44</v>
      </c>
      <c r="C18" s="29">
        <v>893.45</v>
      </c>
      <c r="D18" s="29">
        <f t="shared" si="1"/>
        <v>25009.999999999993</v>
      </c>
      <c r="E18" s="64">
        <f>ROUND(D18*D23,0)</f>
        <v>2511</v>
      </c>
      <c r="F18" s="29">
        <v>1200</v>
      </c>
      <c r="G18" s="29">
        <f t="shared" si="2"/>
        <v>3711</v>
      </c>
      <c r="H18" s="29">
        <v>50</v>
      </c>
      <c r="I18" s="29">
        <v>0</v>
      </c>
      <c r="J18" s="29">
        <f t="shared" si="3"/>
        <v>3761</v>
      </c>
      <c r="K18" s="29">
        <v>3761</v>
      </c>
      <c r="L18" s="29"/>
      <c r="M18" s="158"/>
      <c r="N18" s="160"/>
      <c r="O18" s="114"/>
      <c r="P18" s="160"/>
    </row>
    <row r="19" spans="1:16" ht="14.25" customHeight="1" x14ac:dyDescent="0.25">
      <c r="A19" s="32">
        <v>304</v>
      </c>
      <c r="B19" s="30">
        <v>277.31</v>
      </c>
      <c r="C19" s="30">
        <v>291.97000000000003</v>
      </c>
      <c r="D19" s="29">
        <f t="shared" si="1"/>
        <v>14660.000000000025</v>
      </c>
      <c r="E19" s="64">
        <f>ROUND(D19*D23,0)</f>
        <v>1472</v>
      </c>
      <c r="F19" s="29">
        <v>1200</v>
      </c>
      <c r="G19" s="29">
        <f t="shared" si="2"/>
        <v>2672</v>
      </c>
      <c r="H19" s="29">
        <v>50</v>
      </c>
      <c r="I19" s="29">
        <v>0</v>
      </c>
      <c r="J19" s="29">
        <f t="shared" si="3"/>
        <v>2722</v>
      </c>
      <c r="K19" s="29">
        <v>2722</v>
      </c>
      <c r="L19" s="29"/>
      <c r="M19" s="158"/>
      <c r="N19" s="114"/>
      <c r="O19" s="114"/>
      <c r="P19" s="160"/>
    </row>
    <row r="20" spans="1:16" ht="14.25" customHeight="1" x14ac:dyDescent="0.25">
      <c r="A20" s="29" t="s">
        <v>287</v>
      </c>
      <c r="B20" s="30">
        <v>296.44</v>
      </c>
      <c r="C20" s="30">
        <v>309.72000000000003</v>
      </c>
      <c r="D20" s="29">
        <f t="shared" si="1"/>
        <v>13280.000000000029</v>
      </c>
      <c r="E20" s="64">
        <v>0</v>
      </c>
      <c r="F20" s="123">
        <v>0</v>
      </c>
      <c r="G20" s="29"/>
      <c r="H20" s="29">
        <v>0</v>
      </c>
      <c r="I20" s="29"/>
      <c r="J20" s="29">
        <f>G20+H20</f>
        <v>0</v>
      </c>
      <c r="K20" s="29"/>
      <c r="L20" s="29"/>
      <c r="M20" s="51"/>
      <c r="N20" s="114"/>
      <c r="O20" s="114"/>
      <c r="P20" s="160"/>
    </row>
    <row r="21" spans="1:16" ht="14.25" customHeight="1" x14ac:dyDescent="0.25">
      <c r="A21" s="29"/>
      <c r="B21" s="29"/>
      <c r="C21" s="29"/>
      <c r="D21" s="29"/>
      <c r="E21" s="29"/>
      <c r="F21" s="49"/>
      <c r="G21" s="49"/>
      <c r="H21" s="49">
        <f>SUM(H2:H20)</f>
        <v>800</v>
      </c>
      <c r="I21" s="49"/>
      <c r="J21" s="49">
        <f>SUM(J2:J20)</f>
        <v>34266</v>
      </c>
      <c r="K21" s="49">
        <f>SUM(K2:K19)</f>
        <v>34266</v>
      </c>
      <c r="L21" s="49"/>
      <c r="M21" s="29"/>
      <c r="N21" s="114"/>
      <c r="O21" s="121"/>
      <c r="P21" s="160"/>
    </row>
    <row r="22" spans="1:16" ht="14.25" customHeight="1" x14ac:dyDescent="0.25">
      <c r="A22" s="29"/>
      <c r="B22" s="29" t="s">
        <v>75</v>
      </c>
      <c r="C22" s="29"/>
      <c r="D22" s="30">
        <f>SUM(D4:D20)</f>
        <v>149379.99999999997</v>
      </c>
      <c r="E22" s="202">
        <f>SUM(E4:E19)</f>
        <v>13666</v>
      </c>
      <c r="F22" s="29"/>
      <c r="G22" s="29"/>
      <c r="H22" s="29"/>
      <c r="I22" s="29"/>
      <c r="J22" s="29"/>
      <c r="K22" s="29"/>
      <c r="L22" s="29"/>
      <c r="M22" s="29"/>
      <c r="N22" s="152"/>
      <c r="O22" s="152"/>
      <c r="P22" s="160"/>
    </row>
    <row r="23" spans="1:16" ht="14.25" customHeight="1" x14ac:dyDescent="0.25">
      <c r="A23" s="29"/>
      <c r="B23" s="29" t="s">
        <v>243</v>
      </c>
      <c r="C23" s="119" t="s">
        <v>244</v>
      </c>
      <c r="D23" s="111">
        <f>B24/D22</f>
        <v>0.10041504886865714</v>
      </c>
      <c r="E23" s="29"/>
      <c r="F23" s="29"/>
      <c r="G23" s="29" t="s">
        <v>205</v>
      </c>
      <c r="H23" s="206">
        <f>(K21+O1)-O28</f>
        <v>21517</v>
      </c>
      <c r="I23" s="29"/>
      <c r="J23" s="29"/>
      <c r="K23" s="29"/>
      <c r="L23" s="29"/>
      <c r="M23" s="29"/>
      <c r="N23" s="114"/>
      <c r="O23" s="114"/>
      <c r="P23" s="160"/>
    </row>
    <row r="24" spans="1:16" ht="14.25" customHeight="1" x14ac:dyDescent="0.25">
      <c r="A24" s="119" t="s">
        <v>85</v>
      </c>
      <c r="B24" s="30">
        <f>12*1250</f>
        <v>15000</v>
      </c>
      <c r="C24" s="119" t="s">
        <v>420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P24" s="160"/>
    </row>
    <row r="25" spans="1:16" ht="14.25" customHeight="1" x14ac:dyDescent="0.25"/>
    <row r="26" spans="1:16" ht="14.25" customHeight="1" x14ac:dyDescent="0.25"/>
    <row r="27" spans="1:16" ht="14.25" customHeight="1" x14ac:dyDescent="0.25"/>
    <row r="28" spans="1:16" ht="14.25" customHeight="1" x14ac:dyDescent="0.25">
      <c r="O28" s="1">
        <f>SUM(O9:O25)</f>
        <v>34258</v>
      </c>
      <c r="P28" s="1">
        <f>O21-K21-25476</f>
        <v>-59742</v>
      </c>
    </row>
    <row r="29" spans="1:16" ht="14.25" customHeight="1" x14ac:dyDescent="0.25">
      <c r="P29" s="1">
        <f>P28+10650</f>
        <v>-49092</v>
      </c>
    </row>
    <row r="30" spans="1:16" ht="14.25" customHeight="1" x14ac:dyDescent="0.25">
      <c r="E30" s="1">
        <v>202</v>
      </c>
      <c r="F30" s="203">
        <v>266.2</v>
      </c>
    </row>
    <row r="31" spans="1:16" ht="14.25" customHeight="1" x14ac:dyDescent="0.25">
      <c r="E31" s="1">
        <v>302</v>
      </c>
      <c r="F31" s="1">
        <v>153.86000000000001</v>
      </c>
    </row>
    <row r="33" spans="8:14" ht="14.25" customHeight="1" x14ac:dyDescent="0.25">
      <c r="H33" s="1"/>
      <c r="I33" s="1"/>
    </row>
    <row r="34" spans="8:14" ht="14.25" customHeight="1" x14ac:dyDescent="0.25"/>
    <row r="35" spans="8:14" ht="14.25" customHeight="1" x14ac:dyDescent="0.25"/>
    <row r="36" spans="8:14" ht="14.25" customHeight="1" x14ac:dyDescent="0.25"/>
    <row r="37" spans="8:14" ht="14.25" customHeight="1" x14ac:dyDescent="0.25"/>
    <row r="38" spans="8:14" ht="14.25" customHeight="1" x14ac:dyDescent="0.25"/>
    <row r="39" spans="8:14" ht="14.25" customHeight="1" x14ac:dyDescent="0.25">
      <c r="L39" s="160"/>
      <c r="M39" s="160"/>
      <c r="N39" s="160"/>
    </row>
    <row r="40" spans="8:14" ht="14.25" customHeight="1" x14ac:dyDescent="0.25">
      <c r="L40" s="160">
        <v>203</v>
      </c>
      <c r="M40" s="160" t="s">
        <v>535</v>
      </c>
      <c r="N40" s="160">
        <v>8.86</v>
      </c>
    </row>
    <row r="41" spans="8:14" ht="14.25" customHeight="1" x14ac:dyDescent="0.25">
      <c r="L41" s="160">
        <v>104</v>
      </c>
      <c r="M41" s="160" t="s">
        <v>535</v>
      </c>
      <c r="N41" s="160">
        <v>11.4</v>
      </c>
    </row>
    <row r="42" spans="8:14" ht="14.25" customHeight="1" x14ac:dyDescent="0.25">
      <c r="L42" s="160">
        <v>302</v>
      </c>
      <c r="M42" s="160" t="s">
        <v>536</v>
      </c>
      <c r="N42" s="160">
        <v>4.72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15147-E141-4ABA-9273-99B08B6187F8}">
  <dimension ref="A1:P42"/>
  <sheetViews>
    <sheetView zoomScale="85" workbookViewId="0">
      <selection activeCell="O28" sqref="O28"/>
    </sheetView>
  </sheetViews>
  <sheetFormatPr defaultColWidth="14.42578125" defaultRowHeight="15" x14ac:dyDescent="0.25"/>
  <cols>
    <col min="1" max="1" width="9" customWidth="1"/>
    <col min="2" max="2" width="22.7109375" customWidth="1"/>
    <col min="3" max="3" width="21.7109375" customWidth="1"/>
    <col min="4" max="4" width="10.5703125" customWidth="1"/>
    <col min="5" max="5" width="9.85546875" customWidth="1"/>
    <col min="6" max="6" width="21" customWidth="1"/>
    <col min="7" max="7" width="17.85546875" customWidth="1"/>
    <col min="8" max="8" width="16.140625" customWidth="1"/>
    <col min="9" max="9" width="16.42578125" customWidth="1"/>
    <col min="10" max="10" width="6.7109375" customWidth="1"/>
    <col min="11" max="11" width="15.7109375" customWidth="1"/>
    <col min="12" max="12" width="4" bestFit="1" customWidth="1"/>
    <col min="13" max="13" width="14.85546875" customWidth="1"/>
    <col min="14" max="14" width="30.28515625" bestFit="1" customWidth="1"/>
    <col min="15" max="15" width="7" customWidth="1"/>
    <col min="16" max="16" width="32.7109375" customWidth="1"/>
    <col min="17" max="26" width="8.7109375" customWidth="1"/>
  </cols>
  <sheetData>
    <row r="1" spans="1:15" ht="14.25" customHeight="1" x14ac:dyDescent="0.25">
      <c r="A1" s="49" t="s">
        <v>537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/>
      <c r="M1" s="146" t="s">
        <v>128</v>
      </c>
      <c r="N1" s="154" t="s">
        <v>607</v>
      </c>
      <c r="O1" s="151">
        <v>21517</v>
      </c>
    </row>
    <row r="2" spans="1:15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/>
      <c r="L2" s="29"/>
      <c r="M2" s="158"/>
      <c r="N2" s="148"/>
      <c r="O2" s="149"/>
    </row>
    <row r="3" spans="1:15" ht="14.25" customHeight="1" x14ac:dyDescent="0.25">
      <c r="A3" s="72" t="s">
        <v>132</v>
      </c>
      <c r="B3" s="29" t="s">
        <v>131</v>
      </c>
      <c r="C3" s="30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/>
      <c r="L3" s="29"/>
      <c r="M3" s="158"/>
      <c r="N3" s="148"/>
      <c r="O3" s="148"/>
    </row>
    <row r="4" spans="1:15" ht="14.25" customHeight="1" x14ac:dyDescent="0.25">
      <c r="A4" s="32" t="s">
        <v>68</v>
      </c>
      <c r="B4" s="30">
        <v>112.7</v>
      </c>
      <c r="C4" s="30">
        <v>117.23</v>
      </c>
      <c r="D4" s="29">
        <f t="shared" ref="D4:D20" si="1">(C4-B4)*1000</f>
        <v>4530.0000000000009</v>
      </c>
      <c r="E4" s="64">
        <f>ROUND(D4*D23,0)</f>
        <v>467</v>
      </c>
      <c r="F4" s="29">
        <v>1200</v>
      </c>
      <c r="G4" s="29">
        <f t="shared" ref="G4:G19" si="2">SUM(E4,F4)</f>
        <v>1667</v>
      </c>
      <c r="H4" s="29">
        <v>50</v>
      </c>
      <c r="I4" s="29">
        <v>0</v>
      </c>
      <c r="J4" s="29">
        <f t="shared" ref="J4:J19" si="3">G4+H4+I4</f>
        <v>1717</v>
      </c>
      <c r="K4" s="29"/>
      <c r="L4" s="156"/>
      <c r="M4" s="158"/>
      <c r="N4" s="160"/>
      <c r="O4" s="160"/>
    </row>
    <row r="5" spans="1:15" ht="14.25" customHeight="1" x14ac:dyDescent="0.25">
      <c r="A5" s="32" t="s">
        <v>70</v>
      </c>
      <c r="B5" s="30">
        <v>196.27</v>
      </c>
      <c r="C5" s="30">
        <v>201.81</v>
      </c>
      <c r="D5" s="29">
        <f t="shared" si="1"/>
        <v>5539.9999999999918</v>
      </c>
      <c r="E5" s="64">
        <f>ROUND(D5*D23,0)</f>
        <v>571</v>
      </c>
      <c r="F5" s="29">
        <v>1200</v>
      </c>
      <c r="G5" s="29">
        <f t="shared" si="2"/>
        <v>1771</v>
      </c>
      <c r="H5" s="29">
        <v>50</v>
      </c>
      <c r="I5" s="29">
        <v>0</v>
      </c>
      <c r="J5" s="29">
        <f t="shared" si="3"/>
        <v>1821</v>
      </c>
      <c r="K5" s="29"/>
      <c r="L5" s="29"/>
      <c r="M5" s="158"/>
      <c r="N5" s="114"/>
      <c r="O5" s="114"/>
    </row>
    <row r="6" spans="1:15" ht="14.25" customHeight="1" x14ac:dyDescent="0.25">
      <c r="A6" s="32" t="s">
        <v>16</v>
      </c>
      <c r="B6" s="30">
        <v>391.65</v>
      </c>
      <c r="C6" s="30">
        <v>399.65</v>
      </c>
      <c r="D6" s="29">
        <f t="shared" si="1"/>
        <v>8000</v>
      </c>
      <c r="E6" s="64">
        <f>ROUND(D6*D23,0)</f>
        <v>825</v>
      </c>
      <c r="F6" s="29">
        <v>1200</v>
      </c>
      <c r="G6" s="29">
        <f t="shared" si="2"/>
        <v>2025</v>
      </c>
      <c r="H6" s="29">
        <v>50</v>
      </c>
      <c r="I6" s="29">
        <v>0</v>
      </c>
      <c r="J6" s="29">
        <f t="shared" si="3"/>
        <v>2075</v>
      </c>
      <c r="K6" s="29"/>
      <c r="L6" s="29"/>
      <c r="M6" s="158"/>
      <c r="N6" s="114"/>
      <c r="O6" s="114"/>
    </row>
    <row r="7" spans="1:15" ht="14.25" customHeight="1" x14ac:dyDescent="0.25">
      <c r="A7" s="32" t="s">
        <v>13</v>
      </c>
      <c r="B7" s="30">
        <v>315.77999999999997</v>
      </c>
      <c r="C7" s="30">
        <v>326.35000000000002</v>
      </c>
      <c r="D7" s="29">
        <f t="shared" si="1"/>
        <v>10570.000000000051</v>
      </c>
      <c r="E7" s="64">
        <f>ROUND(D7*D23,0)</f>
        <v>1090</v>
      </c>
      <c r="F7" s="29">
        <v>1200</v>
      </c>
      <c r="G7" s="29">
        <f t="shared" si="2"/>
        <v>2290</v>
      </c>
      <c r="H7" s="29">
        <v>50</v>
      </c>
      <c r="I7" s="29">
        <v>0</v>
      </c>
      <c r="J7" s="29">
        <f t="shared" si="3"/>
        <v>2340</v>
      </c>
      <c r="K7" s="29"/>
      <c r="L7" s="29"/>
      <c r="M7" s="158"/>
      <c r="N7" s="114"/>
      <c r="O7" s="114"/>
    </row>
    <row r="8" spans="1:15" ht="14.25" customHeight="1" x14ac:dyDescent="0.25">
      <c r="A8" s="32">
        <v>101</v>
      </c>
      <c r="B8" s="30">
        <v>60.51</v>
      </c>
      <c r="C8" s="30">
        <v>64.400000000000006</v>
      </c>
      <c r="D8" s="29">
        <f t="shared" si="1"/>
        <v>3890.0000000000077</v>
      </c>
      <c r="E8" s="64">
        <f>ROUND(D8*D23,0)</f>
        <v>401</v>
      </c>
      <c r="F8" s="29">
        <v>1200</v>
      </c>
      <c r="G8" s="29">
        <f t="shared" si="2"/>
        <v>1601</v>
      </c>
      <c r="H8" s="29">
        <v>50</v>
      </c>
      <c r="I8" s="29">
        <v>0</v>
      </c>
      <c r="J8" s="29">
        <f t="shared" si="3"/>
        <v>1651</v>
      </c>
      <c r="K8" s="29"/>
      <c r="L8" s="29"/>
      <c r="M8" s="158"/>
      <c r="N8" s="153" t="s">
        <v>239</v>
      </c>
      <c r="O8" s="153"/>
    </row>
    <row r="9" spans="1:15" ht="14.25" customHeight="1" x14ac:dyDescent="0.25">
      <c r="A9" s="32">
        <v>102</v>
      </c>
      <c r="B9" s="30">
        <v>572.82000000000005</v>
      </c>
      <c r="C9" s="30">
        <v>587.53</v>
      </c>
      <c r="D9" s="29">
        <f t="shared" si="1"/>
        <v>14709.999999999924</v>
      </c>
      <c r="E9" s="64">
        <f>ROUND(D9*D23,0)</f>
        <v>1517</v>
      </c>
      <c r="F9" s="29">
        <v>1200</v>
      </c>
      <c r="G9" s="29">
        <f t="shared" si="2"/>
        <v>2717</v>
      </c>
      <c r="H9" s="29">
        <v>50</v>
      </c>
      <c r="I9" s="29">
        <v>0</v>
      </c>
      <c r="J9" s="29">
        <f t="shared" si="3"/>
        <v>2767</v>
      </c>
      <c r="K9" s="29"/>
      <c r="L9" s="29"/>
      <c r="M9" s="158"/>
      <c r="N9" s="114" t="s">
        <v>314</v>
      </c>
      <c r="O9" s="160">
        <v>6500</v>
      </c>
    </row>
    <row r="10" spans="1:15" ht="14.25" customHeight="1" x14ac:dyDescent="0.25">
      <c r="A10" s="32">
        <v>103</v>
      </c>
      <c r="B10" s="29">
        <v>204.86</v>
      </c>
      <c r="C10" s="29">
        <v>218.43</v>
      </c>
      <c r="D10" s="29">
        <f t="shared" si="1"/>
        <v>13569.999999999993</v>
      </c>
      <c r="E10" s="64">
        <f>ROUND(D10*D23,0)</f>
        <v>1399</v>
      </c>
      <c r="F10" s="29">
        <v>1200</v>
      </c>
      <c r="G10" s="29">
        <f t="shared" si="2"/>
        <v>2599</v>
      </c>
      <c r="H10" s="29">
        <v>50</v>
      </c>
      <c r="I10" s="29">
        <v>0</v>
      </c>
      <c r="J10" s="29">
        <f t="shared" si="3"/>
        <v>2649</v>
      </c>
      <c r="K10" s="29"/>
      <c r="L10" s="29"/>
      <c r="M10" s="158"/>
      <c r="N10" s="160" t="s">
        <v>520</v>
      </c>
      <c r="O10" s="160">
        <v>2044</v>
      </c>
    </row>
    <row r="11" spans="1:15" ht="14.25" customHeight="1" x14ac:dyDescent="0.25">
      <c r="A11" s="32">
        <v>104</v>
      </c>
      <c r="B11" s="30">
        <v>19.23</v>
      </c>
      <c r="C11" s="30">
        <v>33.840000000000003</v>
      </c>
      <c r="D11" s="29">
        <f t="shared" si="1"/>
        <v>14610.000000000004</v>
      </c>
      <c r="E11" s="64">
        <f>ROUND(D11*D23,0)</f>
        <v>1506</v>
      </c>
      <c r="F11" s="29">
        <v>1200</v>
      </c>
      <c r="G11" s="29">
        <f t="shared" si="2"/>
        <v>2706</v>
      </c>
      <c r="H11" s="29">
        <v>50</v>
      </c>
      <c r="I11" s="29">
        <v>0</v>
      </c>
      <c r="J11" s="29">
        <f t="shared" si="3"/>
        <v>2756</v>
      </c>
      <c r="K11" s="29"/>
      <c r="L11" s="29"/>
      <c r="M11" s="158"/>
      <c r="N11" s="160" t="s">
        <v>500</v>
      </c>
      <c r="O11" s="160">
        <v>2595</v>
      </c>
    </row>
    <row r="12" spans="1:15" ht="14.25" customHeight="1" x14ac:dyDescent="0.25">
      <c r="A12" s="32">
        <v>201</v>
      </c>
      <c r="B12" s="30">
        <v>117.94</v>
      </c>
      <c r="C12" s="30">
        <v>123.95</v>
      </c>
      <c r="D12" s="29">
        <f t="shared" si="1"/>
        <v>6010.0000000000055</v>
      </c>
      <c r="E12" s="64">
        <f>ROUND(D12*D23,0)</f>
        <v>620</v>
      </c>
      <c r="F12" s="29">
        <v>1200</v>
      </c>
      <c r="G12" s="29">
        <f t="shared" si="2"/>
        <v>1820</v>
      </c>
      <c r="H12" s="29">
        <v>50</v>
      </c>
      <c r="I12" s="29">
        <v>0</v>
      </c>
      <c r="J12" s="29">
        <f t="shared" si="3"/>
        <v>1870</v>
      </c>
      <c r="K12" s="29"/>
      <c r="L12" s="29"/>
      <c r="M12" s="158"/>
      <c r="N12" s="160" t="s">
        <v>618</v>
      </c>
      <c r="O12" s="160">
        <v>17000</v>
      </c>
    </row>
    <row r="13" spans="1:15" ht="14.25" customHeight="1" x14ac:dyDescent="0.25">
      <c r="A13" s="32">
        <v>202</v>
      </c>
      <c r="B13" s="30">
        <v>270.13</v>
      </c>
      <c r="C13" s="30">
        <v>276.36</v>
      </c>
      <c r="D13" s="29">
        <f t="shared" si="1"/>
        <v>6230.0000000000182</v>
      </c>
      <c r="E13" s="64">
        <f>ROUND(D13*D23,0)</f>
        <v>642</v>
      </c>
      <c r="F13" s="29">
        <v>1200</v>
      </c>
      <c r="G13" s="29">
        <f t="shared" si="2"/>
        <v>1842</v>
      </c>
      <c r="H13" s="29">
        <v>50</v>
      </c>
      <c r="I13" s="29">
        <v>0</v>
      </c>
      <c r="J13" s="29">
        <f t="shared" si="3"/>
        <v>1892</v>
      </c>
      <c r="K13" s="29"/>
      <c r="L13" s="29"/>
      <c r="M13" s="158"/>
      <c r="N13" s="114" t="s">
        <v>388</v>
      </c>
      <c r="O13" s="114">
        <v>800</v>
      </c>
    </row>
    <row r="14" spans="1:15" ht="14.25" customHeight="1" x14ac:dyDescent="0.25">
      <c r="A14" s="32">
        <v>203</v>
      </c>
      <c r="B14" s="30">
        <v>15.49</v>
      </c>
      <c r="C14" s="30">
        <v>22.06</v>
      </c>
      <c r="D14" s="29">
        <f t="shared" si="1"/>
        <v>6569.9999999999982</v>
      </c>
      <c r="E14" s="64">
        <f>ROUND(D14*D23,0)</f>
        <v>677</v>
      </c>
      <c r="F14" s="29">
        <v>1200</v>
      </c>
      <c r="G14" s="29">
        <f t="shared" si="2"/>
        <v>1877</v>
      </c>
      <c r="H14" s="29">
        <v>50</v>
      </c>
      <c r="I14" s="29">
        <v>0</v>
      </c>
      <c r="J14" s="29">
        <f t="shared" si="3"/>
        <v>1927</v>
      </c>
      <c r="K14" s="29"/>
      <c r="L14" s="29"/>
      <c r="M14" s="158"/>
      <c r="N14" s="114" t="s">
        <v>176</v>
      </c>
      <c r="O14" s="114">
        <v>100</v>
      </c>
    </row>
    <row r="15" spans="1:15" ht="14.25" customHeight="1" x14ac:dyDescent="0.25">
      <c r="A15" s="32">
        <v>204</v>
      </c>
      <c r="B15" s="30">
        <v>262.83999999999997</v>
      </c>
      <c r="C15" s="30">
        <v>269.61</v>
      </c>
      <c r="D15" s="29">
        <f t="shared" si="1"/>
        <v>6770.0000000000382</v>
      </c>
      <c r="E15" s="64">
        <f>ROUND(D15*D23,0)</f>
        <v>698</v>
      </c>
      <c r="F15" s="29">
        <v>1200</v>
      </c>
      <c r="G15" s="29">
        <f t="shared" si="2"/>
        <v>1898</v>
      </c>
      <c r="H15" s="29">
        <v>50</v>
      </c>
      <c r="I15" s="29">
        <v>0</v>
      </c>
      <c r="J15" s="29">
        <f t="shared" si="3"/>
        <v>1948</v>
      </c>
      <c r="K15" s="29"/>
      <c r="L15" s="29"/>
      <c r="M15" s="158"/>
      <c r="N15" s="114" t="s">
        <v>227</v>
      </c>
      <c r="O15" s="114">
        <v>363</v>
      </c>
    </row>
    <row r="16" spans="1:15" ht="14.25" customHeight="1" x14ac:dyDescent="0.25">
      <c r="A16" s="32">
        <v>301</v>
      </c>
      <c r="B16" s="30">
        <v>59.35</v>
      </c>
      <c r="C16" s="30">
        <v>63.99</v>
      </c>
      <c r="D16" s="29">
        <f t="shared" si="1"/>
        <v>4640.0000000000009</v>
      </c>
      <c r="E16" s="64">
        <f>ROUND(D16*D23,0)</f>
        <v>478</v>
      </c>
      <c r="F16" s="29">
        <v>1200</v>
      </c>
      <c r="G16" s="29">
        <f t="shared" si="2"/>
        <v>1678</v>
      </c>
      <c r="H16" s="29">
        <v>50</v>
      </c>
      <c r="I16" s="29">
        <v>0</v>
      </c>
      <c r="J16" s="29">
        <f t="shared" si="3"/>
        <v>1728</v>
      </c>
      <c r="K16" s="29"/>
      <c r="L16" s="29"/>
      <c r="M16" s="158"/>
      <c r="N16" s="160" t="s">
        <v>619</v>
      </c>
      <c r="O16" s="114">
        <v>850</v>
      </c>
    </row>
    <row r="17" spans="1:16" ht="14.25" customHeight="1" x14ac:dyDescent="0.25">
      <c r="A17" s="32">
        <v>302</v>
      </c>
      <c r="B17" s="30">
        <v>150.53</v>
      </c>
      <c r="C17" s="30">
        <v>160.16999999999999</v>
      </c>
      <c r="D17" s="29">
        <f t="shared" si="1"/>
        <v>9639.9999999999854</v>
      </c>
      <c r="E17" s="64">
        <f>ROUND(D17*D23,0)</f>
        <v>994</v>
      </c>
      <c r="F17" s="29">
        <v>1200</v>
      </c>
      <c r="G17" s="29">
        <f t="shared" si="2"/>
        <v>2194</v>
      </c>
      <c r="H17" s="29">
        <v>50</v>
      </c>
      <c r="I17" s="29">
        <v>0</v>
      </c>
      <c r="J17" s="29">
        <f t="shared" si="3"/>
        <v>2244</v>
      </c>
      <c r="K17" s="29"/>
      <c r="L17" s="119"/>
      <c r="M17" s="158"/>
      <c r="N17" s="114"/>
      <c r="O17" s="114"/>
      <c r="P17" s="160"/>
    </row>
    <row r="18" spans="1:16" ht="14.25" customHeight="1" x14ac:dyDescent="0.25">
      <c r="A18" s="32">
        <v>303</v>
      </c>
      <c r="B18" s="29">
        <v>893.45</v>
      </c>
      <c r="C18" s="29">
        <v>917.05</v>
      </c>
      <c r="D18" s="29">
        <f t="shared" si="1"/>
        <v>23599.999999999909</v>
      </c>
      <c r="E18" s="64">
        <f>ROUND(D18*D23,0)</f>
        <v>2433</v>
      </c>
      <c r="F18" s="29">
        <v>1200</v>
      </c>
      <c r="G18" s="29">
        <f t="shared" si="2"/>
        <v>3633</v>
      </c>
      <c r="H18" s="29">
        <v>50</v>
      </c>
      <c r="I18" s="29">
        <v>0</v>
      </c>
      <c r="J18" s="29">
        <f t="shared" si="3"/>
        <v>3683</v>
      </c>
      <c r="K18" s="29"/>
      <c r="L18" s="29"/>
      <c r="M18" s="158"/>
      <c r="N18" s="160"/>
      <c r="O18" s="114"/>
      <c r="P18" s="160"/>
    </row>
    <row r="19" spans="1:16" ht="14.25" customHeight="1" x14ac:dyDescent="0.25">
      <c r="A19" s="32">
        <v>304</v>
      </c>
      <c r="B19" s="30">
        <v>291.97000000000003</v>
      </c>
      <c r="C19" s="30">
        <v>305.27</v>
      </c>
      <c r="D19" s="29">
        <f t="shared" si="1"/>
        <v>13299.999999999955</v>
      </c>
      <c r="E19" s="64">
        <f>ROUND(D19*D23,0)</f>
        <v>1371</v>
      </c>
      <c r="F19" s="29">
        <v>1200</v>
      </c>
      <c r="G19" s="29">
        <f t="shared" si="2"/>
        <v>2571</v>
      </c>
      <c r="H19" s="29">
        <v>50</v>
      </c>
      <c r="I19" s="29">
        <v>0</v>
      </c>
      <c r="J19" s="29">
        <f t="shared" si="3"/>
        <v>2621</v>
      </c>
      <c r="K19" s="29"/>
      <c r="L19" s="29"/>
      <c r="M19" s="158"/>
      <c r="N19" s="114"/>
      <c r="O19" s="114"/>
      <c r="P19" s="160"/>
    </row>
    <row r="20" spans="1:16" ht="14.25" customHeight="1" x14ac:dyDescent="0.25">
      <c r="A20" s="29" t="s">
        <v>287</v>
      </c>
      <c r="B20" s="30">
        <v>309.72000000000003</v>
      </c>
      <c r="C20" s="30">
        <v>322.41000000000003</v>
      </c>
      <c r="D20" s="29">
        <f t="shared" si="1"/>
        <v>12689.999999999998</v>
      </c>
      <c r="E20" s="64">
        <v>0</v>
      </c>
      <c r="F20" s="123">
        <v>0</v>
      </c>
      <c r="G20" s="29"/>
      <c r="H20" s="29">
        <v>0</v>
      </c>
      <c r="I20" s="29"/>
      <c r="J20" s="29">
        <f>G20+H20</f>
        <v>0</v>
      </c>
      <c r="K20" s="29"/>
      <c r="L20" s="29"/>
      <c r="M20" s="51"/>
      <c r="N20" s="114"/>
      <c r="O20" s="114"/>
      <c r="P20" s="160"/>
    </row>
    <row r="21" spans="1:16" ht="14.25" customHeight="1" x14ac:dyDescent="0.25">
      <c r="A21" s="29"/>
      <c r="B21" s="29"/>
      <c r="C21" s="29"/>
      <c r="D21" s="29"/>
      <c r="E21" s="29"/>
      <c r="F21" s="49"/>
      <c r="G21" s="49"/>
      <c r="H21" s="49">
        <f>SUM(H2:H20)</f>
        <v>800</v>
      </c>
      <c r="I21" s="49"/>
      <c r="J21" s="49">
        <f>SUM(J2:J20)</f>
        <v>36289</v>
      </c>
      <c r="K21" s="49">
        <f>SUM(K2:K19)</f>
        <v>0</v>
      </c>
      <c r="L21" s="49"/>
      <c r="M21" s="29"/>
      <c r="N21" s="114"/>
      <c r="O21" s="121"/>
      <c r="P21" s="160"/>
    </row>
    <row r="22" spans="1:16" ht="14.25" customHeight="1" x14ac:dyDescent="0.25">
      <c r="A22" s="29"/>
      <c r="B22" s="29" t="s">
        <v>75</v>
      </c>
      <c r="C22" s="29"/>
      <c r="D22" s="30">
        <f>SUM(D4:D20)</f>
        <v>164869.99999999985</v>
      </c>
      <c r="E22" s="202">
        <f>SUM(E4:E19)</f>
        <v>15689</v>
      </c>
      <c r="F22" s="29"/>
      <c r="G22" s="29"/>
      <c r="H22" s="29"/>
      <c r="I22" s="29"/>
      <c r="J22" s="29"/>
      <c r="K22" s="29"/>
      <c r="L22" s="29"/>
      <c r="M22" s="29"/>
      <c r="N22" s="152"/>
      <c r="O22" s="152"/>
      <c r="P22" s="160"/>
    </row>
    <row r="23" spans="1:16" ht="14.25" customHeight="1" x14ac:dyDescent="0.25">
      <c r="A23" s="29"/>
      <c r="B23" s="29" t="s">
        <v>243</v>
      </c>
      <c r="C23" s="119" t="s">
        <v>244</v>
      </c>
      <c r="D23" s="111">
        <f>B24/D22</f>
        <v>0.1031115424273671</v>
      </c>
      <c r="E23" s="29"/>
      <c r="F23" s="29"/>
      <c r="G23" s="29" t="s">
        <v>205</v>
      </c>
      <c r="H23" s="29"/>
      <c r="I23" s="29"/>
      <c r="J23" s="29"/>
      <c r="K23" s="29"/>
      <c r="L23" s="29"/>
      <c r="M23" s="29"/>
      <c r="N23" s="114"/>
      <c r="O23" s="114"/>
      <c r="P23" s="160"/>
    </row>
    <row r="24" spans="1:16" ht="14.25" customHeight="1" x14ac:dyDescent="0.25">
      <c r="A24" s="119" t="s">
        <v>85</v>
      </c>
      <c r="B24" s="30">
        <f>17*1000</f>
        <v>17000</v>
      </c>
      <c r="C24" s="119" t="s">
        <v>608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P24" s="160"/>
    </row>
    <row r="25" spans="1:16" ht="14.25" customHeight="1" x14ac:dyDescent="0.25"/>
    <row r="26" spans="1:16" ht="14.25" customHeight="1" x14ac:dyDescent="0.25"/>
    <row r="27" spans="1:16" ht="14.25" customHeight="1" x14ac:dyDescent="0.25"/>
    <row r="28" spans="1:16" ht="14.25" customHeight="1" x14ac:dyDescent="0.25">
      <c r="O28" s="1">
        <f>SUM(O9:O25)</f>
        <v>30252</v>
      </c>
      <c r="P28" s="1"/>
    </row>
    <row r="29" spans="1:16" ht="14.25" customHeight="1" x14ac:dyDescent="0.25">
      <c r="P29" s="1"/>
    </row>
    <row r="30" spans="1:16" ht="14.25" customHeight="1" x14ac:dyDescent="0.25">
      <c r="E30" s="1"/>
      <c r="F30" s="203"/>
    </row>
    <row r="31" spans="1:16" ht="14.25" customHeight="1" x14ac:dyDescent="0.25">
      <c r="E31" s="1"/>
      <c r="F31" s="1"/>
    </row>
    <row r="33" spans="8:14" ht="14.25" customHeight="1" x14ac:dyDescent="0.25">
      <c r="H33" s="1"/>
      <c r="I33" s="1"/>
    </row>
    <row r="34" spans="8:14" ht="14.25" customHeight="1" x14ac:dyDescent="0.25"/>
    <row r="35" spans="8:14" ht="14.25" customHeight="1" x14ac:dyDescent="0.25"/>
    <row r="36" spans="8:14" ht="14.25" customHeight="1" x14ac:dyDescent="0.25"/>
    <row r="37" spans="8:14" ht="14.25" customHeight="1" x14ac:dyDescent="0.25"/>
    <row r="38" spans="8:14" ht="14.25" customHeight="1" x14ac:dyDescent="0.25"/>
    <row r="39" spans="8:14" ht="14.25" customHeight="1" x14ac:dyDescent="0.25">
      <c r="L39" s="160"/>
      <c r="M39" s="160"/>
      <c r="N39" s="160"/>
    </row>
    <row r="40" spans="8:14" ht="14.25" customHeight="1" x14ac:dyDescent="0.25">
      <c r="L40" s="160">
        <v>203</v>
      </c>
      <c r="M40" s="160" t="s">
        <v>535</v>
      </c>
      <c r="N40" s="160">
        <v>8.86</v>
      </c>
    </row>
    <row r="41" spans="8:14" ht="14.25" customHeight="1" x14ac:dyDescent="0.25">
      <c r="L41" s="160">
        <v>104</v>
      </c>
      <c r="M41" s="160" t="s">
        <v>535</v>
      </c>
      <c r="N41" s="160">
        <v>11.4</v>
      </c>
    </row>
    <row r="42" spans="8:14" ht="14.25" customHeight="1" x14ac:dyDescent="0.25">
      <c r="L42" s="160">
        <v>302</v>
      </c>
      <c r="M42" s="160" t="s">
        <v>536</v>
      </c>
      <c r="N42" s="160">
        <v>4.72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EA4CB-5910-4ECA-A2B4-7A11FEBD4910}">
  <dimension ref="A1:P42"/>
  <sheetViews>
    <sheetView zoomScale="78" workbookViewId="0">
      <selection activeCell="K21" sqref="K21"/>
    </sheetView>
  </sheetViews>
  <sheetFormatPr defaultColWidth="14.42578125" defaultRowHeight="15" x14ac:dyDescent="0.25"/>
  <cols>
    <col min="1" max="1" width="9" customWidth="1"/>
    <col min="2" max="2" width="22.7109375" customWidth="1"/>
    <col min="3" max="3" width="21.7109375" customWidth="1"/>
    <col min="4" max="4" width="10.5703125" customWidth="1"/>
    <col min="5" max="5" width="9.85546875" customWidth="1"/>
    <col min="6" max="6" width="21" customWidth="1"/>
    <col min="7" max="7" width="17.85546875" customWidth="1"/>
    <col min="8" max="8" width="16.140625" customWidth="1"/>
    <col min="9" max="9" width="16.42578125" customWidth="1"/>
    <col min="10" max="10" width="6.7109375" customWidth="1"/>
    <col min="11" max="11" width="15.7109375" customWidth="1"/>
    <col min="12" max="12" width="4" bestFit="1" customWidth="1"/>
    <col min="13" max="13" width="14.85546875" customWidth="1"/>
    <col min="14" max="14" width="30.28515625" bestFit="1" customWidth="1"/>
    <col min="15" max="15" width="7" customWidth="1"/>
    <col min="16" max="16" width="32.7109375" customWidth="1"/>
    <col min="17" max="26" width="8.7109375" customWidth="1"/>
  </cols>
  <sheetData>
    <row r="1" spans="1:15" ht="14.25" customHeight="1" x14ac:dyDescent="0.25">
      <c r="A1" s="49" t="s">
        <v>537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/>
      <c r="M1" s="146" t="s">
        <v>128</v>
      </c>
      <c r="N1" s="154" t="s">
        <v>620</v>
      </c>
      <c r="O1" s="151">
        <v>27554</v>
      </c>
    </row>
    <row r="2" spans="1:15" ht="14.25" customHeight="1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>
        <f>J2</f>
        <v>300</v>
      </c>
      <c r="L2" s="29"/>
      <c r="M2" s="158"/>
      <c r="N2" s="148"/>
      <c r="O2" s="149"/>
    </row>
    <row r="3" spans="1:15" ht="14.25" customHeight="1" x14ac:dyDescent="0.25">
      <c r="A3" s="72" t="s">
        <v>132</v>
      </c>
      <c r="B3" s="29" t="s">
        <v>131</v>
      </c>
      <c r="C3" s="30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>
        <f t="shared" ref="K3:K20" si="1">J3</f>
        <v>300</v>
      </c>
      <c r="L3" s="29"/>
      <c r="M3" s="158"/>
      <c r="N3" s="148"/>
      <c r="O3" s="148"/>
    </row>
    <row r="4" spans="1:15" ht="14.25" customHeight="1" x14ac:dyDescent="0.25">
      <c r="A4" s="32" t="s">
        <v>68</v>
      </c>
      <c r="B4" s="30">
        <v>117.23</v>
      </c>
      <c r="C4" s="30">
        <v>122.27</v>
      </c>
      <c r="D4" s="29">
        <f t="shared" ref="D4:D20" si="2">(C4-B4)*1000</f>
        <v>5039.9999999999918</v>
      </c>
      <c r="E4" s="64">
        <f>ROUND(D4*D23,0)</f>
        <v>517</v>
      </c>
      <c r="F4" s="29">
        <v>1200</v>
      </c>
      <c r="G4" s="29">
        <f t="shared" ref="G4:G19" si="3">SUM(E4,F4)</f>
        <v>1717</v>
      </c>
      <c r="H4" s="29">
        <v>50</v>
      </c>
      <c r="I4" s="29">
        <v>0</v>
      </c>
      <c r="J4" s="29">
        <f t="shared" ref="J4:J19" si="4">G4+H4+I4</f>
        <v>1767</v>
      </c>
      <c r="K4" s="29">
        <f t="shared" si="1"/>
        <v>1767</v>
      </c>
      <c r="L4" s="156"/>
      <c r="M4" s="158"/>
      <c r="N4" s="160"/>
      <c r="O4" s="160"/>
    </row>
    <row r="5" spans="1:15" ht="14.25" customHeight="1" x14ac:dyDescent="0.25">
      <c r="A5" s="32" t="s">
        <v>70</v>
      </c>
      <c r="B5" s="30">
        <v>201.81</v>
      </c>
      <c r="C5" s="30">
        <v>208.65</v>
      </c>
      <c r="D5" s="29">
        <f t="shared" si="2"/>
        <v>6840.0000000000036</v>
      </c>
      <c r="E5" s="64">
        <f>ROUND(D5*D23,0)</f>
        <v>702</v>
      </c>
      <c r="F5" s="29">
        <v>1200</v>
      </c>
      <c r="G5" s="29">
        <f t="shared" si="3"/>
        <v>1902</v>
      </c>
      <c r="H5" s="29">
        <v>50</v>
      </c>
      <c r="I5" s="29">
        <v>0</v>
      </c>
      <c r="J5" s="29">
        <f t="shared" si="4"/>
        <v>1952</v>
      </c>
      <c r="K5" s="29">
        <f t="shared" si="1"/>
        <v>1952</v>
      </c>
      <c r="L5" s="29"/>
      <c r="M5" s="158"/>
      <c r="N5" s="114"/>
      <c r="O5" s="114"/>
    </row>
    <row r="6" spans="1:15" ht="14.25" customHeight="1" x14ac:dyDescent="0.25">
      <c r="A6" s="32" t="s">
        <v>16</v>
      </c>
      <c r="B6" s="30">
        <v>399.65</v>
      </c>
      <c r="C6" s="30">
        <v>412.3</v>
      </c>
      <c r="D6" s="29">
        <f t="shared" si="2"/>
        <v>12650.000000000035</v>
      </c>
      <c r="E6" s="64">
        <f>ROUND(D6*D23,0)</f>
        <v>1299</v>
      </c>
      <c r="F6" s="29">
        <v>1200</v>
      </c>
      <c r="G6" s="29">
        <f t="shared" si="3"/>
        <v>2499</v>
      </c>
      <c r="H6" s="29">
        <v>50</v>
      </c>
      <c r="I6" s="29">
        <v>0</v>
      </c>
      <c r="J6" s="29">
        <f t="shared" si="4"/>
        <v>2549</v>
      </c>
      <c r="K6" s="29">
        <f t="shared" si="1"/>
        <v>2549</v>
      </c>
      <c r="L6" s="29"/>
      <c r="M6" s="158"/>
      <c r="N6" s="114"/>
      <c r="O6" s="114"/>
    </row>
    <row r="7" spans="1:15" ht="14.25" customHeight="1" x14ac:dyDescent="0.25">
      <c r="A7" s="32" t="s">
        <v>13</v>
      </c>
      <c r="B7" s="30">
        <v>326.35000000000002</v>
      </c>
      <c r="C7" s="30">
        <v>336.32</v>
      </c>
      <c r="D7" s="29">
        <f t="shared" si="2"/>
        <v>9969.9999999999709</v>
      </c>
      <c r="E7" s="64">
        <f>ROUND(D7*D23,0)</f>
        <v>1023</v>
      </c>
      <c r="F7" s="29">
        <v>1200</v>
      </c>
      <c r="G7" s="29">
        <f t="shared" si="3"/>
        <v>2223</v>
      </c>
      <c r="H7" s="29">
        <v>50</v>
      </c>
      <c r="I7" s="29">
        <v>0</v>
      </c>
      <c r="J7" s="29">
        <f t="shared" si="4"/>
        <v>2273</v>
      </c>
      <c r="K7" s="29">
        <f t="shared" si="1"/>
        <v>2273</v>
      </c>
      <c r="L7" s="29"/>
      <c r="M7" s="158"/>
      <c r="N7" s="114"/>
      <c r="O7" s="114"/>
    </row>
    <row r="8" spans="1:15" ht="14.25" customHeight="1" x14ac:dyDescent="0.25">
      <c r="A8" s="32">
        <v>101</v>
      </c>
      <c r="B8" s="30">
        <v>64.400000000000006</v>
      </c>
      <c r="C8" s="30">
        <v>68.739999999999995</v>
      </c>
      <c r="D8" s="29">
        <f t="shared" si="2"/>
        <v>4339.9999999999891</v>
      </c>
      <c r="E8" s="64">
        <f>ROUND(D8*D23,0)</f>
        <v>446</v>
      </c>
      <c r="F8" s="29">
        <v>1200</v>
      </c>
      <c r="G8" s="29">
        <f t="shared" si="3"/>
        <v>1646</v>
      </c>
      <c r="H8" s="29">
        <v>50</v>
      </c>
      <c r="I8" s="29">
        <v>0</v>
      </c>
      <c r="J8" s="29">
        <f t="shared" si="4"/>
        <v>1696</v>
      </c>
      <c r="K8" s="29">
        <f t="shared" si="1"/>
        <v>1696</v>
      </c>
      <c r="L8" s="29"/>
      <c r="M8" s="158"/>
      <c r="N8" s="153" t="s">
        <v>239</v>
      </c>
      <c r="O8" s="153"/>
    </row>
    <row r="9" spans="1:15" ht="14.25" customHeight="1" x14ac:dyDescent="0.25">
      <c r="A9" s="32">
        <v>102</v>
      </c>
      <c r="B9" s="30">
        <v>587.53</v>
      </c>
      <c r="C9" s="30">
        <v>597.64</v>
      </c>
      <c r="D9" s="29">
        <f t="shared" si="2"/>
        <v>10110.000000000015</v>
      </c>
      <c r="E9" s="64">
        <f>ROUND(D9*D23,0)</f>
        <v>1038</v>
      </c>
      <c r="F9" s="29">
        <v>1200</v>
      </c>
      <c r="G9" s="29">
        <f t="shared" si="3"/>
        <v>2238</v>
      </c>
      <c r="H9" s="29">
        <v>50</v>
      </c>
      <c r="I9" s="29">
        <v>0</v>
      </c>
      <c r="J9" s="29">
        <f t="shared" si="4"/>
        <v>2288</v>
      </c>
      <c r="K9" s="29">
        <f t="shared" si="1"/>
        <v>2288</v>
      </c>
      <c r="L9" s="29"/>
      <c r="M9" s="158"/>
      <c r="N9" s="114" t="s">
        <v>314</v>
      </c>
      <c r="O9" s="160">
        <v>6500</v>
      </c>
    </row>
    <row r="10" spans="1:15" ht="14.25" customHeight="1" x14ac:dyDescent="0.25">
      <c r="A10" s="32">
        <v>103</v>
      </c>
      <c r="B10" s="29">
        <v>218.43</v>
      </c>
      <c r="C10" s="29">
        <v>231.42</v>
      </c>
      <c r="D10" s="29">
        <f t="shared" si="2"/>
        <v>12989.99999999998</v>
      </c>
      <c r="E10" s="64">
        <f>ROUND(D10*D23,0)</f>
        <v>1333</v>
      </c>
      <c r="F10" s="29">
        <v>1200</v>
      </c>
      <c r="G10" s="29">
        <f t="shared" si="3"/>
        <v>2533</v>
      </c>
      <c r="H10" s="29">
        <v>50</v>
      </c>
      <c r="I10" s="29">
        <v>0</v>
      </c>
      <c r="J10" s="29">
        <f t="shared" si="4"/>
        <v>2583</v>
      </c>
      <c r="K10" s="29">
        <f t="shared" si="1"/>
        <v>2583</v>
      </c>
      <c r="L10" s="29"/>
      <c r="M10" s="158"/>
      <c r="N10" s="160" t="s">
        <v>520</v>
      </c>
      <c r="O10" s="160">
        <v>2044</v>
      </c>
    </row>
    <row r="11" spans="1:15" ht="14.25" customHeight="1" x14ac:dyDescent="0.25">
      <c r="A11" s="32">
        <v>104</v>
      </c>
      <c r="B11" s="30">
        <v>33.840000000000003</v>
      </c>
      <c r="C11" s="30">
        <v>43.78</v>
      </c>
      <c r="D11" s="29">
        <f t="shared" si="2"/>
        <v>9939.9999999999982</v>
      </c>
      <c r="E11" s="64">
        <f>ROUND(D11*D23,0)</f>
        <v>1020</v>
      </c>
      <c r="F11" s="29">
        <v>1200</v>
      </c>
      <c r="G11" s="29">
        <f t="shared" si="3"/>
        <v>2220</v>
      </c>
      <c r="H11" s="29">
        <v>50</v>
      </c>
      <c r="I11" s="29">
        <v>0</v>
      </c>
      <c r="J11" s="29">
        <f t="shared" si="4"/>
        <v>2270</v>
      </c>
      <c r="K11" s="29">
        <f t="shared" si="1"/>
        <v>2270</v>
      </c>
      <c r="L11" s="29"/>
      <c r="M11" s="158"/>
      <c r="N11" s="160" t="s">
        <v>500</v>
      </c>
      <c r="O11" s="160">
        <v>2597</v>
      </c>
    </row>
    <row r="12" spans="1:15" ht="14.25" customHeight="1" x14ac:dyDescent="0.25">
      <c r="A12" s="32">
        <v>201</v>
      </c>
      <c r="B12" s="30">
        <v>123.95</v>
      </c>
      <c r="C12" s="30">
        <v>131</v>
      </c>
      <c r="D12" s="29">
        <f t="shared" si="2"/>
        <v>7049.9999999999973</v>
      </c>
      <c r="E12" s="64">
        <f>ROUND(D12*D23,0)</f>
        <v>724</v>
      </c>
      <c r="F12" s="29">
        <v>1200</v>
      </c>
      <c r="G12" s="29">
        <f t="shared" si="3"/>
        <v>1924</v>
      </c>
      <c r="H12" s="29">
        <v>50</v>
      </c>
      <c r="I12" s="29">
        <v>0</v>
      </c>
      <c r="J12" s="29">
        <f t="shared" si="4"/>
        <v>1974</v>
      </c>
      <c r="K12" s="29">
        <f t="shared" si="1"/>
        <v>1974</v>
      </c>
      <c r="L12" s="29"/>
      <c r="M12" s="158"/>
      <c r="N12" s="160" t="s">
        <v>516</v>
      </c>
      <c r="O12" s="160">
        <v>15000</v>
      </c>
    </row>
    <row r="13" spans="1:15" ht="14.25" customHeight="1" x14ac:dyDescent="0.25">
      <c r="A13" s="32">
        <v>202</v>
      </c>
      <c r="B13" s="30">
        <v>276.36</v>
      </c>
      <c r="C13" s="30">
        <v>282.22000000000003</v>
      </c>
      <c r="D13" s="29">
        <f t="shared" si="2"/>
        <v>5860.0000000000136</v>
      </c>
      <c r="E13" s="64">
        <f>ROUND(D13*D23,0)</f>
        <v>602</v>
      </c>
      <c r="F13" s="29">
        <v>1200</v>
      </c>
      <c r="G13" s="29">
        <f t="shared" si="3"/>
        <v>1802</v>
      </c>
      <c r="H13" s="29">
        <v>50</v>
      </c>
      <c r="I13" s="29">
        <v>0</v>
      </c>
      <c r="J13" s="29">
        <f t="shared" si="4"/>
        <v>1852</v>
      </c>
      <c r="K13" s="29">
        <f t="shared" si="1"/>
        <v>1852</v>
      </c>
      <c r="L13" s="29"/>
      <c r="M13" s="158"/>
      <c r="N13" s="114" t="s">
        <v>388</v>
      </c>
      <c r="O13" s="114">
        <v>1000</v>
      </c>
    </row>
    <row r="14" spans="1:15" ht="14.25" customHeight="1" x14ac:dyDescent="0.25">
      <c r="A14" s="32">
        <v>203</v>
      </c>
      <c r="B14" s="30">
        <v>22.06</v>
      </c>
      <c r="C14" s="30">
        <v>30.05</v>
      </c>
      <c r="D14" s="29">
        <f t="shared" si="2"/>
        <v>7990.0000000000018</v>
      </c>
      <c r="E14" s="64">
        <f>ROUND(D14*D23,0)</f>
        <v>820</v>
      </c>
      <c r="F14" s="29">
        <v>1200</v>
      </c>
      <c r="G14" s="29">
        <f t="shared" si="3"/>
        <v>2020</v>
      </c>
      <c r="H14" s="29">
        <v>50</v>
      </c>
      <c r="I14" s="29">
        <v>0</v>
      </c>
      <c r="J14" s="29">
        <f t="shared" si="4"/>
        <v>2070</v>
      </c>
      <c r="K14" s="29">
        <f t="shared" si="1"/>
        <v>2070</v>
      </c>
      <c r="L14" s="29"/>
      <c r="M14" s="158"/>
      <c r="N14" s="114" t="s">
        <v>621</v>
      </c>
      <c r="O14" s="114">
        <v>770</v>
      </c>
    </row>
    <row r="15" spans="1:15" ht="14.25" customHeight="1" x14ac:dyDescent="0.25">
      <c r="A15" s="32">
        <v>204</v>
      </c>
      <c r="B15" s="30">
        <v>269.61</v>
      </c>
      <c r="C15" s="30">
        <v>276.12</v>
      </c>
      <c r="D15" s="29">
        <f t="shared" si="2"/>
        <v>6509.9999999999909</v>
      </c>
      <c r="E15" s="64">
        <f>ROUND(D15*D23,0)</f>
        <v>668</v>
      </c>
      <c r="F15" s="29">
        <v>1200</v>
      </c>
      <c r="G15" s="29">
        <f t="shared" si="3"/>
        <v>1868</v>
      </c>
      <c r="H15" s="29">
        <v>50</v>
      </c>
      <c r="I15" s="29">
        <v>0</v>
      </c>
      <c r="J15" s="29">
        <f t="shared" si="4"/>
        <v>1918</v>
      </c>
      <c r="K15" s="29">
        <f t="shared" si="1"/>
        <v>1918</v>
      </c>
      <c r="L15" s="29"/>
      <c r="M15" s="158"/>
      <c r="N15" s="114" t="s">
        <v>622</v>
      </c>
      <c r="O15" s="114">
        <v>20</v>
      </c>
    </row>
    <row r="16" spans="1:15" ht="14.25" customHeight="1" x14ac:dyDescent="0.25">
      <c r="A16" s="32">
        <v>301</v>
      </c>
      <c r="B16" s="30">
        <v>63.99</v>
      </c>
      <c r="C16" s="30">
        <v>70.14</v>
      </c>
      <c r="D16" s="29">
        <f t="shared" si="2"/>
        <v>6149.9999999999982</v>
      </c>
      <c r="E16" s="64">
        <f>ROUND(D16*D23,0)</f>
        <v>631</v>
      </c>
      <c r="F16" s="29">
        <v>1200</v>
      </c>
      <c r="G16" s="29">
        <f t="shared" si="3"/>
        <v>1831</v>
      </c>
      <c r="H16" s="29">
        <v>50</v>
      </c>
      <c r="I16" s="29">
        <v>0</v>
      </c>
      <c r="J16" s="29">
        <f t="shared" si="4"/>
        <v>1881</v>
      </c>
      <c r="K16" s="29">
        <f t="shared" si="1"/>
        <v>1881</v>
      </c>
      <c r="L16" s="29"/>
      <c r="M16" s="158"/>
      <c r="N16" s="160" t="s">
        <v>623</v>
      </c>
      <c r="O16" s="114">
        <v>235</v>
      </c>
    </row>
    <row r="17" spans="1:16" ht="14.25" customHeight="1" x14ac:dyDescent="0.25">
      <c r="A17" s="32">
        <v>302</v>
      </c>
      <c r="B17" s="30">
        <v>160.16999999999999</v>
      </c>
      <c r="C17" s="30">
        <v>169.62</v>
      </c>
      <c r="D17" s="29">
        <f t="shared" si="2"/>
        <v>9450.0000000000164</v>
      </c>
      <c r="E17" s="64">
        <f>ROUND(D17*D23,0)</f>
        <v>970</v>
      </c>
      <c r="F17" s="29">
        <v>1200</v>
      </c>
      <c r="G17" s="29">
        <f t="shared" si="3"/>
        <v>2170</v>
      </c>
      <c r="H17" s="29">
        <v>50</v>
      </c>
      <c r="I17" s="29">
        <v>0</v>
      </c>
      <c r="J17" s="29">
        <f t="shared" si="4"/>
        <v>2220</v>
      </c>
      <c r="K17" s="29">
        <f t="shared" si="1"/>
        <v>2220</v>
      </c>
      <c r="L17" s="119"/>
      <c r="M17" s="158"/>
      <c r="N17" s="114" t="s">
        <v>624</v>
      </c>
      <c r="O17" s="114">
        <f>523+249</f>
        <v>772</v>
      </c>
      <c r="P17" s="160"/>
    </row>
    <row r="18" spans="1:16" ht="14.25" customHeight="1" x14ac:dyDescent="0.25">
      <c r="A18" s="32">
        <v>303</v>
      </c>
      <c r="B18" s="29">
        <v>917.05</v>
      </c>
      <c r="C18" s="29">
        <v>927.17</v>
      </c>
      <c r="D18" s="29">
        <f t="shared" si="2"/>
        <v>10120.000000000004</v>
      </c>
      <c r="E18" s="64">
        <f>ROUND(D18*D23,0)</f>
        <v>1039</v>
      </c>
      <c r="F18" s="29">
        <v>1200</v>
      </c>
      <c r="G18" s="29">
        <f t="shared" si="3"/>
        <v>2239</v>
      </c>
      <c r="H18" s="29">
        <v>50</v>
      </c>
      <c r="I18" s="29">
        <v>0</v>
      </c>
      <c r="J18" s="29">
        <f t="shared" si="4"/>
        <v>2289</v>
      </c>
      <c r="K18" s="29">
        <f t="shared" si="1"/>
        <v>2289</v>
      </c>
      <c r="L18" s="29"/>
      <c r="M18" s="158"/>
      <c r="N18" s="160" t="s">
        <v>625</v>
      </c>
      <c r="O18" s="114">
        <v>220</v>
      </c>
      <c r="P18" s="160"/>
    </row>
    <row r="19" spans="1:16" ht="14.25" customHeight="1" x14ac:dyDescent="0.25">
      <c r="A19" s="32">
        <v>304</v>
      </c>
      <c r="B19" s="30">
        <v>305.27</v>
      </c>
      <c r="C19" s="30">
        <v>316.70999999999998</v>
      </c>
      <c r="D19" s="29">
        <f t="shared" si="2"/>
        <v>11439.999999999998</v>
      </c>
      <c r="E19" s="64">
        <f>ROUND(D19*D23,0)</f>
        <v>1174</v>
      </c>
      <c r="F19" s="29">
        <v>1200</v>
      </c>
      <c r="G19" s="29">
        <f t="shared" si="3"/>
        <v>2374</v>
      </c>
      <c r="H19" s="29">
        <v>50</v>
      </c>
      <c r="I19" s="29">
        <v>0</v>
      </c>
      <c r="J19" s="29">
        <f t="shared" si="4"/>
        <v>2424</v>
      </c>
      <c r="K19" s="29">
        <f t="shared" si="1"/>
        <v>2424</v>
      </c>
      <c r="L19" s="29"/>
      <c r="M19" s="158"/>
      <c r="N19" s="114" t="s">
        <v>626</v>
      </c>
      <c r="O19" s="114">
        <v>500</v>
      </c>
      <c r="P19" s="160"/>
    </row>
    <row r="20" spans="1:16" ht="14.25" customHeight="1" x14ac:dyDescent="0.25">
      <c r="A20" s="29" t="s">
        <v>287</v>
      </c>
      <c r="B20" s="30">
        <v>322.41000000000003</v>
      </c>
      <c r="C20" s="30">
        <v>332.08</v>
      </c>
      <c r="D20" s="29">
        <f t="shared" si="2"/>
        <v>9669.99999999996</v>
      </c>
      <c r="E20" s="64">
        <v>0</v>
      </c>
      <c r="F20" s="123">
        <v>0</v>
      </c>
      <c r="G20" s="29"/>
      <c r="H20" s="29">
        <v>0</v>
      </c>
      <c r="I20" s="29"/>
      <c r="J20" s="29">
        <f>G20+H20</f>
        <v>0</v>
      </c>
      <c r="K20" s="29">
        <f t="shared" si="1"/>
        <v>0</v>
      </c>
      <c r="L20" s="29"/>
      <c r="M20" s="51"/>
      <c r="N20" s="114"/>
      <c r="O20" s="114"/>
      <c r="P20" s="160"/>
    </row>
    <row r="21" spans="1:16" ht="14.25" customHeight="1" x14ac:dyDescent="0.25">
      <c r="A21" s="29"/>
      <c r="B21" s="29"/>
      <c r="C21" s="29"/>
      <c r="D21" s="29"/>
      <c r="E21" s="29"/>
      <c r="F21" s="49"/>
      <c r="G21" s="49"/>
      <c r="H21" s="49">
        <f>SUM(H2:H20)</f>
        <v>800</v>
      </c>
      <c r="I21" s="49"/>
      <c r="J21" s="49">
        <f>SUM(J2:J20)</f>
        <v>34606</v>
      </c>
      <c r="K21" s="49">
        <f>SUM(K2:K19)</f>
        <v>34606</v>
      </c>
      <c r="L21" s="49"/>
      <c r="M21" s="29"/>
      <c r="N21" s="114"/>
      <c r="O21" s="121"/>
      <c r="P21" s="160"/>
    </row>
    <row r="22" spans="1:16" ht="14.25" customHeight="1" x14ac:dyDescent="0.25">
      <c r="A22" s="29"/>
      <c r="B22" s="29" t="s">
        <v>75</v>
      </c>
      <c r="C22" s="29"/>
      <c r="D22" s="30">
        <f>SUM(D4:D20)</f>
        <v>146119.99999999994</v>
      </c>
      <c r="E22" s="202">
        <f>SUM(E4:E19)</f>
        <v>14006</v>
      </c>
      <c r="F22" s="29"/>
      <c r="G22" s="29"/>
      <c r="H22" s="29"/>
      <c r="I22" s="29"/>
      <c r="J22" s="29"/>
      <c r="K22" s="29"/>
      <c r="L22" s="29"/>
      <c r="M22" s="29"/>
      <c r="N22" s="152"/>
      <c r="O22" s="152"/>
      <c r="P22" s="160"/>
    </row>
    <row r="23" spans="1:16" ht="14.25" customHeight="1" x14ac:dyDescent="0.25">
      <c r="A23" s="29"/>
      <c r="B23" s="29" t="s">
        <v>243</v>
      </c>
      <c r="C23" s="119" t="s">
        <v>244</v>
      </c>
      <c r="D23" s="111">
        <f>B24/D22</f>
        <v>0.10265535176567209</v>
      </c>
      <c r="E23" s="29"/>
      <c r="F23" s="29"/>
      <c r="G23" s="29" t="s">
        <v>205</v>
      </c>
      <c r="H23" s="29"/>
      <c r="I23" s="29"/>
      <c r="J23" s="29"/>
      <c r="K23" s="29"/>
      <c r="L23" s="29"/>
      <c r="M23" s="29"/>
      <c r="N23" s="114"/>
      <c r="O23" s="114"/>
      <c r="P23" s="160"/>
    </row>
    <row r="24" spans="1:16" ht="14.25" customHeight="1" x14ac:dyDescent="0.25">
      <c r="A24" s="119" t="s">
        <v>85</v>
      </c>
      <c r="B24" s="30">
        <f>15*1000</f>
        <v>15000</v>
      </c>
      <c r="C24" s="119" t="s">
        <v>404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P24" s="160"/>
    </row>
    <row r="25" spans="1:16" ht="14.25" customHeight="1" x14ac:dyDescent="0.25"/>
    <row r="26" spans="1:16" ht="14.25" customHeight="1" x14ac:dyDescent="0.25"/>
    <row r="27" spans="1:16" ht="14.25" customHeight="1" x14ac:dyDescent="0.25"/>
    <row r="28" spans="1:16" ht="14.25" customHeight="1" x14ac:dyDescent="0.25">
      <c r="O28" s="1">
        <f>SUM(O9:O25)</f>
        <v>29658</v>
      </c>
      <c r="P28" s="1"/>
    </row>
    <row r="29" spans="1:16" ht="14.25" customHeight="1" x14ac:dyDescent="0.25">
      <c r="P29" s="1"/>
    </row>
    <row r="30" spans="1:16" ht="14.25" customHeight="1" x14ac:dyDescent="0.25">
      <c r="E30" s="1"/>
      <c r="F30" s="203"/>
    </row>
    <row r="31" spans="1:16" ht="14.25" customHeight="1" x14ac:dyDescent="0.25">
      <c r="E31" s="1"/>
      <c r="F31" s="1"/>
    </row>
    <row r="33" spans="8:14" ht="14.25" customHeight="1" x14ac:dyDescent="0.25">
      <c r="H33" s="1"/>
      <c r="I33" s="1"/>
      <c r="M33">
        <f>K21+O1-O28</f>
        <v>32502</v>
      </c>
    </row>
    <row r="34" spans="8:14" ht="14.25" customHeight="1" x14ac:dyDescent="0.25"/>
    <row r="35" spans="8:14" ht="14.25" customHeight="1" x14ac:dyDescent="0.25"/>
    <row r="36" spans="8:14" ht="14.25" customHeight="1" x14ac:dyDescent="0.25"/>
    <row r="37" spans="8:14" ht="14.25" customHeight="1" x14ac:dyDescent="0.25"/>
    <row r="38" spans="8:14" ht="14.25" customHeight="1" x14ac:dyDescent="0.25"/>
    <row r="39" spans="8:14" ht="14.25" customHeight="1" x14ac:dyDescent="0.25">
      <c r="L39" s="160"/>
      <c r="M39" s="160"/>
      <c r="N39" s="160"/>
    </row>
    <row r="40" spans="8:14" ht="14.25" customHeight="1" x14ac:dyDescent="0.25">
      <c r="L40" s="160">
        <v>203</v>
      </c>
      <c r="M40" s="160" t="s">
        <v>535</v>
      </c>
      <c r="N40" s="160">
        <v>8.86</v>
      </c>
    </row>
    <row r="41" spans="8:14" ht="14.25" customHeight="1" x14ac:dyDescent="0.25">
      <c r="L41" s="160">
        <v>104</v>
      </c>
      <c r="M41" s="160" t="s">
        <v>535</v>
      </c>
      <c r="N41" s="160">
        <v>11.4</v>
      </c>
    </row>
    <row r="42" spans="8:14" ht="14.25" customHeight="1" x14ac:dyDescent="0.25">
      <c r="L42" s="160">
        <v>302</v>
      </c>
      <c r="M42" s="160" t="s">
        <v>536</v>
      </c>
      <c r="N42" s="160">
        <v>4.72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99BFD-D543-41A9-859D-2528C77B0085}">
  <dimension ref="A1:O28"/>
  <sheetViews>
    <sheetView zoomScale="85" workbookViewId="0">
      <selection activeCell="K18" sqref="K18"/>
    </sheetView>
  </sheetViews>
  <sheetFormatPr defaultRowHeight="15" x14ac:dyDescent="0.25"/>
  <cols>
    <col min="1" max="1" width="8.42578125" bestFit="1" customWidth="1"/>
    <col min="2" max="2" width="22.7109375" bestFit="1" customWidth="1"/>
    <col min="3" max="3" width="21.7109375" bestFit="1" customWidth="1"/>
    <col min="4" max="4" width="10.5703125" bestFit="1" customWidth="1"/>
    <col min="5" max="5" width="9.7109375" bestFit="1" customWidth="1"/>
    <col min="6" max="6" width="20.85546875" bestFit="1" customWidth="1"/>
    <col min="7" max="7" width="18" bestFit="1" customWidth="1"/>
    <col min="8" max="8" width="16.28515625" bestFit="1" customWidth="1"/>
    <col min="9" max="9" width="16.42578125" bestFit="1" customWidth="1"/>
    <col min="10" max="10" width="6.85546875" bestFit="1" customWidth="1"/>
    <col min="11" max="11" width="15.7109375" bestFit="1" customWidth="1"/>
    <col min="13" max="13" width="15.140625" bestFit="1" customWidth="1"/>
    <col min="14" max="14" width="23.85546875" bestFit="1" customWidth="1"/>
  </cols>
  <sheetData>
    <row r="1" spans="1:15" x14ac:dyDescent="0.25">
      <c r="A1" s="49" t="s">
        <v>537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/>
      <c r="M1" s="146" t="s">
        <v>128</v>
      </c>
      <c r="N1" s="154" t="s">
        <v>627</v>
      </c>
      <c r="O1" s="151">
        <v>32502</v>
      </c>
    </row>
    <row r="2" spans="1:15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/>
      <c r="L2" s="29"/>
      <c r="M2" s="158"/>
      <c r="N2" s="148"/>
      <c r="O2" s="149"/>
    </row>
    <row r="3" spans="1:15" x14ac:dyDescent="0.25">
      <c r="A3" s="72" t="s">
        <v>132</v>
      </c>
      <c r="B3" s="29" t="s">
        <v>131</v>
      </c>
      <c r="C3" s="30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/>
      <c r="L3" s="29"/>
      <c r="M3" s="158"/>
      <c r="N3" s="148"/>
      <c r="O3" s="148"/>
    </row>
    <row r="4" spans="1:15" x14ac:dyDescent="0.25">
      <c r="A4" s="32" t="s">
        <v>68</v>
      </c>
      <c r="B4" s="30">
        <v>122.27</v>
      </c>
      <c r="C4" s="30">
        <v>127.39</v>
      </c>
      <c r="D4" s="29">
        <f t="shared" ref="D4:D20" si="1">(C4-B4)*1000</f>
        <v>5120.0000000000045</v>
      </c>
      <c r="E4" s="64">
        <f>ROUND(D4*D23,0)</f>
        <v>541</v>
      </c>
      <c r="F4" s="29">
        <v>1200</v>
      </c>
      <c r="G4" s="29">
        <f t="shared" ref="G4:G19" si="2">SUM(E4,F4)</f>
        <v>1741</v>
      </c>
      <c r="H4" s="29">
        <v>50</v>
      </c>
      <c r="I4" s="29">
        <v>0</v>
      </c>
      <c r="J4" s="29">
        <f t="shared" ref="J4:J19" si="3">G4+H4+I4</f>
        <v>1791</v>
      </c>
      <c r="K4" s="29"/>
      <c r="L4" s="156"/>
      <c r="M4" s="158"/>
      <c r="N4" s="160"/>
      <c r="O4" s="160"/>
    </row>
    <row r="5" spans="1:15" x14ac:dyDescent="0.25">
      <c r="A5" s="32" t="s">
        <v>70</v>
      </c>
      <c r="B5" s="30">
        <v>208.65</v>
      </c>
      <c r="C5" s="30">
        <v>214.05</v>
      </c>
      <c r="D5" s="29">
        <f t="shared" si="1"/>
        <v>5400.0000000000055</v>
      </c>
      <c r="E5" s="64">
        <f>ROUND(D5*D23,0)</f>
        <v>570</v>
      </c>
      <c r="F5" s="29">
        <v>1200</v>
      </c>
      <c r="G5" s="29">
        <f t="shared" si="2"/>
        <v>1770</v>
      </c>
      <c r="H5" s="29">
        <v>50</v>
      </c>
      <c r="I5" s="29">
        <v>0</v>
      </c>
      <c r="J5" s="29">
        <f t="shared" si="3"/>
        <v>1820</v>
      </c>
      <c r="K5" s="29"/>
      <c r="L5" s="29"/>
      <c r="M5" s="158"/>
      <c r="N5" s="114"/>
      <c r="O5" s="114"/>
    </row>
    <row r="6" spans="1:15" x14ac:dyDescent="0.25">
      <c r="A6" s="32" t="s">
        <v>16</v>
      </c>
      <c r="B6" s="30">
        <v>412.3</v>
      </c>
      <c r="C6" s="30">
        <v>421.95</v>
      </c>
      <c r="D6" s="29">
        <f t="shared" si="1"/>
        <v>9649.9999999999782</v>
      </c>
      <c r="E6" s="64">
        <f>ROUND(D6*D23,0)</f>
        <v>1019</v>
      </c>
      <c r="F6" s="29">
        <v>1200</v>
      </c>
      <c r="G6" s="29">
        <f t="shared" si="2"/>
        <v>2219</v>
      </c>
      <c r="H6" s="29">
        <v>50</v>
      </c>
      <c r="I6" s="29">
        <v>0</v>
      </c>
      <c r="J6" s="29">
        <f t="shared" si="3"/>
        <v>2269</v>
      </c>
      <c r="K6" s="29"/>
      <c r="L6" s="29"/>
      <c r="M6" s="158"/>
      <c r="N6" s="114"/>
      <c r="O6" s="114"/>
    </row>
    <row r="7" spans="1:15" x14ac:dyDescent="0.25">
      <c r="A7" s="32" t="s">
        <v>13</v>
      </c>
      <c r="B7" s="30">
        <v>336.32</v>
      </c>
      <c r="C7" s="30">
        <v>344.35</v>
      </c>
      <c r="D7" s="29">
        <f t="shared" si="1"/>
        <v>8030.0000000000291</v>
      </c>
      <c r="E7" s="64">
        <f>ROUND(D7*D23,0)</f>
        <v>848</v>
      </c>
      <c r="F7" s="29">
        <v>1200</v>
      </c>
      <c r="G7" s="29">
        <f t="shared" si="2"/>
        <v>2048</v>
      </c>
      <c r="H7" s="29">
        <v>50</v>
      </c>
      <c r="I7" s="29">
        <v>0</v>
      </c>
      <c r="J7" s="29">
        <f t="shared" si="3"/>
        <v>2098</v>
      </c>
      <c r="K7" s="29"/>
      <c r="L7" s="29"/>
      <c r="M7" s="158"/>
      <c r="N7" s="114"/>
      <c r="O7" s="114"/>
    </row>
    <row r="8" spans="1:15" x14ac:dyDescent="0.25">
      <c r="A8" s="32">
        <v>101</v>
      </c>
      <c r="B8" s="30">
        <v>68.739999999999995</v>
      </c>
      <c r="C8" s="30">
        <v>72.78</v>
      </c>
      <c r="D8" s="29">
        <f t="shared" si="1"/>
        <v>4040.0000000000064</v>
      </c>
      <c r="E8" s="64">
        <f>ROUND(D8*D23,0)</f>
        <v>427</v>
      </c>
      <c r="F8" s="29">
        <v>1200</v>
      </c>
      <c r="G8" s="29">
        <f t="shared" si="2"/>
        <v>1627</v>
      </c>
      <c r="H8" s="29">
        <v>50</v>
      </c>
      <c r="I8" s="29">
        <v>0</v>
      </c>
      <c r="J8" s="29">
        <f t="shared" si="3"/>
        <v>1677</v>
      </c>
      <c r="K8" s="29"/>
      <c r="L8" s="29"/>
      <c r="M8" s="158"/>
      <c r="N8" s="153" t="s">
        <v>239</v>
      </c>
      <c r="O8" s="153"/>
    </row>
    <row r="9" spans="1:15" x14ac:dyDescent="0.25">
      <c r="A9" s="32">
        <v>102</v>
      </c>
      <c r="B9" s="30">
        <v>597.64</v>
      </c>
      <c r="C9" s="30">
        <v>610.25</v>
      </c>
      <c r="D9" s="29">
        <f t="shared" si="1"/>
        <v>12610.000000000015</v>
      </c>
      <c r="E9" s="64">
        <f>ROUND(D9*D23,0)</f>
        <v>1332</v>
      </c>
      <c r="F9" s="29">
        <v>1200</v>
      </c>
      <c r="G9" s="29">
        <f t="shared" si="2"/>
        <v>2532</v>
      </c>
      <c r="H9" s="29">
        <v>50</v>
      </c>
      <c r="I9" s="29">
        <v>0</v>
      </c>
      <c r="J9" s="29">
        <f t="shared" si="3"/>
        <v>2582</v>
      </c>
      <c r="K9" s="29"/>
      <c r="L9" s="29"/>
      <c r="M9" s="158"/>
      <c r="N9" s="114" t="s">
        <v>314</v>
      </c>
      <c r="O9" s="160">
        <v>6500</v>
      </c>
    </row>
    <row r="10" spans="1:15" x14ac:dyDescent="0.25">
      <c r="A10" s="32">
        <v>103</v>
      </c>
      <c r="B10" s="29">
        <v>231.42</v>
      </c>
      <c r="C10" s="29">
        <v>241.89</v>
      </c>
      <c r="D10" s="29">
        <f t="shared" si="1"/>
        <v>10469.999999999998</v>
      </c>
      <c r="E10" s="64">
        <f>ROUND(D10*D23,0)</f>
        <v>1106</v>
      </c>
      <c r="F10" s="29">
        <v>1200</v>
      </c>
      <c r="G10" s="29">
        <f t="shared" si="2"/>
        <v>2306</v>
      </c>
      <c r="H10" s="29">
        <v>50</v>
      </c>
      <c r="I10" s="29">
        <v>0</v>
      </c>
      <c r="J10" s="29">
        <f t="shared" si="3"/>
        <v>2356</v>
      </c>
      <c r="K10" s="29"/>
      <c r="L10" s="29"/>
      <c r="M10" s="158"/>
      <c r="N10" s="160" t="s">
        <v>520</v>
      </c>
      <c r="O10" s="160">
        <v>2044</v>
      </c>
    </row>
    <row r="11" spans="1:15" x14ac:dyDescent="0.25">
      <c r="A11" s="32">
        <v>104</v>
      </c>
      <c r="B11" s="30">
        <v>43.78</v>
      </c>
      <c r="C11" s="30">
        <v>54.17</v>
      </c>
      <c r="D11" s="29">
        <f t="shared" si="1"/>
        <v>10390</v>
      </c>
      <c r="E11" s="64">
        <f>ROUND(D11*D23,0)</f>
        <v>1097</v>
      </c>
      <c r="F11" s="29">
        <v>1200</v>
      </c>
      <c r="G11" s="29">
        <f t="shared" si="2"/>
        <v>2297</v>
      </c>
      <c r="H11" s="29">
        <v>50</v>
      </c>
      <c r="I11" s="29">
        <v>0</v>
      </c>
      <c r="J11" s="29">
        <f t="shared" si="3"/>
        <v>2347</v>
      </c>
      <c r="K11" s="29"/>
      <c r="L11" s="29"/>
      <c r="M11" s="158"/>
      <c r="N11" s="160" t="s">
        <v>500</v>
      </c>
      <c r="O11" s="160"/>
    </row>
    <row r="12" spans="1:15" x14ac:dyDescent="0.25">
      <c r="A12" s="32">
        <v>201</v>
      </c>
      <c r="B12" s="30">
        <v>131</v>
      </c>
      <c r="C12" s="30">
        <v>136.65</v>
      </c>
      <c r="D12" s="29">
        <f t="shared" si="1"/>
        <v>5650.0000000000055</v>
      </c>
      <c r="E12" s="64">
        <f>ROUND(D12*D23,0)</f>
        <v>597</v>
      </c>
      <c r="F12" s="29">
        <v>1200</v>
      </c>
      <c r="G12" s="29">
        <f t="shared" si="2"/>
        <v>1797</v>
      </c>
      <c r="H12" s="29">
        <v>50</v>
      </c>
      <c r="I12" s="29">
        <v>0</v>
      </c>
      <c r="J12" s="29">
        <f t="shared" si="3"/>
        <v>1847</v>
      </c>
      <c r="K12" s="29"/>
      <c r="L12" s="29"/>
      <c r="M12" s="158"/>
      <c r="N12" s="160" t="s">
        <v>516</v>
      </c>
      <c r="O12" s="160"/>
    </row>
    <row r="13" spans="1:15" x14ac:dyDescent="0.25">
      <c r="A13" s="32">
        <v>202</v>
      </c>
      <c r="B13" s="30">
        <v>282.22000000000003</v>
      </c>
      <c r="C13" s="30">
        <v>287.27</v>
      </c>
      <c r="D13" s="29">
        <f t="shared" si="1"/>
        <v>5049.9999999999545</v>
      </c>
      <c r="E13" s="64">
        <f>ROUND(D13*D23,0)</f>
        <v>533</v>
      </c>
      <c r="F13" s="29">
        <v>1200</v>
      </c>
      <c r="G13" s="29">
        <f t="shared" si="2"/>
        <v>1733</v>
      </c>
      <c r="H13" s="29">
        <v>50</v>
      </c>
      <c r="I13" s="29">
        <v>0</v>
      </c>
      <c r="J13" s="29">
        <f t="shared" si="3"/>
        <v>1783</v>
      </c>
      <c r="K13" s="29"/>
      <c r="L13" s="29"/>
      <c r="M13" s="158"/>
      <c r="N13" s="114" t="s">
        <v>388</v>
      </c>
      <c r="O13" s="114"/>
    </row>
    <row r="14" spans="1:15" x14ac:dyDescent="0.25">
      <c r="A14" s="32">
        <v>203</v>
      </c>
      <c r="B14" s="30">
        <v>30.05</v>
      </c>
      <c r="C14" s="30">
        <v>37.49</v>
      </c>
      <c r="D14" s="29">
        <f t="shared" si="1"/>
        <v>7440.0000000000009</v>
      </c>
      <c r="E14" s="64">
        <f>ROUND(D14*D23,0)</f>
        <v>786</v>
      </c>
      <c r="F14" s="29">
        <v>1200</v>
      </c>
      <c r="G14" s="29">
        <f t="shared" si="2"/>
        <v>1986</v>
      </c>
      <c r="H14" s="29">
        <v>50</v>
      </c>
      <c r="I14" s="29">
        <v>0</v>
      </c>
      <c r="J14" s="29">
        <f t="shared" si="3"/>
        <v>2036</v>
      </c>
      <c r="K14" s="29"/>
      <c r="L14" s="29"/>
      <c r="M14" s="158"/>
      <c r="N14" s="114" t="s">
        <v>631</v>
      </c>
      <c r="O14" s="114"/>
    </row>
    <row r="15" spans="1:15" x14ac:dyDescent="0.25">
      <c r="A15" s="32">
        <v>204</v>
      </c>
      <c r="B15" s="30">
        <v>276.12</v>
      </c>
      <c r="C15" s="30">
        <v>283.61</v>
      </c>
      <c r="D15" s="29">
        <f t="shared" si="1"/>
        <v>7490.0000000000091</v>
      </c>
      <c r="E15" s="64">
        <f>ROUND(D15*D23,0)</f>
        <v>791</v>
      </c>
      <c r="F15" s="29">
        <v>1200</v>
      </c>
      <c r="G15" s="29">
        <f t="shared" si="2"/>
        <v>1991</v>
      </c>
      <c r="H15" s="29">
        <v>50</v>
      </c>
      <c r="I15" s="29">
        <v>0</v>
      </c>
      <c r="J15" s="29">
        <f t="shared" si="3"/>
        <v>2041</v>
      </c>
      <c r="K15" s="29"/>
      <c r="L15" s="29"/>
      <c r="M15" s="158"/>
      <c r="N15" s="114"/>
      <c r="O15" s="114"/>
    </row>
    <row r="16" spans="1:15" x14ac:dyDescent="0.25">
      <c r="A16" s="32">
        <v>301</v>
      </c>
      <c r="B16" s="30">
        <v>70.14</v>
      </c>
      <c r="C16" s="30">
        <v>75.67</v>
      </c>
      <c r="D16" s="29">
        <f t="shared" si="1"/>
        <v>5530.0000000000009</v>
      </c>
      <c r="E16" s="64">
        <f>ROUND(D16*D23,0)</f>
        <v>584</v>
      </c>
      <c r="F16" s="29">
        <v>1200</v>
      </c>
      <c r="G16" s="29">
        <f t="shared" si="2"/>
        <v>1784</v>
      </c>
      <c r="H16" s="29">
        <v>50</v>
      </c>
      <c r="I16" s="29">
        <v>0</v>
      </c>
      <c r="J16" s="29">
        <f t="shared" si="3"/>
        <v>1834</v>
      </c>
      <c r="K16" s="29"/>
      <c r="L16" s="29"/>
      <c r="M16" s="158"/>
      <c r="N16" s="160"/>
      <c r="O16" s="114"/>
    </row>
    <row r="17" spans="1:15" x14ac:dyDescent="0.25">
      <c r="A17" s="32">
        <v>302</v>
      </c>
      <c r="B17" s="30">
        <v>169.62</v>
      </c>
      <c r="C17" s="30">
        <v>178.84</v>
      </c>
      <c r="D17" s="29">
        <f t="shared" si="1"/>
        <v>9219.9999999999982</v>
      </c>
      <c r="E17" s="64">
        <f>ROUND(D17*D23,0)</f>
        <v>974</v>
      </c>
      <c r="F17" s="29">
        <v>1200</v>
      </c>
      <c r="G17" s="29">
        <f t="shared" si="2"/>
        <v>2174</v>
      </c>
      <c r="H17" s="29">
        <v>50</v>
      </c>
      <c r="I17" s="29">
        <v>0</v>
      </c>
      <c r="J17" s="29">
        <f t="shared" si="3"/>
        <v>2224</v>
      </c>
      <c r="K17" s="29"/>
      <c r="L17" s="119"/>
      <c r="M17" s="158"/>
      <c r="N17" s="114"/>
      <c r="O17" s="114"/>
    </row>
    <row r="18" spans="1:15" x14ac:dyDescent="0.25">
      <c r="A18" s="32">
        <v>303</v>
      </c>
      <c r="B18" s="29">
        <v>917.05</v>
      </c>
      <c r="C18" s="29">
        <v>927.17</v>
      </c>
      <c r="D18" s="29">
        <f t="shared" si="1"/>
        <v>10120.000000000004</v>
      </c>
      <c r="E18" s="64">
        <f>ROUND(D18*D23,0)</f>
        <v>1069</v>
      </c>
      <c r="F18" s="29">
        <v>1200</v>
      </c>
      <c r="G18" s="29">
        <f t="shared" si="2"/>
        <v>2269</v>
      </c>
      <c r="H18" s="29">
        <v>50</v>
      </c>
      <c r="I18" s="29">
        <v>0</v>
      </c>
      <c r="J18" s="29">
        <f t="shared" si="3"/>
        <v>2319</v>
      </c>
      <c r="K18" s="29"/>
      <c r="L18" s="29"/>
      <c r="M18" s="158"/>
      <c r="N18" s="160"/>
      <c r="O18" s="114"/>
    </row>
    <row r="19" spans="1:15" x14ac:dyDescent="0.25">
      <c r="A19" s="32">
        <v>304</v>
      </c>
      <c r="B19" s="30">
        <v>316.70999999999998</v>
      </c>
      <c r="C19" s="30">
        <v>330.18</v>
      </c>
      <c r="D19" s="29">
        <f t="shared" si="1"/>
        <v>13470.000000000027</v>
      </c>
      <c r="E19" s="64">
        <f>ROUND(D19*D23,0)</f>
        <v>1423</v>
      </c>
      <c r="F19" s="29">
        <v>1200</v>
      </c>
      <c r="G19" s="29">
        <f t="shared" si="2"/>
        <v>2623</v>
      </c>
      <c r="H19" s="29">
        <v>50</v>
      </c>
      <c r="I19" s="29">
        <v>0</v>
      </c>
      <c r="J19" s="29">
        <f t="shared" si="3"/>
        <v>2673</v>
      </c>
      <c r="K19" s="29"/>
      <c r="L19" s="29"/>
      <c r="M19" s="158"/>
      <c r="N19" s="114"/>
      <c r="O19" s="114"/>
    </row>
    <row r="20" spans="1:15" x14ac:dyDescent="0.25">
      <c r="A20" s="29" t="s">
        <v>287</v>
      </c>
      <c r="B20" s="30">
        <v>332.08</v>
      </c>
      <c r="C20" s="30">
        <v>344.41</v>
      </c>
      <c r="D20" s="29">
        <f t="shared" si="1"/>
        <v>12330.00000000004</v>
      </c>
      <c r="E20" s="64">
        <v>0</v>
      </c>
      <c r="F20" s="123">
        <v>0</v>
      </c>
      <c r="G20" s="29"/>
      <c r="H20" s="29">
        <v>0</v>
      </c>
      <c r="I20" s="29"/>
      <c r="J20" s="29">
        <f>G20+H20</f>
        <v>0</v>
      </c>
      <c r="K20" s="29"/>
      <c r="L20" s="29"/>
      <c r="M20" s="51"/>
      <c r="N20" s="114"/>
      <c r="O20" s="114"/>
    </row>
    <row r="21" spans="1:15" x14ac:dyDescent="0.25">
      <c r="A21" s="29"/>
      <c r="B21" s="29"/>
      <c r="C21" s="29"/>
      <c r="D21" s="29"/>
      <c r="E21" s="29"/>
      <c r="F21" s="49"/>
      <c r="G21" s="49"/>
      <c r="H21" s="49">
        <f>SUM(H2:H20)</f>
        <v>800</v>
      </c>
      <c r="I21" s="49"/>
      <c r="J21" s="49">
        <f>SUM(J2:J20)</f>
        <v>34297</v>
      </c>
      <c r="K21" s="49">
        <f>SUM(K2:K19)</f>
        <v>0</v>
      </c>
      <c r="L21" s="49"/>
      <c r="M21" s="29"/>
      <c r="N21" s="114"/>
      <c r="O21" s="121"/>
    </row>
    <row r="22" spans="1:15" x14ac:dyDescent="0.25">
      <c r="A22" s="29"/>
      <c r="B22" s="29" t="s">
        <v>75</v>
      </c>
      <c r="C22" s="29"/>
      <c r="D22" s="30">
        <f>SUM(D4:D20)</f>
        <v>142010.00000000009</v>
      </c>
      <c r="E22" s="202">
        <f>SUM(E4:E19)</f>
        <v>13697</v>
      </c>
      <c r="F22" s="29"/>
      <c r="G22" s="29"/>
      <c r="H22" s="29"/>
      <c r="I22" s="29"/>
      <c r="J22" s="29"/>
      <c r="K22" s="29"/>
      <c r="L22" s="29"/>
      <c r="M22" s="29"/>
      <c r="N22" s="152"/>
      <c r="O22" s="152"/>
    </row>
    <row r="23" spans="1:15" ht="45" x14ac:dyDescent="0.25">
      <c r="A23" s="29"/>
      <c r="B23" s="29" t="s">
        <v>243</v>
      </c>
      <c r="C23" s="119" t="s">
        <v>244</v>
      </c>
      <c r="D23" s="111">
        <f>B24/D22</f>
        <v>0.10562636434053933</v>
      </c>
      <c r="E23" s="29"/>
      <c r="F23" s="29"/>
      <c r="G23" s="29" t="s">
        <v>205</v>
      </c>
      <c r="H23" s="29"/>
      <c r="I23" s="29"/>
      <c r="J23" s="29"/>
      <c r="K23" s="29"/>
      <c r="L23" s="29"/>
      <c r="M23" s="29"/>
      <c r="N23" s="114"/>
      <c r="O23" s="114"/>
    </row>
    <row r="24" spans="1:15" ht="45" x14ac:dyDescent="0.25">
      <c r="A24" s="119" t="s">
        <v>85</v>
      </c>
      <c r="B24" s="30">
        <f>15*1000</f>
        <v>15000</v>
      </c>
      <c r="C24" s="119" t="s">
        <v>404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</row>
    <row r="28" spans="1:15" x14ac:dyDescent="0.25">
      <c r="O28" s="1">
        <f>SUM(O9:O25)</f>
        <v>8544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881C-C362-46D4-B32F-5E73F23A5AA6}">
  <dimension ref="A1:P24"/>
  <sheetViews>
    <sheetView zoomScale="89" workbookViewId="0">
      <selection activeCell="N1" sqref="N1"/>
    </sheetView>
  </sheetViews>
  <sheetFormatPr defaultRowHeight="15" x14ac:dyDescent="0.25"/>
  <cols>
    <col min="1" max="1" width="15.7109375" customWidth="1"/>
    <col min="2" max="2" width="21.28515625" bestFit="1" customWidth="1"/>
    <col min="3" max="3" width="20.28515625" bestFit="1" customWidth="1"/>
    <col min="4" max="4" width="10" bestFit="1" customWidth="1"/>
    <col min="5" max="5" width="9" bestFit="1" customWidth="1"/>
    <col min="6" max="6" width="20.140625" bestFit="1" customWidth="1"/>
    <col min="7" max="7" width="16.85546875" bestFit="1" customWidth="1"/>
    <col min="13" max="13" width="22.5703125" bestFit="1" customWidth="1"/>
    <col min="14" max="14" width="6.42578125" bestFit="1" customWidth="1"/>
  </cols>
  <sheetData>
    <row r="1" spans="1:14" x14ac:dyDescent="0.25">
      <c r="A1" s="49" t="s">
        <v>537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/>
      <c r="M1" s="154" t="s">
        <v>637</v>
      </c>
      <c r="N1" s="151">
        <v>31742</v>
      </c>
    </row>
    <row r="2" spans="1:14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" si="0">G2+H2</f>
        <v>300</v>
      </c>
      <c r="K2" s="29" t="s">
        <v>311</v>
      </c>
      <c r="L2" s="29"/>
      <c r="M2" s="148"/>
      <c r="N2" s="149"/>
    </row>
    <row r="3" spans="1:14" x14ac:dyDescent="0.25">
      <c r="A3" s="72" t="s">
        <v>132</v>
      </c>
      <c r="B3" s="29" t="s">
        <v>131</v>
      </c>
      <c r="C3" s="30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v>300</v>
      </c>
      <c r="K3" s="29" t="s">
        <v>638</v>
      </c>
      <c r="L3" s="29"/>
      <c r="M3" s="148"/>
      <c r="N3" s="148"/>
    </row>
    <row r="4" spans="1:14" x14ac:dyDescent="0.25">
      <c r="A4" s="32" t="s">
        <v>68</v>
      </c>
      <c r="B4" s="30">
        <v>135.38999999999999</v>
      </c>
      <c r="C4" s="30">
        <v>142.24</v>
      </c>
      <c r="D4" s="29">
        <f t="shared" ref="D4:D20" si="1">(C4-B4)*1000</f>
        <v>6850.0000000000227</v>
      </c>
      <c r="E4" s="64">
        <f>ROUND(D4*D23,0)</f>
        <v>774</v>
      </c>
      <c r="F4" s="29">
        <v>1200</v>
      </c>
      <c r="G4" s="29">
        <f t="shared" ref="G4:G19" si="2">SUM(E4,F4)</f>
        <v>1974</v>
      </c>
      <c r="H4" s="29">
        <v>50</v>
      </c>
      <c r="I4" s="29">
        <v>0</v>
      </c>
      <c r="J4" s="29">
        <f t="shared" ref="J4:J19" si="3">G4+H4+I4</f>
        <v>2024</v>
      </c>
      <c r="K4" s="29" t="s">
        <v>311</v>
      </c>
      <c r="L4" s="156"/>
      <c r="M4" s="160"/>
      <c r="N4" s="160"/>
    </row>
    <row r="5" spans="1:14" x14ac:dyDescent="0.25">
      <c r="A5" s="32" t="s">
        <v>70</v>
      </c>
      <c r="B5" s="30">
        <v>217.8</v>
      </c>
      <c r="C5" s="30">
        <v>223.7</v>
      </c>
      <c r="D5" s="29">
        <f t="shared" si="1"/>
        <v>5899.9999999999773</v>
      </c>
      <c r="E5" s="64">
        <f>ROUND(D5*D23,0)</f>
        <v>667</v>
      </c>
      <c r="F5" s="29">
        <v>1200</v>
      </c>
      <c r="G5" s="29">
        <f t="shared" si="2"/>
        <v>1867</v>
      </c>
      <c r="H5" s="29">
        <v>50</v>
      </c>
      <c r="I5" s="29">
        <v>0</v>
      </c>
      <c r="J5" s="29">
        <f t="shared" si="3"/>
        <v>1917</v>
      </c>
      <c r="K5" s="29" t="s">
        <v>311</v>
      </c>
      <c r="L5" s="29"/>
      <c r="M5" s="114"/>
      <c r="N5" s="114"/>
    </row>
    <row r="6" spans="1:14" x14ac:dyDescent="0.25">
      <c r="A6" s="32" t="s">
        <v>16</v>
      </c>
      <c r="B6" s="30">
        <v>432.97</v>
      </c>
      <c r="C6" s="30">
        <v>443.14</v>
      </c>
      <c r="D6" s="29">
        <f t="shared" si="1"/>
        <v>10169.99999999996</v>
      </c>
      <c r="E6" s="64">
        <f>ROUND(D6*D23,0)</f>
        <v>1149</v>
      </c>
      <c r="F6" s="29">
        <v>1200</v>
      </c>
      <c r="G6" s="29">
        <f t="shared" si="2"/>
        <v>2349</v>
      </c>
      <c r="H6" s="29">
        <v>50</v>
      </c>
      <c r="I6" s="29">
        <v>0</v>
      </c>
      <c r="J6" s="29">
        <f t="shared" si="3"/>
        <v>2399</v>
      </c>
      <c r="K6" s="29" t="s">
        <v>311</v>
      </c>
      <c r="L6" s="29"/>
      <c r="M6" s="114"/>
      <c r="N6" s="114"/>
    </row>
    <row r="7" spans="1:14" x14ac:dyDescent="0.25">
      <c r="A7" s="32" t="s">
        <v>13</v>
      </c>
      <c r="B7" s="30">
        <v>352.17</v>
      </c>
      <c r="C7" s="30">
        <v>364.87</v>
      </c>
      <c r="D7" s="29">
        <f t="shared" si="1"/>
        <v>12699.999999999989</v>
      </c>
      <c r="E7" s="64">
        <f>ROUND(D7*D23,0)</f>
        <v>1435</v>
      </c>
      <c r="F7" s="29">
        <v>1200</v>
      </c>
      <c r="G7" s="29">
        <f t="shared" si="2"/>
        <v>2635</v>
      </c>
      <c r="H7" s="29">
        <v>50</v>
      </c>
      <c r="I7" s="29">
        <v>0</v>
      </c>
      <c r="J7" s="29">
        <f t="shared" si="3"/>
        <v>2685</v>
      </c>
      <c r="K7" s="29" t="s">
        <v>311</v>
      </c>
      <c r="L7" s="29"/>
      <c r="M7" s="114"/>
      <c r="N7" s="114"/>
    </row>
    <row r="8" spans="1:14" x14ac:dyDescent="0.25">
      <c r="A8" s="32">
        <v>101</v>
      </c>
      <c r="B8" s="30">
        <v>77.31</v>
      </c>
      <c r="C8" s="30">
        <v>85.74</v>
      </c>
      <c r="D8" s="29">
        <f t="shared" si="1"/>
        <v>8429.9999999999927</v>
      </c>
      <c r="E8" s="64">
        <f>ROUND(D8*D23,0)</f>
        <v>953</v>
      </c>
      <c r="F8" s="29">
        <v>1200</v>
      </c>
      <c r="G8" s="29">
        <f t="shared" si="2"/>
        <v>2153</v>
      </c>
      <c r="H8" s="29">
        <v>50</v>
      </c>
      <c r="I8" s="29">
        <v>0</v>
      </c>
      <c r="J8" s="29">
        <f t="shared" si="3"/>
        <v>2203</v>
      </c>
      <c r="K8" s="29" t="s">
        <v>311</v>
      </c>
      <c r="L8" s="29"/>
      <c r="M8" s="153" t="s">
        <v>239</v>
      </c>
      <c r="N8" s="153"/>
    </row>
    <row r="9" spans="1:14" x14ac:dyDescent="0.25">
      <c r="A9" s="32">
        <v>102</v>
      </c>
      <c r="B9" s="30">
        <v>624.89</v>
      </c>
      <c r="C9" s="30">
        <v>637.12</v>
      </c>
      <c r="D9" s="29">
        <f t="shared" si="1"/>
        <v>12230.000000000018</v>
      </c>
      <c r="E9" s="64">
        <f>ROUND(D9*D23,0)</f>
        <v>1382</v>
      </c>
      <c r="F9" s="29">
        <v>1200</v>
      </c>
      <c r="G9" s="29">
        <f t="shared" si="2"/>
        <v>2582</v>
      </c>
      <c r="H9" s="29">
        <v>50</v>
      </c>
      <c r="I9" s="29">
        <v>0</v>
      </c>
      <c r="J9" s="29">
        <f t="shared" si="3"/>
        <v>2632</v>
      </c>
      <c r="K9" s="29" t="s">
        <v>311</v>
      </c>
      <c r="L9" s="29"/>
      <c r="M9" s="114" t="s">
        <v>314</v>
      </c>
      <c r="N9" s="160">
        <v>6500</v>
      </c>
    </row>
    <row r="10" spans="1:14" x14ac:dyDescent="0.25">
      <c r="A10" s="32">
        <v>103</v>
      </c>
      <c r="B10" s="29">
        <v>246.5</v>
      </c>
      <c r="C10" s="29">
        <v>252.85</v>
      </c>
      <c r="D10" s="29">
        <f t="shared" si="1"/>
        <v>6349.9999999999945</v>
      </c>
      <c r="E10" s="64">
        <f>ROUND(D10*D23,0)</f>
        <v>718</v>
      </c>
      <c r="F10" s="29">
        <v>1200</v>
      </c>
      <c r="G10" s="29">
        <f t="shared" si="2"/>
        <v>1918</v>
      </c>
      <c r="H10" s="29">
        <v>50</v>
      </c>
      <c r="I10" s="29">
        <v>0</v>
      </c>
      <c r="J10" s="29">
        <f t="shared" si="3"/>
        <v>1968</v>
      </c>
      <c r="K10" s="29" t="s">
        <v>311</v>
      </c>
      <c r="L10" s="29"/>
      <c r="M10" s="160" t="s">
        <v>520</v>
      </c>
      <c r="N10" s="160">
        <v>2044</v>
      </c>
    </row>
    <row r="11" spans="1:14" x14ac:dyDescent="0.25">
      <c r="A11" s="32">
        <v>104</v>
      </c>
      <c r="B11" s="30">
        <v>65.099999999999994</v>
      </c>
      <c r="C11" s="30">
        <v>85.3</v>
      </c>
      <c r="D11" s="29">
        <f t="shared" si="1"/>
        <v>20200.000000000004</v>
      </c>
      <c r="E11" s="64">
        <f>ROUND(D11*D23,0)</f>
        <v>2283</v>
      </c>
      <c r="F11" s="29">
        <v>1200</v>
      </c>
      <c r="G11" s="29">
        <f t="shared" si="2"/>
        <v>3483</v>
      </c>
      <c r="H11" s="29">
        <v>50</v>
      </c>
      <c r="I11" s="29">
        <v>0</v>
      </c>
      <c r="J11" s="29">
        <f t="shared" si="3"/>
        <v>3533</v>
      </c>
      <c r="K11" s="29" t="s">
        <v>311</v>
      </c>
      <c r="L11" s="29"/>
      <c r="M11" s="160" t="s">
        <v>500</v>
      </c>
      <c r="N11" s="160">
        <v>2937</v>
      </c>
    </row>
    <row r="12" spans="1:14" x14ac:dyDescent="0.25">
      <c r="A12" s="32">
        <v>201</v>
      </c>
      <c r="B12" s="30">
        <v>142.72999999999999</v>
      </c>
      <c r="C12" s="30">
        <v>147.6</v>
      </c>
      <c r="D12" s="29">
        <f t="shared" si="1"/>
        <v>4870.0000000000045</v>
      </c>
      <c r="E12" s="64">
        <f>ROUND(D12*D23,0)</f>
        <v>550</v>
      </c>
      <c r="F12" s="29">
        <v>1200</v>
      </c>
      <c r="G12" s="29">
        <f t="shared" si="2"/>
        <v>1750</v>
      </c>
      <c r="H12" s="29">
        <v>50</v>
      </c>
      <c r="I12" s="29">
        <v>0</v>
      </c>
      <c r="J12" s="29">
        <f t="shared" si="3"/>
        <v>1800</v>
      </c>
      <c r="K12" s="29" t="s">
        <v>311</v>
      </c>
      <c r="L12" s="29"/>
      <c r="M12" s="160" t="s">
        <v>516</v>
      </c>
      <c r="N12" s="160">
        <v>14000</v>
      </c>
    </row>
    <row r="13" spans="1:14" x14ac:dyDescent="0.25">
      <c r="A13" s="32">
        <v>202</v>
      </c>
      <c r="B13" s="30">
        <v>299.41000000000003</v>
      </c>
      <c r="C13" s="30">
        <v>309.01</v>
      </c>
      <c r="D13" s="29">
        <f t="shared" si="1"/>
        <v>9599.9999999999654</v>
      </c>
      <c r="E13" s="64">
        <f>ROUND(D13*D23,0)</f>
        <v>1085</v>
      </c>
      <c r="F13" s="29">
        <v>1200</v>
      </c>
      <c r="G13" s="29">
        <f t="shared" si="2"/>
        <v>2285</v>
      </c>
      <c r="H13" s="29">
        <v>50</v>
      </c>
      <c r="I13" s="29">
        <v>0</v>
      </c>
      <c r="J13" s="29">
        <f t="shared" si="3"/>
        <v>2335</v>
      </c>
      <c r="K13" s="29" t="s">
        <v>311</v>
      </c>
      <c r="L13" s="29"/>
      <c r="M13" s="114" t="s">
        <v>388</v>
      </c>
      <c r="N13" s="114">
        <v>800</v>
      </c>
    </row>
    <row r="14" spans="1:14" x14ac:dyDescent="0.25">
      <c r="A14" s="32">
        <v>203</v>
      </c>
      <c r="B14" s="30">
        <v>42.56</v>
      </c>
      <c r="C14" s="30">
        <v>50.12</v>
      </c>
      <c r="D14" s="29">
        <f t="shared" si="1"/>
        <v>7559.9999999999955</v>
      </c>
      <c r="E14" s="64">
        <f>ROUND(D14*D23,0)</f>
        <v>854</v>
      </c>
      <c r="F14" s="29">
        <v>1200</v>
      </c>
      <c r="G14" s="29">
        <f t="shared" si="2"/>
        <v>2054</v>
      </c>
      <c r="H14" s="29">
        <v>50</v>
      </c>
      <c r="I14" s="29">
        <v>0</v>
      </c>
      <c r="J14" s="29">
        <f t="shared" si="3"/>
        <v>2104</v>
      </c>
      <c r="K14" s="29" t="s">
        <v>311</v>
      </c>
      <c r="L14" s="29"/>
      <c r="M14" s="114" t="s">
        <v>633</v>
      </c>
      <c r="N14" s="114">
        <v>75</v>
      </c>
    </row>
    <row r="15" spans="1:14" x14ac:dyDescent="0.25">
      <c r="A15" s="32">
        <v>204</v>
      </c>
      <c r="B15" s="30">
        <v>293.5</v>
      </c>
      <c r="C15" s="30">
        <v>299.85000000000002</v>
      </c>
      <c r="D15" s="29">
        <f t="shared" si="1"/>
        <v>6350.0000000000227</v>
      </c>
      <c r="E15" s="64">
        <f>ROUND(D15*D23,0)</f>
        <v>718</v>
      </c>
      <c r="F15" s="29">
        <v>1200</v>
      </c>
      <c r="G15" s="29">
        <f t="shared" si="2"/>
        <v>1918</v>
      </c>
      <c r="H15" s="29">
        <v>50</v>
      </c>
      <c r="I15" s="29">
        <v>0</v>
      </c>
      <c r="J15" s="29">
        <f t="shared" si="3"/>
        <v>1968</v>
      </c>
      <c r="K15" s="29" t="s">
        <v>311</v>
      </c>
      <c r="L15" s="29"/>
      <c r="M15" s="114" t="s">
        <v>99</v>
      </c>
      <c r="N15" s="114">
        <v>160</v>
      </c>
    </row>
    <row r="16" spans="1:14" x14ac:dyDescent="0.25">
      <c r="A16" s="32">
        <v>301</v>
      </c>
      <c r="B16" s="30">
        <v>80.62</v>
      </c>
      <c r="C16" s="30">
        <v>86.63</v>
      </c>
      <c r="D16" s="29">
        <f t="shared" si="1"/>
        <v>6009.9999999999909</v>
      </c>
      <c r="E16" s="64">
        <f>ROUND(D16*D23,0)</f>
        <v>679</v>
      </c>
      <c r="F16" s="29">
        <v>1200</v>
      </c>
      <c r="G16" s="29">
        <f t="shared" si="2"/>
        <v>1879</v>
      </c>
      <c r="H16" s="29">
        <v>50</v>
      </c>
      <c r="I16" s="29">
        <v>0</v>
      </c>
      <c r="J16" s="29">
        <f t="shared" si="3"/>
        <v>1929</v>
      </c>
      <c r="K16" s="29" t="s">
        <v>311</v>
      </c>
      <c r="L16" s="29"/>
      <c r="M16" s="160" t="s">
        <v>634</v>
      </c>
      <c r="N16" s="114">
        <v>100</v>
      </c>
    </row>
    <row r="17" spans="1:16" x14ac:dyDescent="0.25">
      <c r="A17" s="32">
        <v>302</v>
      </c>
      <c r="B17" s="30">
        <v>189.2</v>
      </c>
      <c r="C17" s="30">
        <v>197.73</v>
      </c>
      <c r="D17" s="29">
        <f t="shared" si="1"/>
        <v>8530.0000000000018</v>
      </c>
      <c r="E17" s="64">
        <f>ROUND(D17*D23,0)</f>
        <v>964</v>
      </c>
      <c r="F17" s="29">
        <v>1200</v>
      </c>
      <c r="G17" s="29">
        <f t="shared" si="2"/>
        <v>2164</v>
      </c>
      <c r="H17" s="29">
        <v>50</v>
      </c>
      <c r="I17" s="29">
        <v>0</v>
      </c>
      <c r="J17" s="29">
        <f t="shared" si="3"/>
        <v>2214</v>
      </c>
      <c r="K17" s="29" t="s">
        <v>311</v>
      </c>
      <c r="L17" s="119"/>
      <c r="M17" s="114" t="s">
        <v>635</v>
      </c>
      <c r="N17" s="114">
        <v>1600</v>
      </c>
    </row>
    <row r="18" spans="1:16" x14ac:dyDescent="0.25">
      <c r="A18" s="32">
        <v>303</v>
      </c>
      <c r="B18" s="29">
        <v>0</v>
      </c>
      <c r="C18" s="29">
        <v>8.99</v>
      </c>
      <c r="D18" s="29">
        <f t="shared" si="1"/>
        <v>8990</v>
      </c>
      <c r="E18" s="64">
        <f>ROUND(D18*D23,0)</f>
        <v>1016</v>
      </c>
      <c r="F18" s="29">
        <v>1200</v>
      </c>
      <c r="G18" s="29">
        <f t="shared" si="2"/>
        <v>2216</v>
      </c>
      <c r="H18" s="29">
        <v>50</v>
      </c>
      <c r="I18" s="29">
        <v>0</v>
      </c>
      <c r="J18" s="29">
        <f t="shared" si="3"/>
        <v>2266</v>
      </c>
      <c r="K18" s="29" t="s">
        <v>311</v>
      </c>
      <c r="L18" s="29"/>
      <c r="M18" s="160" t="s">
        <v>636</v>
      </c>
      <c r="N18" s="114">
        <v>276</v>
      </c>
    </row>
    <row r="19" spans="1:16" x14ac:dyDescent="0.25">
      <c r="A19" s="32">
        <v>304</v>
      </c>
      <c r="B19" s="30">
        <v>344.68</v>
      </c>
      <c r="C19" s="30">
        <v>357.45</v>
      </c>
      <c r="D19" s="29">
        <f t="shared" si="1"/>
        <v>12769.999999999982</v>
      </c>
      <c r="E19" s="64">
        <f>ROUND(D19*D23,0)</f>
        <v>1443</v>
      </c>
      <c r="F19" s="29">
        <v>1200</v>
      </c>
      <c r="G19" s="29">
        <f t="shared" si="2"/>
        <v>2643</v>
      </c>
      <c r="H19" s="29">
        <v>50</v>
      </c>
      <c r="I19" s="29">
        <v>0</v>
      </c>
      <c r="J19" s="29">
        <f t="shared" si="3"/>
        <v>2693</v>
      </c>
      <c r="K19" s="29" t="s">
        <v>311</v>
      </c>
      <c r="L19" s="29"/>
      <c r="M19" s="114"/>
      <c r="N19" s="114"/>
    </row>
    <row r="20" spans="1:16" x14ac:dyDescent="0.25">
      <c r="A20" s="29" t="s">
        <v>287</v>
      </c>
      <c r="B20" s="30">
        <v>357.45</v>
      </c>
      <c r="C20" s="30">
        <v>369.23</v>
      </c>
      <c r="D20" s="29">
        <f t="shared" si="1"/>
        <v>11780.000000000029</v>
      </c>
      <c r="E20" s="64">
        <v>0</v>
      </c>
      <c r="F20" s="123">
        <v>0</v>
      </c>
      <c r="G20" s="29"/>
      <c r="H20" s="29">
        <v>0</v>
      </c>
      <c r="I20" s="29"/>
      <c r="J20" s="29">
        <f>G20+H20</f>
        <v>0</v>
      </c>
      <c r="K20" s="29"/>
      <c r="L20" s="29"/>
      <c r="M20" s="114"/>
      <c r="N20" s="114"/>
    </row>
    <row r="21" spans="1:16" x14ac:dyDescent="0.25">
      <c r="A21" s="29"/>
      <c r="B21" s="29"/>
      <c r="C21" s="29"/>
      <c r="D21" s="29"/>
      <c r="E21" s="29"/>
      <c r="F21" s="49"/>
      <c r="G21" s="49"/>
      <c r="H21" s="49">
        <f>SUM(H2:H20)</f>
        <v>800</v>
      </c>
      <c r="I21" s="49"/>
      <c r="J21" s="49">
        <f>SUM(J2:J20)</f>
        <v>37270</v>
      </c>
      <c r="K21" s="49">
        <f>SUM(K2:K19)</f>
        <v>0</v>
      </c>
      <c r="L21" s="49"/>
      <c r="M21" s="114"/>
      <c r="N21" s="121">
        <f>SUM(N9:N20)</f>
        <v>28492</v>
      </c>
      <c r="P21">
        <f>J21+N1-N21</f>
        <v>40520</v>
      </c>
    </row>
    <row r="22" spans="1:16" x14ac:dyDescent="0.25">
      <c r="A22" s="29"/>
      <c r="B22" s="29" t="s">
        <v>75</v>
      </c>
      <c r="C22" s="29"/>
      <c r="D22" s="30">
        <f>SUM(D4:D20)</f>
        <v>159289.99999999994</v>
      </c>
      <c r="E22" s="202">
        <f>SUM(E4:E19)</f>
        <v>16670</v>
      </c>
      <c r="F22" s="29"/>
      <c r="G22" s="29"/>
      <c r="H22" s="29"/>
      <c r="I22" s="29"/>
      <c r="J22" s="29"/>
      <c r="K22" s="29"/>
      <c r="L22" s="29"/>
      <c r="M22" s="152"/>
      <c r="N22" s="152"/>
    </row>
    <row r="23" spans="1:16" ht="45" x14ac:dyDescent="0.25">
      <c r="A23" s="29"/>
      <c r="B23" s="29" t="s">
        <v>243</v>
      </c>
      <c r="C23" s="119" t="s">
        <v>244</v>
      </c>
      <c r="D23" s="111">
        <f>B24/D22</f>
        <v>0.11300144390733886</v>
      </c>
      <c r="E23" s="29"/>
      <c r="F23" s="29"/>
      <c r="G23" s="29" t="s">
        <v>205</v>
      </c>
      <c r="H23" s="29"/>
      <c r="I23" s="29"/>
      <c r="J23" s="29"/>
      <c r="K23" s="29"/>
      <c r="L23" s="29"/>
      <c r="M23" s="114"/>
      <c r="N23" s="114"/>
    </row>
    <row r="24" spans="1:16" x14ac:dyDescent="0.25">
      <c r="A24" s="119" t="s">
        <v>85</v>
      </c>
      <c r="B24" s="30">
        <f>18*1000</f>
        <v>18000</v>
      </c>
      <c r="C24" s="119" t="s">
        <v>632</v>
      </c>
      <c r="D24" s="29"/>
      <c r="E24" s="29"/>
      <c r="F24" s="29"/>
      <c r="G24" s="29"/>
      <c r="H24" s="29"/>
      <c r="I24" s="29"/>
      <c r="J24" s="29"/>
      <c r="K24" s="29"/>
      <c r="L24" s="29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33656-5C44-46C8-93E0-BEF6E7162ABE}">
  <dimension ref="A1:O25"/>
  <sheetViews>
    <sheetView topLeftCell="C1" zoomScale="86" workbookViewId="0">
      <selection activeCell="P23" sqref="P23"/>
    </sheetView>
  </sheetViews>
  <sheetFormatPr defaultRowHeight="15" x14ac:dyDescent="0.25"/>
  <cols>
    <col min="1" max="1" width="8.42578125" bestFit="1" customWidth="1"/>
    <col min="2" max="2" width="21.28515625" bestFit="1" customWidth="1"/>
    <col min="3" max="3" width="22.140625" customWidth="1"/>
    <col min="4" max="4" width="10" bestFit="1" customWidth="1"/>
    <col min="5" max="5" width="9.7109375" bestFit="1" customWidth="1"/>
    <col min="6" max="6" width="20.7109375" bestFit="1" customWidth="1"/>
    <col min="7" max="7" width="17.7109375" bestFit="1" customWidth="1"/>
    <col min="8" max="8" width="16.140625" bestFit="1" customWidth="1"/>
    <col min="9" max="9" width="16.28515625" bestFit="1" customWidth="1"/>
    <col min="10" max="10" width="6.7109375" bestFit="1" customWidth="1"/>
    <col min="11" max="11" width="15.42578125" bestFit="1" customWidth="1"/>
    <col min="13" max="13" width="15" bestFit="1" customWidth="1"/>
    <col min="14" max="14" width="23.28515625" bestFit="1" customWidth="1"/>
    <col min="15" max="15" width="10.28515625" customWidth="1"/>
  </cols>
  <sheetData>
    <row r="1" spans="1:15" x14ac:dyDescent="0.25">
      <c r="A1" s="49" t="s">
        <v>537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/>
      <c r="M1" s="146" t="s">
        <v>128</v>
      </c>
      <c r="N1" s="154" t="s">
        <v>639</v>
      </c>
      <c r="O1" s="151">
        <v>40520</v>
      </c>
    </row>
    <row r="2" spans="1:15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/>
      <c r="L2" s="29"/>
      <c r="M2" s="158"/>
      <c r="N2" s="148"/>
      <c r="O2" s="149"/>
    </row>
    <row r="3" spans="1:15" x14ac:dyDescent="0.25">
      <c r="A3" s="72" t="s">
        <v>132</v>
      </c>
      <c r="B3" s="30" t="s">
        <v>131</v>
      </c>
      <c r="C3" s="30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/>
      <c r="L3" s="29"/>
      <c r="M3" s="158"/>
      <c r="N3" s="148"/>
      <c r="O3" s="148"/>
    </row>
    <row r="4" spans="1:15" x14ac:dyDescent="0.25">
      <c r="A4" s="32" t="s">
        <v>68</v>
      </c>
      <c r="B4" s="30">
        <v>142.24</v>
      </c>
      <c r="C4" s="30">
        <v>147.19999999999999</v>
      </c>
      <c r="D4" s="29">
        <f t="shared" ref="D4:D20" si="1">(C4-B4)*1000</f>
        <v>4959.99999999998</v>
      </c>
      <c r="E4" s="64">
        <f>ROUND(D4*D23,0)</f>
        <v>653</v>
      </c>
      <c r="F4" s="29">
        <v>1200</v>
      </c>
      <c r="G4" s="29">
        <f t="shared" ref="G4:G19" si="2">SUM(E4,F4)</f>
        <v>1853</v>
      </c>
      <c r="H4" s="29">
        <v>50</v>
      </c>
      <c r="I4" s="29">
        <v>0</v>
      </c>
      <c r="J4" s="29">
        <f t="shared" ref="J4:J19" si="3">G4+H4+I4</f>
        <v>1903</v>
      </c>
      <c r="K4" s="29"/>
      <c r="L4" s="156"/>
      <c r="M4" s="158"/>
      <c r="N4" s="160"/>
      <c r="O4" s="160"/>
    </row>
    <row r="5" spans="1:15" x14ac:dyDescent="0.25">
      <c r="A5" s="32" t="s">
        <v>70</v>
      </c>
      <c r="B5" s="30">
        <v>223.7</v>
      </c>
      <c r="C5" s="30">
        <v>228.2</v>
      </c>
      <c r="D5" s="29">
        <f t="shared" si="1"/>
        <v>4500</v>
      </c>
      <c r="E5" s="64">
        <f>ROUND(D5*D23,0)</f>
        <v>593</v>
      </c>
      <c r="F5" s="29">
        <v>1200</v>
      </c>
      <c r="G5" s="29">
        <f t="shared" si="2"/>
        <v>1793</v>
      </c>
      <c r="H5" s="29">
        <v>50</v>
      </c>
      <c r="I5" s="29">
        <v>0</v>
      </c>
      <c r="J5" s="29">
        <f t="shared" si="3"/>
        <v>1843</v>
      </c>
      <c r="K5" s="29"/>
      <c r="L5" s="29"/>
      <c r="M5" s="158"/>
      <c r="N5" s="114"/>
      <c r="O5" s="114"/>
    </row>
    <row r="6" spans="1:15" x14ac:dyDescent="0.25">
      <c r="A6" s="32" t="s">
        <v>16</v>
      </c>
      <c r="B6" s="30">
        <v>443.14</v>
      </c>
      <c r="C6" s="30">
        <v>451.5</v>
      </c>
      <c r="D6" s="29">
        <f t="shared" si="1"/>
        <v>8360.0000000000146</v>
      </c>
      <c r="E6" s="64">
        <f>ROUND(D6*D23,0)</f>
        <v>1101</v>
      </c>
      <c r="F6" s="29">
        <v>1200</v>
      </c>
      <c r="G6" s="29">
        <f t="shared" si="2"/>
        <v>2301</v>
      </c>
      <c r="H6" s="29">
        <v>50</v>
      </c>
      <c r="I6" s="29">
        <v>0</v>
      </c>
      <c r="J6" s="29">
        <f t="shared" si="3"/>
        <v>2351</v>
      </c>
      <c r="K6" s="29"/>
      <c r="L6" s="29"/>
      <c r="M6" s="158"/>
      <c r="N6" s="114"/>
      <c r="O6" s="114"/>
    </row>
    <row r="7" spans="1:15" x14ac:dyDescent="0.25">
      <c r="A7" s="32" t="s">
        <v>13</v>
      </c>
      <c r="B7" s="30">
        <v>364.87</v>
      </c>
      <c r="C7" s="30">
        <v>374.68</v>
      </c>
      <c r="D7" s="29">
        <f t="shared" si="1"/>
        <v>9810.0000000000018</v>
      </c>
      <c r="E7" s="64">
        <f>ROUND(D7*D23,0)</f>
        <v>1292</v>
      </c>
      <c r="F7" s="29">
        <v>1200</v>
      </c>
      <c r="G7" s="29">
        <f t="shared" si="2"/>
        <v>2492</v>
      </c>
      <c r="H7" s="29">
        <v>50</v>
      </c>
      <c r="I7" s="29">
        <v>0</v>
      </c>
      <c r="J7" s="29">
        <f t="shared" si="3"/>
        <v>2542</v>
      </c>
      <c r="K7" s="29"/>
      <c r="L7" s="29"/>
      <c r="M7" s="158"/>
      <c r="N7" s="114"/>
      <c r="O7" s="114"/>
    </row>
    <row r="8" spans="1:15" x14ac:dyDescent="0.25">
      <c r="A8" s="32">
        <v>101</v>
      </c>
      <c r="B8" s="30">
        <v>85.74</v>
      </c>
      <c r="C8" s="30">
        <v>89.84</v>
      </c>
      <c r="D8" s="29">
        <f t="shared" si="1"/>
        <v>4100.0000000000082</v>
      </c>
      <c r="E8" s="64">
        <f>ROUND(D8*D23,0)</f>
        <v>540</v>
      </c>
      <c r="F8" s="29">
        <v>1200</v>
      </c>
      <c r="G8" s="29">
        <f t="shared" si="2"/>
        <v>1740</v>
      </c>
      <c r="H8" s="29">
        <v>50</v>
      </c>
      <c r="I8" s="29">
        <v>0</v>
      </c>
      <c r="J8" s="29">
        <f t="shared" si="3"/>
        <v>1790</v>
      </c>
      <c r="K8" s="29"/>
      <c r="L8" s="29"/>
      <c r="M8" s="158"/>
      <c r="N8" s="153" t="s">
        <v>239</v>
      </c>
      <c r="O8" s="153"/>
    </row>
    <row r="9" spans="1:15" x14ac:dyDescent="0.25">
      <c r="A9" s="32">
        <v>102</v>
      </c>
      <c r="B9" s="30">
        <v>637.12</v>
      </c>
      <c r="C9" s="30">
        <v>638.4</v>
      </c>
      <c r="D9" s="29">
        <f t="shared" si="1"/>
        <v>1279.9999999999727</v>
      </c>
      <c r="E9" s="64">
        <f>ROUND(D9*D23,0)</f>
        <v>169</v>
      </c>
      <c r="F9" s="29">
        <v>1200</v>
      </c>
      <c r="G9" s="29">
        <f t="shared" si="2"/>
        <v>1369</v>
      </c>
      <c r="H9" s="29">
        <v>50</v>
      </c>
      <c r="I9" s="29">
        <v>0</v>
      </c>
      <c r="J9" s="29">
        <f t="shared" si="3"/>
        <v>1419</v>
      </c>
      <c r="K9" s="29"/>
      <c r="L9" s="29"/>
      <c r="M9" s="158"/>
      <c r="N9" s="114" t="s">
        <v>314</v>
      </c>
      <c r="O9" s="160">
        <v>6500</v>
      </c>
    </row>
    <row r="10" spans="1:15" x14ac:dyDescent="0.25">
      <c r="A10" s="32">
        <v>103</v>
      </c>
      <c r="B10" s="29">
        <v>252.85</v>
      </c>
      <c r="C10" s="29">
        <v>262.10000000000002</v>
      </c>
      <c r="D10" s="29">
        <f t="shared" si="1"/>
        <v>9250.0000000000291</v>
      </c>
      <c r="E10" s="64">
        <f>ROUND(D10*D23,0)</f>
        <v>1219</v>
      </c>
      <c r="F10" s="29">
        <v>1200</v>
      </c>
      <c r="G10" s="29">
        <f t="shared" si="2"/>
        <v>2419</v>
      </c>
      <c r="H10" s="29">
        <v>50</v>
      </c>
      <c r="I10" s="29">
        <v>0</v>
      </c>
      <c r="J10" s="29">
        <f t="shared" si="3"/>
        <v>2469</v>
      </c>
      <c r="K10" s="29"/>
      <c r="L10" s="29"/>
      <c r="M10" s="158"/>
      <c r="N10" s="160" t="s">
        <v>520</v>
      </c>
      <c r="O10" s="160">
        <v>2044</v>
      </c>
    </row>
    <row r="11" spans="1:15" x14ac:dyDescent="0.25">
      <c r="A11" s="32">
        <v>104</v>
      </c>
      <c r="B11" s="30">
        <v>85.3</v>
      </c>
      <c r="C11" s="30">
        <v>97.15</v>
      </c>
      <c r="D11" s="29">
        <f t="shared" si="1"/>
        <v>11850.000000000009</v>
      </c>
      <c r="E11" s="64">
        <f>ROUND(D11*D23,0)</f>
        <v>1561</v>
      </c>
      <c r="F11" s="29">
        <v>1200</v>
      </c>
      <c r="G11" s="29">
        <f t="shared" si="2"/>
        <v>2761</v>
      </c>
      <c r="H11" s="29">
        <v>50</v>
      </c>
      <c r="I11" s="29">
        <v>0</v>
      </c>
      <c r="J11" s="29">
        <f t="shared" si="3"/>
        <v>2811</v>
      </c>
      <c r="K11" s="29"/>
      <c r="L11" s="29"/>
      <c r="M11" s="158"/>
      <c r="N11" s="160" t="s">
        <v>500</v>
      </c>
      <c r="O11" s="160">
        <v>2953</v>
      </c>
    </row>
    <row r="12" spans="1:15" x14ac:dyDescent="0.25">
      <c r="A12" s="32">
        <v>201</v>
      </c>
      <c r="B12" s="30">
        <v>147.6</v>
      </c>
      <c r="C12" s="30">
        <v>151.33000000000001</v>
      </c>
      <c r="D12" s="29">
        <f t="shared" si="1"/>
        <v>3730.0000000000182</v>
      </c>
      <c r="E12" s="64">
        <f>ROUND(D12*D23,0)</f>
        <v>491</v>
      </c>
      <c r="F12" s="29">
        <v>1200</v>
      </c>
      <c r="G12" s="29">
        <f t="shared" si="2"/>
        <v>1691</v>
      </c>
      <c r="H12" s="29">
        <v>50</v>
      </c>
      <c r="I12" s="29">
        <v>0</v>
      </c>
      <c r="J12" s="29">
        <f t="shared" si="3"/>
        <v>1741</v>
      </c>
      <c r="K12" s="29"/>
      <c r="L12" s="29"/>
      <c r="M12" s="158"/>
      <c r="N12" s="160" t="s">
        <v>516</v>
      </c>
      <c r="O12" s="160">
        <v>18000</v>
      </c>
    </row>
    <row r="13" spans="1:15" x14ac:dyDescent="0.25">
      <c r="A13" s="32">
        <v>202</v>
      </c>
      <c r="B13" s="30">
        <v>309.01</v>
      </c>
      <c r="C13" s="30">
        <v>313.89999999999998</v>
      </c>
      <c r="D13" s="29">
        <f t="shared" si="1"/>
        <v>4889.9999999999864</v>
      </c>
      <c r="E13" s="64">
        <f>ROUND(D13*D23,0)</f>
        <v>644</v>
      </c>
      <c r="F13" s="29">
        <v>1200</v>
      </c>
      <c r="G13" s="29">
        <f t="shared" si="2"/>
        <v>1844</v>
      </c>
      <c r="H13" s="29">
        <v>50</v>
      </c>
      <c r="I13" s="29">
        <v>0</v>
      </c>
      <c r="J13" s="29">
        <f t="shared" si="3"/>
        <v>1894</v>
      </c>
      <c r="K13" s="29"/>
      <c r="L13" s="29"/>
      <c r="M13" s="158"/>
      <c r="N13" s="114" t="s">
        <v>388</v>
      </c>
      <c r="O13" s="114">
        <v>800</v>
      </c>
    </row>
    <row r="14" spans="1:15" x14ac:dyDescent="0.25">
      <c r="A14" s="32">
        <v>203</v>
      </c>
      <c r="B14" s="30">
        <v>50.12</v>
      </c>
      <c r="C14" s="30">
        <v>56.8</v>
      </c>
      <c r="D14" s="29">
        <f t="shared" si="1"/>
        <v>6680</v>
      </c>
      <c r="E14" s="64">
        <f>ROUND(D14*D23,0)</f>
        <v>880</v>
      </c>
      <c r="F14" s="29">
        <v>1200</v>
      </c>
      <c r="G14" s="29">
        <f t="shared" si="2"/>
        <v>2080</v>
      </c>
      <c r="H14" s="29">
        <v>50</v>
      </c>
      <c r="I14" s="29">
        <v>0</v>
      </c>
      <c r="J14" s="29">
        <f t="shared" si="3"/>
        <v>2130</v>
      </c>
      <c r="K14" s="29"/>
      <c r="L14" s="29"/>
      <c r="M14" s="158"/>
      <c r="N14" s="114" t="s">
        <v>640</v>
      </c>
      <c r="O14" s="114">
        <v>365</v>
      </c>
    </row>
    <row r="15" spans="1:15" x14ac:dyDescent="0.25">
      <c r="A15" s="32">
        <v>204</v>
      </c>
      <c r="B15" s="30">
        <v>299.85000000000002</v>
      </c>
      <c r="C15" s="30">
        <v>306.20999999999998</v>
      </c>
      <c r="D15" s="29">
        <f t="shared" si="1"/>
        <v>6359.9999999999563</v>
      </c>
      <c r="E15" s="64">
        <f>ROUND(D15*D23,0)</f>
        <v>838</v>
      </c>
      <c r="F15" s="29">
        <v>1200</v>
      </c>
      <c r="G15" s="29">
        <f t="shared" si="2"/>
        <v>2038</v>
      </c>
      <c r="H15" s="29">
        <v>50</v>
      </c>
      <c r="I15" s="29">
        <v>0</v>
      </c>
      <c r="J15" s="29">
        <f t="shared" si="3"/>
        <v>2088</v>
      </c>
      <c r="K15" s="29"/>
      <c r="L15" s="29"/>
      <c r="M15" s="158"/>
      <c r="N15" s="114" t="s">
        <v>227</v>
      </c>
      <c r="O15" s="114">
        <v>300</v>
      </c>
    </row>
    <row r="16" spans="1:15" x14ac:dyDescent="0.25">
      <c r="A16" s="32">
        <v>301</v>
      </c>
      <c r="B16" s="30">
        <v>86.63</v>
      </c>
      <c r="C16" s="30">
        <v>91.36</v>
      </c>
      <c r="D16" s="29">
        <f t="shared" si="1"/>
        <v>4730.0000000000036</v>
      </c>
      <c r="E16" s="64">
        <f>ROUND(D16*D23,0)</f>
        <v>623</v>
      </c>
      <c r="F16" s="29">
        <v>1200</v>
      </c>
      <c r="G16" s="29">
        <f t="shared" si="2"/>
        <v>1823</v>
      </c>
      <c r="H16" s="29">
        <v>50</v>
      </c>
      <c r="I16" s="29">
        <v>0</v>
      </c>
      <c r="J16" s="29">
        <f t="shared" si="3"/>
        <v>1873</v>
      </c>
      <c r="K16" s="29"/>
      <c r="L16" s="29"/>
      <c r="M16" s="158"/>
      <c r="N16" s="160"/>
      <c r="O16" s="114"/>
    </row>
    <row r="17" spans="1:15" x14ac:dyDescent="0.25">
      <c r="A17" s="32">
        <v>302</v>
      </c>
      <c r="B17" s="30">
        <v>197.73</v>
      </c>
      <c r="C17" s="30">
        <v>205.6</v>
      </c>
      <c r="D17" s="29">
        <f t="shared" si="1"/>
        <v>7870.0000000000045</v>
      </c>
      <c r="E17" s="64">
        <f>ROUND(D17*D23,0)</f>
        <v>1037</v>
      </c>
      <c r="F17" s="29">
        <v>1200</v>
      </c>
      <c r="G17" s="29">
        <f t="shared" si="2"/>
        <v>2237</v>
      </c>
      <c r="H17" s="29">
        <v>50</v>
      </c>
      <c r="I17" s="29">
        <v>0</v>
      </c>
      <c r="J17" s="29">
        <f t="shared" si="3"/>
        <v>2287</v>
      </c>
      <c r="K17" s="29"/>
      <c r="L17" s="119"/>
      <c r="M17" s="158"/>
      <c r="N17" s="114"/>
      <c r="O17" s="114"/>
    </row>
    <row r="18" spans="1:15" x14ac:dyDescent="0.25">
      <c r="A18" s="32">
        <v>303</v>
      </c>
      <c r="B18" s="29">
        <v>8.99</v>
      </c>
      <c r="C18" s="29">
        <v>23.53</v>
      </c>
      <c r="D18" s="29">
        <f t="shared" si="1"/>
        <v>14540.000000000002</v>
      </c>
      <c r="E18" s="64">
        <f>ROUND(D18*D23,0)</f>
        <v>1916</v>
      </c>
      <c r="F18" s="29">
        <v>1200</v>
      </c>
      <c r="G18" s="29">
        <f t="shared" si="2"/>
        <v>3116</v>
      </c>
      <c r="H18" s="29">
        <v>50</v>
      </c>
      <c r="I18" s="29">
        <v>0</v>
      </c>
      <c r="J18" s="29">
        <f t="shared" si="3"/>
        <v>3166</v>
      </c>
      <c r="K18" s="29"/>
      <c r="L18" s="29"/>
      <c r="M18" s="158"/>
      <c r="N18" s="160"/>
      <c r="O18" s="114"/>
    </row>
    <row r="19" spans="1:15" x14ac:dyDescent="0.25">
      <c r="A19" s="32">
        <v>304</v>
      </c>
      <c r="B19" s="30">
        <v>357.45</v>
      </c>
      <c r="C19" s="30">
        <v>370.95</v>
      </c>
      <c r="D19" s="29">
        <f t="shared" si="1"/>
        <v>13500</v>
      </c>
      <c r="E19" s="64">
        <f>ROUND(D19*D23,0)</f>
        <v>1779</v>
      </c>
      <c r="F19" s="29">
        <v>1200</v>
      </c>
      <c r="G19" s="29">
        <f t="shared" si="2"/>
        <v>2979</v>
      </c>
      <c r="H19" s="29">
        <v>50</v>
      </c>
      <c r="I19" s="29">
        <v>0</v>
      </c>
      <c r="J19" s="29">
        <f t="shared" si="3"/>
        <v>3029</v>
      </c>
      <c r="K19" s="29"/>
      <c r="L19" s="29"/>
      <c r="M19" s="158"/>
      <c r="N19" s="114"/>
      <c r="O19" s="114"/>
    </row>
    <row r="20" spans="1:15" x14ac:dyDescent="0.25">
      <c r="A20" s="29" t="s">
        <v>287</v>
      </c>
      <c r="B20" s="30">
        <v>369.23</v>
      </c>
      <c r="C20" s="30">
        <v>381.86</v>
      </c>
      <c r="D20" s="29">
        <f t="shared" si="1"/>
        <v>12629.999999999996</v>
      </c>
      <c r="E20" s="64">
        <f>ROUND(D20*D23,0)</f>
        <v>1664</v>
      </c>
      <c r="F20" s="29">
        <v>0</v>
      </c>
      <c r="G20" s="29"/>
      <c r="H20" s="29">
        <v>0</v>
      </c>
      <c r="I20" s="29"/>
      <c r="J20" s="29"/>
      <c r="K20" s="29"/>
      <c r="L20" s="29"/>
      <c r="M20" s="51"/>
      <c r="N20" s="114"/>
      <c r="O20" s="114"/>
    </row>
    <row r="21" spans="1:15" x14ac:dyDescent="0.25">
      <c r="A21" s="29"/>
      <c r="B21" s="29"/>
      <c r="C21" s="29"/>
      <c r="D21" s="29"/>
      <c r="E21" s="29"/>
      <c r="F21" s="49"/>
      <c r="G21" s="49"/>
      <c r="H21" s="49">
        <f>SUM(H2:H20)</f>
        <v>800</v>
      </c>
      <c r="I21" s="49"/>
      <c r="J21" s="49">
        <f>SUM(J2:J20)</f>
        <v>35936</v>
      </c>
      <c r="K21" s="49">
        <f>SUM(K2:K19)</f>
        <v>0</v>
      </c>
      <c r="L21" s="49"/>
      <c r="M21" s="29"/>
      <c r="N21" s="114"/>
      <c r="O21" s="121">
        <f>SUM(O9:O20)</f>
        <v>30962</v>
      </c>
    </row>
    <row r="22" spans="1:15" x14ac:dyDescent="0.25">
      <c r="A22" s="29"/>
      <c r="B22" s="29" t="s">
        <v>75</v>
      </c>
      <c r="C22" s="29"/>
      <c r="D22" s="30">
        <f>SUM(D4:D20)</f>
        <v>129039.99999999997</v>
      </c>
      <c r="E22" s="202">
        <f>SUM(E4:E20)</f>
        <v>17000</v>
      </c>
      <c r="F22" s="29"/>
      <c r="G22" s="29"/>
      <c r="H22" s="29"/>
      <c r="I22" s="29"/>
      <c r="J22" s="29"/>
      <c r="K22" s="29"/>
      <c r="L22" s="29"/>
      <c r="M22" s="29"/>
      <c r="N22" s="152"/>
      <c r="O22" s="152"/>
    </row>
    <row r="23" spans="1:15" ht="45" x14ac:dyDescent="0.25">
      <c r="A23" s="29"/>
      <c r="B23" s="29" t="s">
        <v>243</v>
      </c>
      <c r="C23" s="119" t="s">
        <v>244</v>
      </c>
      <c r="D23" s="111">
        <f>B24/D22</f>
        <v>0.13174209547427157</v>
      </c>
      <c r="E23" s="29"/>
      <c r="F23" s="29"/>
      <c r="G23" s="29" t="s">
        <v>205</v>
      </c>
      <c r="H23" s="29"/>
      <c r="I23" s="29"/>
      <c r="J23" s="29"/>
      <c r="K23" s="29"/>
      <c r="L23" s="29"/>
      <c r="M23" s="29"/>
      <c r="N23" s="114"/>
      <c r="O23" s="114"/>
    </row>
    <row r="24" spans="1:15" ht="45" x14ac:dyDescent="0.25">
      <c r="A24" s="119" t="s">
        <v>85</v>
      </c>
      <c r="B24" s="30">
        <f>17*1000</f>
        <v>17000</v>
      </c>
      <c r="C24" s="119" t="s">
        <v>608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</row>
    <row r="25" spans="1:15" x14ac:dyDescent="0.25">
      <c r="N25">
        <f>J21+O1-O21</f>
        <v>45494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418C2-8988-4C3F-BF92-B305B0A38C9B}">
  <dimension ref="A1:Q24"/>
  <sheetViews>
    <sheetView zoomScale="70" workbookViewId="0">
      <selection activeCell="J21" sqref="J21"/>
    </sheetView>
  </sheetViews>
  <sheetFormatPr defaultRowHeight="15" x14ac:dyDescent="0.25"/>
  <cols>
    <col min="1" max="1" width="12.140625" bestFit="1" customWidth="1"/>
    <col min="2" max="2" width="21.28515625" bestFit="1" customWidth="1"/>
    <col min="3" max="3" width="20.28515625" bestFit="1" customWidth="1"/>
    <col min="4" max="4" width="10" bestFit="1" customWidth="1"/>
    <col min="5" max="5" width="9" bestFit="1" customWidth="1"/>
    <col min="6" max="6" width="20.140625" bestFit="1" customWidth="1"/>
    <col min="7" max="7" width="16.85546875" bestFit="1" customWidth="1"/>
    <col min="8" max="8" width="15.42578125" bestFit="1" customWidth="1"/>
    <col min="9" max="9" width="15.7109375" bestFit="1" customWidth="1"/>
    <col min="10" max="10" width="9.28515625" bestFit="1" customWidth="1"/>
    <col min="13" max="13" width="14.28515625" hidden="1" customWidth="1"/>
    <col min="14" max="14" width="22.5703125" bestFit="1" customWidth="1"/>
  </cols>
  <sheetData>
    <row r="1" spans="1:15" x14ac:dyDescent="0.25">
      <c r="A1" s="49" t="s">
        <v>642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/>
      <c r="M1" s="146" t="s">
        <v>128</v>
      </c>
      <c r="N1" s="154" t="s">
        <v>645</v>
      </c>
      <c r="O1" s="151">
        <v>45494</v>
      </c>
    </row>
    <row r="2" spans="1:15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/>
      <c r="L2" s="29"/>
      <c r="M2" s="158"/>
      <c r="N2" s="148"/>
      <c r="O2" s="149"/>
    </row>
    <row r="3" spans="1:15" x14ac:dyDescent="0.25">
      <c r="A3" s="72" t="s">
        <v>132</v>
      </c>
      <c r="B3" s="30" t="s">
        <v>131</v>
      </c>
      <c r="C3" s="30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/>
      <c r="L3" s="29"/>
      <c r="M3" s="158"/>
      <c r="N3" s="148"/>
      <c r="O3" s="148"/>
    </row>
    <row r="4" spans="1:15" x14ac:dyDescent="0.25">
      <c r="A4" s="32" t="s">
        <v>68</v>
      </c>
      <c r="B4" s="30">
        <v>147.19999999999999</v>
      </c>
      <c r="C4" s="30">
        <v>149.30000000000001</v>
      </c>
      <c r="D4" s="29">
        <f t="shared" ref="D4:D20" si="1">(C4-B4)*1000</f>
        <v>2100.0000000000227</v>
      </c>
      <c r="E4" s="64">
        <f>ROUND(D4*D23,0)</f>
        <v>274</v>
      </c>
      <c r="F4" s="29">
        <v>1200</v>
      </c>
      <c r="G4" s="29">
        <f t="shared" ref="G4:G19" si="2">SUM(E4,F4)</f>
        <v>1474</v>
      </c>
      <c r="H4" s="29">
        <v>50</v>
      </c>
      <c r="I4" s="29">
        <v>0</v>
      </c>
      <c r="J4" s="29">
        <f t="shared" ref="J4:J19" si="3">G4+H4+I4</f>
        <v>1524</v>
      </c>
      <c r="K4" s="29"/>
      <c r="L4" s="156"/>
      <c r="M4" s="158"/>
      <c r="N4" s="160"/>
      <c r="O4" s="160"/>
    </row>
    <row r="5" spans="1:15" x14ac:dyDescent="0.25">
      <c r="A5" s="32" t="s">
        <v>70</v>
      </c>
      <c r="B5" s="30">
        <v>228.2</v>
      </c>
      <c r="C5" s="30">
        <v>231.97</v>
      </c>
      <c r="D5" s="29">
        <f t="shared" si="1"/>
        <v>3770.00000000001</v>
      </c>
      <c r="E5" s="64">
        <f>ROUND(D5*D23,0)</f>
        <v>491</v>
      </c>
      <c r="F5" s="29">
        <v>1200</v>
      </c>
      <c r="G5" s="29">
        <f t="shared" si="2"/>
        <v>1691</v>
      </c>
      <c r="H5" s="29">
        <v>50</v>
      </c>
      <c r="I5" s="29">
        <v>0</v>
      </c>
      <c r="J5" s="29">
        <f t="shared" si="3"/>
        <v>1741</v>
      </c>
      <c r="K5" s="29"/>
      <c r="L5" s="29"/>
      <c r="M5" s="158"/>
      <c r="N5" s="114"/>
      <c r="O5" s="114"/>
    </row>
    <row r="6" spans="1:15" x14ac:dyDescent="0.25">
      <c r="A6" s="32" t="s">
        <v>16</v>
      </c>
      <c r="B6" s="30">
        <v>451.5</v>
      </c>
      <c r="C6" s="30">
        <v>459.18</v>
      </c>
      <c r="D6" s="29">
        <f t="shared" si="1"/>
        <v>7680.0000000000073</v>
      </c>
      <c r="E6" s="64">
        <f>ROUND(D6*D23,0)</f>
        <v>1001</v>
      </c>
      <c r="F6" s="29">
        <v>1200</v>
      </c>
      <c r="G6" s="29">
        <f t="shared" si="2"/>
        <v>2201</v>
      </c>
      <c r="H6" s="29">
        <v>50</v>
      </c>
      <c r="I6" s="29">
        <v>0</v>
      </c>
      <c r="J6" s="29">
        <f t="shared" si="3"/>
        <v>2251</v>
      </c>
      <c r="K6" s="29"/>
      <c r="L6" s="29"/>
      <c r="M6" s="158"/>
      <c r="N6" s="114"/>
      <c r="O6" s="114"/>
    </row>
    <row r="7" spans="1:15" x14ac:dyDescent="0.25">
      <c r="A7" s="32" t="s">
        <v>13</v>
      </c>
      <c r="B7" s="30">
        <v>374.68</v>
      </c>
      <c r="C7" s="30">
        <v>383.4</v>
      </c>
      <c r="D7" s="29">
        <f t="shared" si="1"/>
        <v>8719.9999999999709</v>
      </c>
      <c r="E7" s="64">
        <f>ROUND(D7*D23,0)</f>
        <v>1136</v>
      </c>
      <c r="F7" s="29">
        <v>1200</v>
      </c>
      <c r="G7" s="29">
        <f t="shared" si="2"/>
        <v>2336</v>
      </c>
      <c r="H7" s="29">
        <v>50</v>
      </c>
      <c r="I7" s="29">
        <v>0</v>
      </c>
      <c r="J7" s="29">
        <f t="shared" si="3"/>
        <v>2386</v>
      </c>
      <c r="K7" s="29"/>
      <c r="L7" s="29"/>
      <c r="M7" s="158"/>
      <c r="N7" s="114"/>
      <c r="O7" s="114"/>
    </row>
    <row r="8" spans="1:15" x14ac:dyDescent="0.25">
      <c r="A8" s="32">
        <v>101</v>
      </c>
      <c r="B8" s="30">
        <v>89.84</v>
      </c>
      <c r="C8" s="30">
        <v>94.09</v>
      </c>
      <c r="D8" s="29">
        <f t="shared" si="1"/>
        <v>4250</v>
      </c>
      <c r="E8" s="64">
        <f>ROUND(D8*D23,0)</f>
        <v>554</v>
      </c>
      <c r="F8" s="29">
        <v>1200</v>
      </c>
      <c r="G8" s="29">
        <f t="shared" si="2"/>
        <v>1754</v>
      </c>
      <c r="H8" s="29">
        <v>50</v>
      </c>
      <c r="I8" s="29">
        <v>0</v>
      </c>
      <c r="J8" s="29">
        <f t="shared" si="3"/>
        <v>1804</v>
      </c>
      <c r="K8" s="29"/>
      <c r="L8" s="29"/>
      <c r="M8" s="158"/>
      <c r="N8" s="153" t="s">
        <v>239</v>
      </c>
      <c r="O8" s="153"/>
    </row>
    <row r="9" spans="1:15" x14ac:dyDescent="0.25">
      <c r="A9" s="32">
        <v>102</v>
      </c>
      <c r="B9" s="30">
        <v>638.4</v>
      </c>
      <c r="C9" s="30">
        <v>639.64</v>
      </c>
      <c r="D9" s="29">
        <f t="shared" si="1"/>
        <v>1240.0000000000091</v>
      </c>
      <c r="E9" s="64">
        <f>ROUND(D9*D23,0)</f>
        <v>162</v>
      </c>
      <c r="F9" s="29">
        <v>1200</v>
      </c>
      <c r="G9" s="29">
        <f t="shared" si="2"/>
        <v>1362</v>
      </c>
      <c r="H9" s="29">
        <v>50</v>
      </c>
      <c r="I9" s="29">
        <v>0</v>
      </c>
      <c r="J9" s="29">
        <f t="shared" si="3"/>
        <v>1412</v>
      </c>
      <c r="K9" s="29"/>
      <c r="L9" s="29"/>
      <c r="M9" s="158"/>
      <c r="N9" s="114" t="s">
        <v>314</v>
      </c>
      <c r="O9" s="160">
        <v>6500</v>
      </c>
    </row>
    <row r="10" spans="1:15" x14ac:dyDescent="0.25">
      <c r="A10" s="32">
        <v>103</v>
      </c>
      <c r="B10" s="29">
        <v>262.10000000000002</v>
      </c>
      <c r="C10" s="29">
        <v>266.92</v>
      </c>
      <c r="D10" s="29">
        <f t="shared" si="1"/>
        <v>4819.9999999999927</v>
      </c>
      <c r="E10" s="64">
        <f>ROUND(D10*D23,0)</f>
        <v>628</v>
      </c>
      <c r="F10" s="29">
        <v>1200</v>
      </c>
      <c r="G10" s="29">
        <f t="shared" si="2"/>
        <v>1828</v>
      </c>
      <c r="H10" s="29">
        <v>50</v>
      </c>
      <c r="I10" s="29">
        <v>0</v>
      </c>
      <c r="J10" s="29">
        <f t="shared" si="3"/>
        <v>1878</v>
      </c>
      <c r="K10" s="29"/>
      <c r="L10" s="29"/>
      <c r="M10" s="158"/>
      <c r="N10" s="160" t="s">
        <v>520</v>
      </c>
      <c r="O10" s="160">
        <v>2044</v>
      </c>
    </row>
    <row r="11" spans="1:15" x14ac:dyDescent="0.25">
      <c r="A11" s="32">
        <v>104</v>
      </c>
      <c r="B11" s="30">
        <v>97.15</v>
      </c>
      <c r="C11" s="30">
        <v>104.73</v>
      </c>
      <c r="D11" s="29">
        <f t="shared" si="1"/>
        <v>7579.9999999999982</v>
      </c>
      <c r="E11" s="64">
        <f>ROUND(D11*D23,0)</f>
        <v>988</v>
      </c>
      <c r="F11" s="29">
        <v>1200</v>
      </c>
      <c r="G11" s="29">
        <f t="shared" si="2"/>
        <v>2188</v>
      </c>
      <c r="H11" s="29">
        <v>50</v>
      </c>
      <c r="I11" s="29">
        <v>0</v>
      </c>
      <c r="J11" s="29">
        <f t="shared" si="3"/>
        <v>2238</v>
      </c>
      <c r="K11" s="29"/>
      <c r="L11" s="29"/>
      <c r="M11" s="158"/>
      <c r="N11" s="160" t="s">
        <v>500</v>
      </c>
      <c r="O11" s="160">
        <v>2876</v>
      </c>
    </row>
    <row r="12" spans="1:15" x14ac:dyDescent="0.25">
      <c r="A12" s="32">
        <v>201</v>
      </c>
      <c r="B12" s="30">
        <v>151.33000000000001</v>
      </c>
      <c r="C12" s="30">
        <v>155.19</v>
      </c>
      <c r="D12" s="29">
        <f t="shared" si="1"/>
        <v>3859.9999999999854</v>
      </c>
      <c r="E12" s="64">
        <f>ROUND(D12*D23,0)</f>
        <v>503</v>
      </c>
      <c r="F12" s="29">
        <v>1200</v>
      </c>
      <c r="G12" s="29">
        <f t="shared" si="2"/>
        <v>1703</v>
      </c>
      <c r="H12" s="29">
        <v>50</v>
      </c>
      <c r="I12" s="29">
        <v>0</v>
      </c>
      <c r="J12" s="29">
        <f t="shared" si="3"/>
        <v>1753</v>
      </c>
      <c r="K12" s="29"/>
      <c r="L12" s="29"/>
      <c r="M12" s="158"/>
      <c r="N12" s="160" t="s">
        <v>516</v>
      </c>
      <c r="O12" s="160">
        <v>17000</v>
      </c>
    </row>
    <row r="13" spans="1:15" x14ac:dyDescent="0.25">
      <c r="A13" s="32">
        <v>202</v>
      </c>
      <c r="B13" s="30">
        <v>313.89999999999998</v>
      </c>
      <c r="C13" s="30">
        <v>318.14</v>
      </c>
      <c r="D13" s="29">
        <f t="shared" si="1"/>
        <v>4240.0000000000091</v>
      </c>
      <c r="E13" s="64">
        <f>ROUND(D13*D23,0)</f>
        <v>552</v>
      </c>
      <c r="F13" s="29">
        <v>1200</v>
      </c>
      <c r="G13" s="29">
        <f t="shared" si="2"/>
        <v>1752</v>
      </c>
      <c r="H13" s="29">
        <v>50</v>
      </c>
      <c r="I13" s="29">
        <v>0</v>
      </c>
      <c r="J13" s="29">
        <f t="shared" si="3"/>
        <v>1802</v>
      </c>
      <c r="K13" s="29"/>
      <c r="L13" s="29"/>
      <c r="M13" s="158"/>
      <c r="N13" s="114" t="s">
        <v>388</v>
      </c>
      <c r="O13" s="114">
        <v>800</v>
      </c>
    </row>
    <row r="14" spans="1:15" x14ac:dyDescent="0.25">
      <c r="A14" s="32">
        <v>203</v>
      </c>
      <c r="B14" s="30">
        <v>56.8</v>
      </c>
      <c r="C14" s="30">
        <v>63.74</v>
      </c>
      <c r="D14" s="29">
        <f t="shared" si="1"/>
        <v>6940.0000000000045</v>
      </c>
      <c r="E14" s="64">
        <f>ROUND(D14*D23,0)</f>
        <v>904</v>
      </c>
      <c r="F14" s="29">
        <v>1200</v>
      </c>
      <c r="G14" s="29">
        <f t="shared" si="2"/>
        <v>2104</v>
      </c>
      <c r="H14" s="29">
        <v>50</v>
      </c>
      <c r="I14" s="29">
        <v>0</v>
      </c>
      <c r="J14" s="29">
        <f t="shared" si="3"/>
        <v>2154</v>
      </c>
      <c r="K14" s="29"/>
      <c r="L14" s="29"/>
      <c r="M14" s="158"/>
      <c r="N14" s="114" t="s">
        <v>643</v>
      </c>
      <c r="O14" s="114">
        <v>800</v>
      </c>
    </row>
    <row r="15" spans="1:15" x14ac:dyDescent="0.25">
      <c r="A15" s="32">
        <v>204</v>
      </c>
      <c r="B15" s="30">
        <v>306.20999999999998</v>
      </c>
      <c r="C15" s="30">
        <v>312.94</v>
      </c>
      <c r="D15" s="29">
        <f t="shared" si="1"/>
        <v>6730.0000000000182</v>
      </c>
      <c r="E15" s="64">
        <f>ROUND(D15*D23,0)</f>
        <v>877</v>
      </c>
      <c r="F15" s="29">
        <v>1200</v>
      </c>
      <c r="G15" s="29">
        <f t="shared" si="2"/>
        <v>2077</v>
      </c>
      <c r="H15" s="29">
        <v>50</v>
      </c>
      <c r="I15" s="29">
        <v>0</v>
      </c>
      <c r="J15" s="29">
        <f t="shared" si="3"/>
        <v>2127</v>
      </c>
      <c r="K15" s="29"/>
      <c r="L15" s="29"/>
      <c r="M15" s="158"/>
      <c r="N15" s="114"/>
      <c r="O15" s="114"/>
    </row>
    <row r="16" spans="1:15" x14ac:dyDescent="0.25">
      <c r="A16" s="32">
        <v>301</v>
      </c>
      <c r="B16" s="30">
        <v>91.36</v>
      </c>
      <c r="C16" s="30">
        <v>96.64</v>
      </c>
      <c r="D16" s="29">
        <f t="shared" si="1"/>
        <v>5280.0000000000009</v>
      </c>
      <c r="E16" s="64">
        <f>ROUND(D16*D23,0)</f>
        <v>688</v>
      </c>
      <c r="F16" s="29">
        <v>1200</v>
      </c>
      <c r="G16" s="29">
        <f t="shared" si="2"/>
        <v>1888</v>
      </c>
      <c r="H16" s="29">
        <v>50</v>
      </c>
      <c r="I16" s="29">
        <v>0</v>
      </c>
      <c r="J16" s="29">
        <f t="shared" si="3"/>
        <v>1938</v>
      </c>
      <c r="K16" s="29"/>
      <c r="L16" s="29"/>
      <c r="M16" s="158"/>
      <c r="N16" s="160"/>
      <c r="O16" s="114"/>
    </row>
    <row r="17" spans="1:17" x14ac:dyDescent="0.25">
      <c r="A17" s="32">
        <v>302</v>
      </c>
      <c r="B17" s="30">
        <v>205.6</v>
      </c>
      <c r="C17" s="30">
        <v>217.55</v>
      </c>
      <c r="D17" s="29">
        <f t="shared" si="1"/>
        <v>11950.000000000016</v>
      </c>
      <c r="E17" s="64">
        <f>ROUND(D17*D23,0)</f>
        <v>1557</v>
      </c>
      <c r="F17" s="29">
        <v>1200</v>
      </c>
      <c r="G17" s="29">
        <f t="shared" si="2"/>
        <v>2757</v>
      </c>
      <c r="H17" s="29">
        <v>50</v>
      </c>
      <c r="I17" s="29">
        <v>0</v>
      </c>
      <c r="J17" s="29">
        <f t="shared" si="3"/>
        <v>2807</v>
      </c>
      <c r="K17" s="29"/>
      <c r="L17" s="119"/>
      <c r="M17" s="158"/>
      <c r="N17" s="114"/>
      <c r="O17" s="114"/>
    </row>
    <row r="18" spans="1:17" x14ac:dyDescent="0.25">
      <c r="A18" s="32">
        <v>303</v>
      </c>
      <c r="B18" s="29">
        <v>23.53</v>
      </c>
      <c r="C18" s="29">
        <v>37.44</v>
      </c>
      <c r="D18" s="29">
        <f t="shared" si="1"/>
        <v>13909.999999999996</v>
      </c>
      <c r="E18" s="64">
        <f>ROUND(D18*D23,0)</f>
        <v>1812</v>
      </c>
      <c r="F18" s="29">
        <v>1200</v>
      </c>
      <c r="G18" s="29">
        <f t="shared" si="2"/>
        <v>3012</v>
      </c>
      <c r="H18" s="29">
        <v>50</v>
      </c>
      <c r="I18" s="29">
        <v>0</v>
      </c>
      <c r="J18" s="29">
        <f t="shared" si="3"/>
        <v>3062</v>
      </c>
      <c r="K18" s="29"/>
      <c r="L18" s="29"/>
      <c r="M18" s="158"/>
      <c r="N18" s="160"/>
      <c r="O18" s="114"/>
    </row>
    <row r="19" spans="1:17" x14ac:dyDescent="0.25">
      <c r="A19" s="32">
        <v>304</v>
      </c>
      <c r="B19" s="30">
        <v>370.95</v>
      </c>
      <c r="C19" s="30">
        <v>382.35</v>
      </c>
      <c r="D19" s="29">
        <f t="shared" si="1"/>
        <v>11400.000000000035</v>
      </c>
      <c r="E19" s="64">
        <f>ROUND(D19*D23,0)</f>
        <v>1485</v>
      </c>
      <c r="F19" s="29">
        <v>1200</v>
      </c>
      <c r="G19" s="29">
        <f t="shared" si="2"/>
        <v>2685</v>
      </c>
      <c r="H19" s="29">
        <v>50</v>
      </c>
      <c r="I19" s="29">
        <v>0</v>
      </c>
      <c r="J19" s="29">
        <f t="shared" si="3"/>
        <v>2735</v>
      </c>
      <c r="K19" s="29"/>
      <c r="L19" s="29"/>
      <c r="M19" s="158"/>
      <c r="N19" s="114"/>
      <c r="O19" s="114"/>
    </row>
    <row r="20" spans="1:17" x14ac:dyDescent="0.25">
      <c r="A20" s="29" t="s">
        <v>287</v>
      </c>
      <c r="B20" s="30">
        <v>381.86</v>
      </c>
      <c r="C20" s="30">
        <v>392.51</v>
      </c>
      <c r="D20" s="29">
        <f t="shared" si="1"/>
        <v>10649.999999999978</v>
      </c>
      <c r="E20" s="64">
        <f>ROUND(D20*D23,0)</f>
        <v>1388</v>
      </c>
      <c r="F20" s="29">
        <v>0</v>
      </c>
      <c r="G20" s="29"/>
      <c r="H20" s="29">
        <v>0</v>
      </c>
      <c r="I20" s="29"/>
      <c r="J20" s="29"/>
      <c r="K20" s="29"/>
      <c r="L20" s="29"/>
      <c r="M20" s="51"/>
      <c r="N20" s="114"/>
      <c r="O20" s="114"/>
    </row>
    <row r="21" spans="1:17" x14ac:dyDescent="0.25">
      <c r="A21" s="29"/>
      <c r="B21" s="29"/>
      <c r="C21" s="29"/>
      <c r="D21" s="29"/>
      <c r="E21" s="29"/>
      <c r="F21" s="49"/>
      <c r="G21" s="49"/>
      <c r="H21" s="49">
        <f>SUM(H2:H20)</f>
        <v>800</v>
      </c>
      <c r="I21" s="49"/>
      <c r="J21" s="49">
        <f>SUM(J2:J20)</f>
        <v>34212</v>
      </c>
      <c r="K21" s="49">
        <f>SUM(K2:K19)</f>
        <v>0</v>
      </c>
      <c r="L21" s="49"/>
      <c r="M21" s="29"/>
      <c r="N21" s="114"/>
      <c r="O21" s="121">
        <f>SUM(O9:O20)</f>
        <v>30020</v>
      </c>
    </row>
    <row r="22" spans="1:17" x14ac:dyDescent="0.25">
      <c r="A22" s="29"/>
      <c r="B22" s="29" t="s">
        <v>75</v>
      </c>
      <c r="C22" s="29"/>
      <c r="D22" s="30">
        <f>SUM(D4:D20)</f>
        <v>115120.00000000006</v>
      </c>
      <c r="E22" s="202">
        <f>SUM(E4:E20)</f>
        <v>15000</v>
      </c>
      <c r="F22" s="29"/>
      <c r="G22" s="29"/>
      <c r="H22" s="29"/>
      <c r="I22" s="29"/>
      <c r="J22" s="29"/>
      <c r="K22" s="29"/>
      <c r="L22" s="29"/>
      <c r="M22" s="29"/>
      <c r="N22" s="152"/>
      <c r="O22" s="152"/>
    </row>
    <row r="23" spans="1:17" ht="30" x14ac:dyDescent="0.25">
      <c r="A23" s="29"/>
      <c r="B23" s="29" t="s">
        <v>243</v>
      </c>
      <c r="C23" s="119" t="s">
        <v>641</v>
      </c>
      <c r="D23" s="111">
        <f>B24/D22</f>
        <v>0.13029881862404441</v>
      </c>
      <c r="E23" s="29"/>
      <c r="F23" s="29"/>
      <c r="G23" s="29" t="s">
        <v>205</v>
      </c>
      <c r="H23" s="29">
        <f>O1+J21-O21</f>
        <v>49686</v>
      </c>
      <c r="I23" s="29"/>
      <c r="J23" s="29"/>
      <c r="K23" s="29"/>
      <c r="L23" s="29"/>
      <c r="M23" s="29"/>
      <c r="N23" s="114"/>
      <c r="O23" s="114"/>
    </row>
    <row r="24" spans="1:17" ht="30" x14ac:dyDescent="0.25">
      <c r="A24" s="119" t="s">
        <v>85</v>
      </c>
      <c r="B24" s="30">
        <f>15*1000</f>
        <v>15000</v>
      </c>
      <c r="C24" s="119" t="s">
        <v>404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Q24">
        <f>O1+J21-O21</f>
        <v>49686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9EAC6-62CF-40E3-8C58-4B16FD03771E}">
  <dimension ref="A1:P24"/>
  <sheetViews>
    <sheetView zoomScale="77" workbookViewId="0">
      <selection activeCell="O1" sqref="O1"/>
    </sheetView>
  </sheetViews>
  <sheetFormatPr defaultRowHeight="15" x14ac:dyDescent="0.25"/>
  <cols>
    <col min="1" max="1" width="12.140625" bestFit="1" customWidth="1"/>
    <col min="2" max="2" width="21.28515625" bestFit="1" customWidth="1"/>
    <col min="3" max="3" width="20.28515625" bestFit="1" customWidth="1"/>
    <col min="4" max="4" width="10" bestFit="1" customWidth="1"/>
    <col min="5" max="5" width="9" bestFit="1" customWidth="1"/>
    <col min="6" max="6" width="20.140625" bestFit="1" customWidth="1"/>
    <col min="7" max="7" width="16.85546875" bestFit="1" customWidth="1"/>
    <col min="8" max="8" width="15.42578125" bestFit="1" customWidth="1"/>
    <col min="9" max="9" width="15.7109375" bestFit="1" customWidth="1"/>
    <col min="10" max="10" width="6.7109375" bestFit="1" customWidth="1"/>
    <col min="13" max="13" width="14.28515625" hidden="1" customWidth="1"/>
    <col min="14" max="14" width="22.5703125" bestFit="1" customWidth="1"/>
  </cols>
  <sheetData>
    <row r="1" spans="1:16" x14ac:dyDescent="0.25">
      <c r="A1" s="49" t="s">
        <v>642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/>
      <c r="M1" s="146" t="s">
        <v>128</v>
      </c>
      <c r="N1" s="154" t="s">
        <v>646</v>
      </c>
      <c r="O1" s="151">
        <v>49689</v>
      </c>
    </row>
    <row r="2" spans="1:16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/>
      <c r="L2" s="29"/>
      <c r="M2" s="158"/>
      <c r="N2" s="148"/>
      <c r="O2" s="149"/>
    </row>
    <row r="3" spans="1:16" x14ac:dyDescent="0.25">
      <c r="A3" s="72" t="s">
        <v>132</v>
      </c>
      <c r="B3" s="30" t="s">
        <v>131</v>
      </c>
      <c r="C3" s="30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/>
      <c r="L3" s="29"/>
      <c r="M3" s="158"/>
      <c r="N3" s="148"/>
      <c r="O3" s="148"/>
    </row>
    <row r="4" spans="1:16" x14ac:dyDescent="0.25">
      <c r="A4" s="32" t="s">
        <v>68</v>
      </c>
      <c r="B4" s="30">
        <v>149.30000000000001</v>
      </c>
      <c r="C4" s="30">
        <v>151.49</v>
      </c>
      <c r="D4" s="29">
        <f t="shared" ref="D4:D20" si="1">(C4-B4)*1000</f>
        <v>2189.9999999999977</v>
      </c>
      <c r="E4" s="64">
        <f>ROUND(D4*D23,0)</f>
        <v>215</v>
      </c>
      <c r="F4" s="29">
        <v>1200</v>
      </c>
      <c r="G4" s="29">
        <f t="shared" ref="G4:G19" si="2">SUM(E4,F4)</f>
        <v>1415</v>
      </c>
      <c r="H4" s="29">
        <v>50</v>
      </c>
      <c r="I4" s="29">
        <v>0</v>
      </c>
      <c r="J4" s="29">
        <f t="shared" ref="J4:J19" si="3">G4+H4+I4</f>
        <v>1465</v>
      </c>
      <c r="K4" s="29"/>
      <c r="L4" s="156"/>
      <c r="M4" s="158"/>
      <c r="N4" s="160"/>
      <c r="O4" s="160"/>
    </row>
    <row r="5" spans="1:16" x14ac:dyDescent="0.25">
      <c r="A5" s="32" t="s">
        <v>70</v>
      </c>
      <c r="B5" s="30">
        <v>231.97</v>
      </c>
      <c r="C5" s="30">
        <v>236.28</v>
      </c>
      <c r="D5" s="29">
        <f t="shared" si="1"/>
        <v>4310.0000000000018</v>
      </c>
      <c r="E5" s="64">
        <f>ROUND(D5*D23,0)</f>
        <v>423</v>
      </c>
      <c r="F5" s="29">
        <v>1200</v>
      </c>
      <c r="G5" s="29">
        <f t="shared" si="2"/>
        <v>1623</v>
      </c>
      <c r="H5" s="29">
        <v>50</v>
      </c>
      <c r="I5" s="29">
        <v>0</v>
      </c>
      <c r="J5" s="29">
        <f t="shared" si="3"/>
        <v>1673</v>
      </c>
      <c r="K5" s="29"/>
      <c r="L5" s="29"/>
      <c r="M5" s="158"/>
      <c r="N5" s="114"/>
      <c r="O5" s="114"/>
    </row>
    <row r="6" spans="1:16" x14ac:dyDescent="0.25">
      <c r="A6" s="32" t="s">
        <v>16</v>
      </c>
      <c r="B6" s="30">
        <v>459.18</v>
      </c>
      <c r="C6" s="30">
        <v>469.83</v>
      </c>
      <c r="D6" s="29">
        <f t="shared" si="1"/>
        <v>10649.999999999978</v>
      </c>
      <c r="E6" s="64">
        <f>ROUND(D6*D23,0)</f>
        <v>1045</v>
      </c>
      <c r="F6" s="29">
        <v>1200</v>
      </c>
      <c r="G6" s="29">
        <f t="shared" si="2"/>
        <v>2245</v>
      </c>
      <c r="H6" s="29">
        <v>50</v>
      </c>
      <c r="I6" s="29">
        <v>0</v>
      </c>
      <c r="J6" s="29">
        <f t="shared" si="3"/>
        <v>2295</v>
      </c>
      <c r="K6" s="29"/>
      <c r="L6" s="29"/>
      <c r="M6" s="158"/>
      <c r="N6" s="114"/>
      <c r="O6" s="114"/>
    </row>
    <row r="7" spans="1:16" x14ac:dyDescent="0.25">
      <c r="A7" s="32" t="s">
        <v>13</v>
      </c>
      <c r="B7" s="30">
        <v>383.4</v>
      </c>
      <c r="C7" s="30">
        <v>388.37</v>
      </c>
      <c r="D7" s="29">
        <f t="shared" si="1"/>
        <v>4970.0000000000273</v>
      </c>
      <c r="E7" s="64">
        <f>ROUND(D7*D23,0)</f>
        <v>488</v>
      </c>
      <c r="F7" s="29">
        <v>1200</v>
      </c>
      <c r="G7" s="29">
        <f t="shared" si="2"/>
        <v>1688</v>
      </c>
      <c r="H7" s="29">
        <v>50</v>
      </c>
      <c r="I7" s="29">
        <v>0</v>
      </c>
      <c r="J7" s="29">
        <f t="shared" si="3"/>
        <v>1738</v>
      </c>
      <c r="K7" s="29"/>
      <c r="L7" s="29"/>
      <c r="M7" s="158"/>
      <c r="N7" s="114"/>
      <c r="O7" s="114"/>
    </row>
    <row r="8" spans="1:16" x14ac:dyDescent="0.25">
      <c r="A8" s="32">
        <v>101</v>
      </c>
      <c r="B8" s="30">
        <v>94.09</v>
      </c>
      <c r="C8" s="30">
        <v>96.14</v>
      </c>
      <c r="D8" s="29">
        <f t="shared" si="1"/>
        <v>2049.9999999999973</v>
      </c>
      <c r="E8" s="64">
        <f>ROUND(D8*D23,0)</f>
        <v>201</v>
      </c>
      <c r="F8" s="29">
        <v>1200</v>
      </c>
      <c r="G8" s="29">
        <f t="shared" si="2"/>
        <v>1401</v>
      </c>
      <c r="H8" s="29">
        <v>50</v>
      </c>
      <c r="I8" s="29">
        <v>0</v>
      </c>
      <c r="J8" s="29">
        <f t="shared" si="3"/>
        <v>1451</v>
      </c>
      <c r="K8" s="29"/>
      <c r="L8" s="29"/>
      <c r="M8" s="158"/>
      <c r="N8" s="153" t="s">
        <v>647</v>
      </c>
      <c r="O8" s="153"/>
    </row>
    <row r="9" spans="1:16" x14ac:dyDescent="0.25">
      <c r="A9" s="32">
        <v>102</v>
      </c>
      <c r="B9" s="30">
        <v>639.64</v>
      </c>
      <c r="C9" s="30">
        <v>639.65</v>
      </c>
      <c r="D9" s="29">
        <f t="shared" si="1"/>
        <v>9.9999999999909051</v>
      </c>
      <c r="E9" s="64">
        <f>ROUND(D9*D23,0)</f>
        <v>1</v>
      </c>
      <c r="F9" s="29">
        <v>1200</v>
      </c>
      <c r="G9" s="29">
        <f t="shared" si="2"/>
        <v>1201</v>
      </c>
      <c r="H9" s="29">
        <v>50</v>
      </c>
      <c r="I9" s="29">
        <v>0</v>
      </c>
      <c r="J9" s="29">
        <f t="shared" si="3"/>
        <v>1251</v>
      </c>
      <c r="K9" s="29"/>
      <c r="L9" s="29"/>
      <c r="M9" s="158"/>
      <c r="N9" s="114" t="s">
        <v>314</v>
      </c>
      <c r="O9" s="213">
        <v>6500</v>
      </c>
    </row>
    <row r="10" spans="1:16" x14ac:dyDescent="0.25">
      <c r="A10" s="32">
        <v>103</v>
      </c>
      <c r="B10" s="29">
        <v>266.92</v>
      </c>
      <c r="C10" s="29">
        <v>274.47000000000003</v>
      </c>
      <c r="D10" s="29">
        <f t="shared" si="1"/>
        <v>7550.0000000000109</v>
      </c>
      <c r="E10" s="64">
        <f>ROUND(D10*D23,0)</f>
        <v>741</v>
      </c>
      <c r="F10" s="29">
        <v>1200</v>
      </c>
      <c r="G10" s="29">
        <f t="shared" si="2"/>
        <v>1941</v>
      </c>
      <c r="H10" s="29">
        <v>50</v>
      </c>
      <c r="I10" s="29">
        <v>0</v>
      </c>
      <c r="J10" s="29">
        <f t="shared" si="3"/>
        <v>1991</v>
      </c>
      <c r="K10" s="29"/>
      <c r="L10" s="29"/>
      <c r="M10" s="158"/>
      <c r="N10" s="160" t="s">
        <v>520</v>
      </c>
      <c r="O10" s="213">
        <v>2044</v>
      </c>
    </row>
    <row r="11" spans="1:16" x14ac:dyDescent="0.25">
      <c r="A11" s="32">
        <v>104</v>
      </c>
      <c r="B11" s="30">
        <v>104.73</v>
      </c>
      <c r="C11" s="30">
        <v>125.86</v>
      </c>
      <c r="D11" s="29">
        <f t="shared" si="1"/>
        <v>21129.999999999996</v>
      </c>
      <c r="E11" s="64">
        <f>ROUND(D11*D23,0)</f>
        <v>2074</v>
      </c>
      <c r="F11" s="29">
        <v>1200</v>
      </c>
      <c r="G11" s="29">
        <f t="shared" si="2"/>
        <v>3274</v>
      </c>
      <c r="H11" s="29">
        <v>50</v>
      </c>
      <c r="I11" s="29">
        <v>0</v>
      </c>
      <c r="J11" s="29">
        <f t="shared" si="3"/>
        <v>3324</v>
      </c>
      <c r="K11" s="29"/>
      <c r="L11" s="29"/>
      <c r="M11" s="158"/>
      <c r="N11" s="160" t="s">
        <v>500</v>
      </c>
      <c r="O11" s="213">
        <v>2868</v>
      </c>
    </row>
    <row r="12" spans="1:16" x14ac:dyDescent="0.25">
      <c r="A12" s="32">
        <v>201</v>
      </c>
      <c r="B12" s="30">
        <v>155.19</v>
      </c>
      <c r="C12" s="30">
        <v>158.11000000000001</v>
      </c>
      <c r="D12" s="29">
        <f t="shared" si="1"/>
        <v>2920.0000000000159</v>
      </c>
      <c r="E12" s="64">
        <f>ROUND(D12*D23,0)</f>
        <v>287</v>
      </c>
      <c r="F12" s="29">
        <v>1200</v>
      </c>
      <c r="G12" s="29">
        <f t="shared" si="2"/>
        <v>1487</v>
      </c>
      <c r="H12" s="29">
        <v>50</v>
      </c>
      <c r="I12" s="29">
        <v>0</v>
      </c>
      <c r="J12" s="29">
        <f t="shared" si="3"/>
        <v>1537</v>
      </c>
      <c r="K12" s="29"/>
      <c r="L12" s="29"/>
      <c r="M12" s="158"/>
      <c r="N12" s="160" t="s">
        <v>516</v>
      </c>
      <c r="O12" s="213">
        <v>15000</v>
      </c>
    </row>
    <row r="13" spans="1:16" x14ac:dyDescent="0.25">
      <c r="A13" s="32">
        <v>202</v>
      </c>
      <c r="B13" s="30">
        <v>318.14</v>
      </c>
      <c r="C13" s="30">
        <v>324.52</v>
      </c>
      <c r="D13" s="29">
        <f t="shared" si="1"/>
        <v>6379.9999999999955</v>
      </c>
      <c r="E13" s="64">
        <f>ROUND(D13*D23,0)</f>
        <v>626</v>
      </c>
      <c r="F13" s="29">
        <v>1200</v>
      </c>
      <c r="G13" s="29">
        <f t="shared" si="2"/>
        <v>1826</v>
      </c>
      <c r="H13" s="29">
        <v>50</v>
      </c>
      <c r="I13" s="29">
        <v>0</v>
      </c>
      <c r="J13" s="29">
        <f t="shared" si="3"/>
        <v>1876</v>
      </c>
      <c r="K13" s="29"/>
      <c r="L13" s="29"/>
      <c r="M13" s="158"/>
      <c r="N13" s="114" t="s">
        <v>644</v>
      </c>
      <c r="O13" s="214">
        <v>220</v>
      </c>
    </row>
    <row r="14" spans="1:16" x14ac:dyDescent="0.25">
      <c r="A14" s="32">
        <v>203</v>
      </c>
      <c r="B14" s="30">
        <v>63.74</v>
      </c>
      <c r="C14" s="30">
        <v>72.36</v>
      </c>
      <c r="D14" s="29">
        <f t="shared" si="1"/>
        <v>8619.9999999999982</v>
      </c>
      <c r="E14" s="64">
        <f>ROUND(D14*D23,0)</f>
        <v>846</v>
      </c>
      <c r="F14" s="29">
        <v>1200</v>
      </c>
      <c r="G14" s="29">
        <f t="shared" si="2"/>
        <v>2046</v>
      </c>
      <c r="H14" s="29">
        <v>50</v>
      </c>
      <c r="I14" s="29">
        <v>0</v>
      </c>
      <c r="J14" s="29">
        <f t="shared" si="3"/>
        <v>2096</v>
      </c>
      <c r="K14" s="29"/>
      <c r="L14" s="29"/>
      <c r="M14" s="158"/>
      <c r="N14" s="114" t="s">
        <v>514</v>
      </c>
      <c r="O14" s="114">
        <v>800</v>
      </c>
      <c r="P14">
        <v>200</v>
      </c>
    </row>
    <row r="15" spans="1:16" x14ac:dyDescent="0.25">
      <c r="A15" s="32">
        <v>204</v>
      </c>
      <c r="B15" s="30">
        <v>312.94</v>
      </c>
      <c r="C15" s="30">
        <v>318.87</v>
      </c>
      <c r="D15" s="29">
        <f t="shared" si="1"/>
        <v>5930.0000000000073</v>
      </c>
      <c r="E15" s="64">
        <f>ROUND(D15*D23,0)</f>
        <v>582</v>
      </c>
      <c r="F15" s="29">
        <v>1200</v>
      </c>
      <c r="G15" s="29">
        <f t="shared" si="2"/>
        <v>1782</v>
      </c>
      <c r="H15" s="29">
        <v>50</v>
      </c>
      <c r="I15" s="29">
        <v>0</v>
      </c>
      <c r="J15" s="29">
        <f t="shared" si="3"/>
        <v>1832</v>
      </c>
      <c r="K15" s="29"/>
      <c r="L15" s="29"/>
      <c r="M15" s="158"/>
      <c r="N15" s="114" t="s">
        <v>648</v>
      </c>
      <c r="O15" s="114">
        <v>600</v>
      </c>
    </row>
    <row r="16" spans="1:16" x14ac:dyDescent="0.25">
      <c r="A16" s="32">
        <v>301</v>
      </c>
      <c r="B16" s="30">
        <v>96.64</v>
      </c>
      <c r="C16" s="30">
        <v>106.08</v>
      </c>
      <c r="D16" s="29">
        <f t="shared" si="1"/>
        <v>9439.9999999999982</v>
      </c>
      <c r="E16" s="64">
        <f>ROUND(D16*D23,0)</f>
        <v>927</v>
      </c>
      <c r="F16" s="29">
        <v>1200</v>
      </c>
      <c r="G16" s="29">
        <f t="shared" si="2"/>
        <v>2127</v>
      </c>
      <c r="H16" s="29">
        <v>50</v>
      </c>
      <c r="I16" s="29">
        <v>0</v>
      </c>
      <c r="J16" s="29">
        <f t="shared" si="3"/>
        <v>2177</v>
      </c>
      <c r="K16" s="29"/>
      <c r="L16" s="29"/>
      <c r="M16" s="158"/>
      <c r="N16" s="160" t="s">
        <v>649</v>
      </c>
      <c r="O16" s="114">
        <v>480</v>
      </c>
    </row>
    <row r="17" spans="1:15" x14ac:dyDescent="0.25">
      <c r="A17" s="32">
        <v>302</v>
      </c>
      <c r="B17" s="30">
        <v>217.55</v>
      </c>
      <c r="C17" s="30">
        <v>224.91</v>
      </c>
      <c r="D17" s="29">
        <f t="shared" si="1"/>
        <v>7359.9999999999854</v>
      </c>
      <c r="E17" s="64">
        <f>ROUND(D17*D23,0)</f>
        <v>722</v>
      </c>
      <c r="F17" s="29">
        <v>1200</v>
      </c>
      <c r="G17" s="29">
        <f t="shared" si="2"/>
        <v>1922</v>
      </c>
      <c r="H17" s="29">
        <v>50</v>
      </c>
      <c r="I17" s="29">
        <v>0</v>
      </c>
      <c r="J17" s="29">
        <f t="shared" si="3"/>
        <v>1972</v>
      </c>
      <c r="K17" s="29"/>
      <c r="L17" s="119"/>
      <c r="M17" s="158"/>
      <c r="N17" s="114" t="s">
        <v>650</v>
      </c>
      <c r="O17" s="114">
        <v>6000</v>
      </c>
    </row>
    <row r="18" spans="1:15" x14ac:dyDescent="0.25">
      <c r="A18" s="32">
        <v>303</v>
      </c>
      <c r="B18" s="29">
        <v>37.44</v>
      </c>
      <c r="C18" s="29">
        <v>52.26</v>
      </c>
      <c r="D18" s="29">
        <f t="shared" si="1"/>
        <v>14820</v>
      </c>
      <c r="E18" s="64">
        <f>ROUND(D18*D23,0)</f>
        <v>1455</v>
      </c>
      <c r="F18" s="29">
        <v>1200</v>
      </c>
      <c r="G18" s="29">
        <f t="shared" si="2"/>
        <v>2655</v>
      </c>
      <c r="H18" s="29">
        <v>50</v>
      </c>
      <c r="I18" s="29">
        <v>0</v>
      </c>
      <c r="J18" s="29">
        <f t="shared" si="3"/>
        <v>2705</v>
      </c>
      <c r="K18" s="29"/>
      <c r="L18" s="29"/>
      <c r="M18" s="158"/>
      <c r="N18" s="160" t="s">
        <v>651</v>
      </c>
      <c r="O18" s="114">
        <v>880</v>
      </c>
    </row>
    <row r="19" spans="1:15" x14ac:dyDescent="0.25">
      <c r="A19" s="32">
        <v>304</v>
      </c>
      <c r="B19" s="30">
        <v>382.35</v>
      </c>
      <c r="C19" s="30">
        <v>393.18</v>
      </c>
      <c r="D19" s="29">
        <f t="shared" si="1"/>
        <v>10829.999999999984</v>
      </c>
      <c r="E19" s="64">
        <f>ROUND(D19*D23,0)</f>
        <v>1063</v>
      </c>
      <c r="F19" s="29">
        <v>1200</v>
      </c>
      <c r="G19" s="29">
        <f t="shared" si="2"/>
        <v>2263</v>
      </c>
      <c r="H19" s="29">
        <v>50</v>
      </c>
      <c r="I19" s="29">
        <v>0</v>
      </c>
      <c r="J19" s="29">
        <f t="shared" si="3"/>
        <v>2313</v>
      </c>
      <c r="K19" s="29"/>
      <c r="L19" s="29"/>
      <c r="M19" s="158"/>
      <c r="N19" s="114" t="s">
        <v>227</v>
      </c>
      <c r="O19" s="214">
        <v>450</v>
      </c>
    </row>
    <row r="20" spans="1:15" x14ac:dyDescent="0.25">
      <c r="A20" s="29" t="s">
        <v>287</v>
      </c>
      <c r="B20" s="30">
        <v>392.51</v>
      </c>
      <c r="C20" s="30">
        <v>405.79</v>
      </c>
      <c r="D20" s="29">
        <f t="shared" si="1"/>
        <v>13280.000000000029</v>
      </c>
      <c r="E20" s="64">
        <f>ROUND(D20*D23,0)</f>
        <v>1304</v>
      </c>
      <c r="F20" s="29">
        <v>0</v>
      </c>
      <c r="G20" s="29"/>
      <c r="H20" s="29">
        <v>0</v>
      </c>
      <c r="I20" s="29"/>
      <c r="J20" s="29"/>
      <c r="K20" s="29"/>
      <c r="L20" s="29"/>
      <c r="M20" s="51"/>
      <c r="N20" s="114"/>
      <c r="O20" s="114"/>
    </row>
    <row r="21" spans="1:15" x14ac:dyDescent="0.25">
      <c r="A21" s="29"/>
      <c r="B21" s="29"/>
      <c r="C21" s="29"/>
      <c r="D21" s="29"/>
      <c r="E21" s="29"/>
      <c r="F21" s="49"/>
      <c r="G21" s="49"/>
      <c r="H21" s="49">
        <f>SUM(H2:H20)</f>
        <v>800</v>
      </c>
      <c r="I21" s="49"/>
      <c r="J21" s="49">
        <f>SUM(J2:J20)</f>
        <v>32296</v>
      </c>
      <c r="K21" s="49">
        <f>SUM(K2:K19)</f>
        <v>0</v>
      </c>
      <c r="L21" s="49"/>
      <c r="M21" s="29"/>
      <c r="N21" s="114"/>
      <c r="O21" s="121">
        <f>SUM(O9:O20)</f>
        <v>35842</v>
      </c>
    </row>
    <row r="22" spans="1:15" x14ac:dyDescent="0.25">
      <c r="A22" s="29"/>
      <c r="B22" s="29" t="s">
        <v>75</v>
      </c>
      <c r="C22" s="29"/>
      <c r="D22" s="30">
        <f>SUM(D4:D20)</f>
        <v>132440</v>
      </c>
      <c r="E22" s="202">
        <f>SUM(E4:E20)</f>
        <v>13000</v>
      </c>
      <c r="F22" s="29"/>
      <c r="G22" s="29"/>
      <c r="H22" s="29"/>
      <c r="I22" s="29"/>
      <c r="J22" s="29"/>
      <c r="K22" s="29"/>
      <c r="L22" s="29"/>
      <c r="M22" s="29"/>
      <c r="N22" s="152"/>
      <c r="O22" s="152"/>
    </row>
    <row r="23" spans="1:15" ht="30" x14ac:dyDescent="0.25">
      <c r="A23" s="29"/>
      <c r="B23" s="29" t="s">
        <v>243</v>
      </c>
      <c r="C23" s="119" t="s">
        <v>641</v>
      </c>
      <c r="D23" s="111">
        <f>B24/D22</f>
        <v>9.8157656297191184E-2</v>
      </c>
      <c r="E23" s="29"/>
      <c r="F23" s="29"/>
      <c r="G23" s="29" t="s">
        <v>205</v>
      </c>
      <c r="H23" s="29">
        <f>O1+J21-O21</f>
        <v>46143</v>
      </c>
      <c r="I23" s="29"/>
      <c r="J23" s="29"/>
      <c r="K23" s="29"/>
      <c r="L23" s="29"/>
      <c r="M23" s="29"/>
      <c r="N23" s="114"/>
      <c r="O23" s="114"/>
    </row>
    <row r="24" spans="1:15" ht="30" x14ac:dyDescent="0.25">
      <c r="A24" s="119" t="s">
        <v>85</v>
      </c>
      <c r="B24" s="30">
        <f>13*1000</f>
        <v>13000</v>
      </c>
      <c r="C24" s="119" t="s">
        <v>456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92251-213E-42D9-80D2-33CB632F8295}">
  <dimension ref="A1:P24"/>
  <sheetViews>
    <sheetView zoomScale="85" zoomScaleNormal="85" workbookViewId="0">
      <selection activeCell="O1" sqref="O1"/>
    </sheetView>
  </sheetViews>
  <sheetFormatPr defaultRowHeight="15" x14ac:dyDescent="0.25"/>
  <cols>
    <col min="1" max="1" width="12.140625" bestFit="1" customWidth="1"/>
    <col min="2" max="2" width="21.28515625" bestFit="1" customWidth="1"/>
    <col min="3" max="3" width="20.28515625" bestFit="1" customWidth="1"/>
    <col min="4" max="4" width="10" bestFit="1" customWidth="1"/>
    <col min="5" max="5" width="9" bestFit="1" customWidth="1"/>
    <col min="6" max="6" width="20.140625" bestFit="1" customWidth="1"/>
    <col min="7" max="7" width="16.85546875" bestFit="1" customWidth="1"/>
    <col min="8" max="8" width="15.42578125" bestFit="1" customWidth="1"/>
    <col min="9" max="9" width="15.7109375" bestFit="1" customWidth="1"/>
    <col min="10" max="10" width="6.7109375" bestFit="1" customWidth="1"/>
    <col min="13" max="13" width="14.28515625" hidden="1" customWidth="1"/>
    <col min="14" max="14" width="22.5703125" bestFit="1" customWidth="1"/>
  </cols>
  <sheetData>
    <row r="1" spans="1:16" x14ac:dyDescent="0.25">
      <c r="A1" s="49" t="s">
        <v>642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/>
      <c r="M1" s="146" t="s">
        <v>128</v>
      </c>
      <c r="N1" s="154" t="s">
        <v>657</v>
      </c>
      <c r="O1" s="151">
        <v>46143</v>
      </c>
    </row>
    <row r="2" spans="1:16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/>
      <c r="L2" s="29"/>
      <c r="M2" s="158"/>
      <c r="N2" s="148"/>
      <c r="O2" s="149"/>
    </row>
    <row r="3" spans="1:16" x14ac:dyDescent="0.25">
      <c r="A3" s="72" t="s">
        <v>132</v>
      </c>
      <c r="B3" s="30" t="s">
        <v>131</v>
      </c>
      <c r="C3" s="30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/>
      <c r="L3" s="29"/>
      <c r="M3" s="158"/>
      <c r="N3" s="148"/>
      <c r="O3" s="148"/>
    </row>
    <row r="4" spans="1:16" x14ac:dyDescent="0.25">
      <c r="A4" s="32" t="s">
        <v>68</v>
      </c>
      <c r="B4" s="30">
        <v>151.49</v>
      </c>
      <c r="C4" s="30">
        <v>158.38</v>
      </c>
      <c r="D4" s="29">
        <f t="shared" ref="D4:D20" si="1">(C4-B4)*1000</f>
        <v>6889.9999999999864</v>
      </c>
      <c r="E4" s="64">
        <f>ROUND(D4*D23,0)</f>
        <v>1110</v>
      </c>
      <c r="F4" s="29">
        <v>1200</v>
      </c>
      <c r="G4" s="29">
        <f t="shared" ref="G4:G19" si="2">SUM(E4,F4)</f>
        <v>2310</v>
      </c>
      <c r="H4" s="29">
        <v>50</v>
      </c>
      <c r="I4" s="29">
        <v>0</v>
      </c>
      <c r="J4" s="29">
        <f t="shared" ref="J4:J19" si="3">G4+H4+I4</f>
        <v>2360</v>
      </c>
      <c r="K4" s="29"/>
      <c r="L4" s="156"/>
      <c r="M4" s="158"/>
      <c r="N4" s="160"/>
      <c r="O4" s="160"/>
    </row>
    <row r="5" spans="1:16" x14ac:dyDescent="0.25">
      <c r="A5" s="32" t="s">
        <v>70</v>
      </c>
      <c r="B5" s="30">
        <v>236.28</v>
      </c>
      <c r="C5" s="30">
        <v>241.74</v>
      </c>
      <c r="D5" s="29">
        <f t="shared" si="1"/>
        <v>5460.0000000000082</v>
      </c>
      <c r="E5" s="64">
        <f>ROUND(D5*D23,0)</f>
        <v>879</v>
      </c>
      <c r="F5" s="29">
        <v>1200</v>
      </c>
      <c r="G5" s="29">
        <f t="shared" si="2"/>
        <v>2079</v>
      </c>
      <c r="H5" s="29">
        <v>50</v>
      </c>
      <c r="I5" s="29">
        <v>0</v>
      </c>
      <c r="J5" s="29">
        <f t="shared" si="3"/>
        <v>2129</v>
      </c>
      <c r="K5" s="29"/>
      <c r="L5" s="29"/>
      <c r="M5" s="158"/>
      <c r="N5" s="114"/>
      <c r="O5" s="114"/>
    </row>
    <row r="6" spans="1:16" x14ac:dyDescent="0.25">
      <c r="A6" s="32" t="s">
        <v>16</v>
      </c>
      <c r="B6" s="30">
        <v>469.83</v>
      </c>
      <c r="C6" s="30">
        <v>478.91</v>
      </c>
      <c r="D6" s="29">
        <f t="shared" si="1"/>
        <v>9080.00000000004</v>
      </c>
      <c r="E6" s="64">
        <f>ROUND(D6*D23,0)</f>
        <v>1462</v>
      </c>
      <c r="F6" s="29">
        <v>1200</v>
      </c>
      <c r="G6" s="29">
        <f t="shared" si="2"/>
        <v>2662</v>
      </c>
      <c r="H6" s="29">
        <v>50</v>
      </c>
      <c r="I6" s="29">
        <v>0</v>
      </c>
      <c r="J6" s="29">
        <f t="shared" si="3"/>
        <v>2712</v>
      </c>
      <c r="K6" s="29"/>
      <c r="L6" s="29"/>
      <c r="M6" s="158"/>
      <c r="N6" s="114"/>
      <c r="O6" s="114"/>
    </row>
    <row r="7" spans="1:16" x14ac:dyDescent="0.25">
      <c r="A7" s="32" t="s">
        <v>13</v>
      </c>
      <c r="B7" s="30">
        <v>388.37</v>
      </c>
      <c r="C7" s="30">
        <v>393.71</v>
      </c>
      <c r="D7" s="29">
        <f t="shared" si="1"/>
        <v>5339.9999999999745</v>
      </c>
      <c r="E7" s="64">
        <f>ROUND(D7*D23,0)</f>
        <v>860</v>
      </c>
      <c r="F7" s="29">
        <v>1200</v>
      </c>
      <c r="G7" s="29">
        <f t="shared" si="2"/>
        <v>2060</v>
      </c>
      <c r="H7" s="29">
        <v>50</v>
      </c>
      <c r="I7" s="29">
        <v>0</v>
      </c>
      <c r="J7" s="29">
        <f t="shared" si="3"/>
        <v>2110</v>
      </c>
      <c r="K7" s="29"/>
      <c r="L7" s="29"/>
      <c r="M7" s="158"/>
      <c r="N7" s="114"/>
      <c r="O7" s="114"/>
    </row>
    <row r="8" spans="1:16" x14ac:dyDescent="0.25">
      <c r="A8" s="32">
        <v>101</v>
      </c>
      <c r="B8" s="30">
        <v>96.14</v>
      </c>
      <c r="C8" s="30">
        <v>98.77</v>
      </c>
      <c r="D8" s="29">
        <f t="shared" si="1"/>
        <v>2629.9999999999955</v>
      </c>
      <c r="E8" s="64">
        <f>ROUND(D8*D23,0)</f>
        <v>424</v>
      </c>
      <c r="F8" s="29">
        <v>1200</v>
      </c>
      <c r="G8" s="29">
        <f t="shared" si="2"/>
        <v>1624</v>
      </c>
      <c r="H8" s="29">
        <v>50</v>
      </c>
      <c r="I8" s="29">
        <v>0</v>
      </c>
      <c r="J8" s="29">
        <f t="shared" si="3"/>
        <v>1674</v>
      </c>
      <c r="K8" s="29"/>
      <c r="L8" s="29"/>
      <c r="M8" s="158"/>
      <c r="N8" s="153" t="s">
        <v>653</v>
      </c>
      <c r="O8" s="153"/>
    </row>
    <row r="9" spans="1:16" x14ac:dyDescent="0.25">
      <c r="A9" s="32">
        <v>102</v>
      </c>
      <c r="B9" s="30">
        <v>639.65</v>
      </c>
      <c r="C9" s="30">
        <v>641.48</v>
      </c>
      <c r="D9" s="29">
        <f t="shared" si="1"/>
        <v>1830.0000000000409</v>
      </c>
      <c r="E9" s="64">
        <f>ROUND(D9*D23,0)</f>
        <v>295</v>
      </c>
      <c r="F9" s="29">
        <v>1200</v>
      </c>
      <c r="G9" s="29">
        <f t="shared" si="2"/>
        <v>1495</v>
      </c>
      <c r="H9" s="29">
        <v>50</v>
      </c>
      <c r="I9" s="29">
        <v>0</v>
      </c>
      <c r="J9" s="29">
        <f t="shared" si="3"/>
        <v>1545</v>
      </c>
      <c r="K9" s="29"/>
      <c r="L9" s="29"/>
      <c r="M9" s="158"/>
      <c r="N9" s="114" t="s">
        <v>314</v>
      </c>
      <c r="O9" s="213">
        <v>6500</v>
      </c>
    </row>
    <row r="10" spans="1:16" x14ac:dyDescent="0.25">
      <c r="A10" s="32">
        <v>103</v>
      </c>
      <c r="B10" s="29">
        <v>274.47000000000003</v>
      </c>
      <c r="C10" s="29">
        <v>282.74</v>
      </c>
      <c r="D10" s="29">
        <f t="shared" si="1"/>
        <v>8269.9999999999818</v>
      </c>
      <c r="E10" s="64">
        <f>ROUND(D10*D23,0)</f>
        <v>1332</v>
      </c>
      <c r="F10" s="29">
        <v>1200</v>
      </c>
      <c r="G10" s="29">
        <f t="shared" si="2"/>
        <v>2532</v>
      </c>
      <c r="H10" s="29">
        <v>50</v>
      </c>
      <c r="I10" s="29">
        <v>0</v>
      </c>
      <c r="J10" s="29">
        <f t="shared" si="3"/>
        <v>2582</v>
      </c>
      <c r="K10" s="29"/>
      <c r="L10" s="29"/>
      <c r="M10" s="158"/>
      <c r="N10" s="160" t="s">
        <v>520</v>
      </c>
      <c r="O10" s="213">
        <v>2044</v>
      </c>
    </row>
    <row r="11" spans="1:16" x14ac:dyDescent="0.25">
      <c r="A11" s="32">
        <v>104</v>
      </c>
      <c r="B11" s="30">
        <v>125.86</v>
      </c>
      <c r="C11" s="30">
        <v>147.13</v>
      </c>
      <c r="D11" s="29">
        <f t="shared" si="1"/>
        <v>21269.999999999996</v>
      </c>
      <c r="E11" s="64">
        <f>ROUND(D11*D23,0)</f>
        <v>3425</v>
      </c>
      <c r="F11" s="29">
        <v>1200</v>
      </c>
      <c r="G11" s="29">
        <f t="shared" si="2"/>
        <v>4625</v>
      </c>
      <c r="H11" s="29">
        <v>50</v>
      </c>
      <c r="I11" s="29">
        <v>0</v>
      </c>
      <c r="J11" s="29">
        <f t="shared" si="3"/>
        <v>4675</v>
      </c>
      <c r="K11" s="29"/>
      <c r="L11" s="29"/>
      <c r="M11" s="158"/>
      <c r="N11" s="160" t="s">
        <v>500</v>
      </c>
      <c r="O11" s="213">
        <v>2924</v>
      </c>
    </row>
    <row r="12" spans="1:16" x14ac:dyDescent="0.25">
      <c r="A12" s="32">
        <v>201</v>
      </c>
      <c r="B12" s="30">
        <v>158.11000000000001</v>
      </c>
      <c r="C12" s="30">
        <v>161.66</v>
      </c>
      <c r="D12" s="29">
        <f t="shared" si="1"/>
        <v>3549.9999999999827</v>
      </c>
      <c r="E12" s="64">
        <f>ROUND(D12*D23,0)</f>
        <v>572</v>
      </c>
      <c r="F12" s="29">
        <v>1200</v>
      </c>
      <c r="G12" s="29">
        <f t="shared" si="2"/>
        <v>1772</v>
      </c>
      <c r="H12" s="29">
        <v>50</v>
      </c>
      <c r="I12" s="29">
        <v>0</v>
      </c>
      <c r="J12" s="29">
        <f t="shared" si="3"/>
        <v>1822</v>
      </c>
      <c r="K12" s="29"/>
      <c r="L12" s="29"/>
      <c r="M12" s="158"/>
      <c r="N12" s="160" t="s">
        <v>234</v>
      </c>
      <c r="O12" s="213">
        <v>13000</v>
      </c>
    </row>
    <row r="13" spans="1:16" x14ac:dyDescent="0.25">
      <c r="A13" s="32">
        <v>202</v>
      </c>
      <c r="B13" s="30">
        <v>324.52</v>
      </c>
      <c r="C13" s="30">
        <v>331.25</v>
      </c>
      <c r="D13" s="29">
        <f t="shared" si="1"/>
        <v>6730.0000000000182</v>
      </c>
      <c r="E13" s="64">
        <f>ROUND(D13*D23,0)</f>
        <v>1084</v>
      </c>
      <c r="F13" s="29">
        <v>1200</v>
      </c>
      <c r="G13" s="29">
        <f t="shared" si="2"/>
        <v>2284</v>
      </c>
      <c r="H13" s="29">
        <v>50</v>
      </c>
      <c r="I13" s="29">
        <v>0</v>
      </c>
      <c r="J13" s="29">
        <f t="shared" si="3"/>
        <v>2334</v>
      </c>
      <c r="K13" s="29"/>
      <c r="L13" s="29"/>
      <c r="M13" s="158"/>
      <c r="N13" s="114" t="s">
        <v>514</v>
      </c>
      <c r="O13" s="114">
        <v>800</v>
      </c>
    </row>
    <row r="14" spans="1:16" x14ac:dyDescent="0.25">
      <c r="A14" s="32">
        <v>203</v>
      </c>
      <c r="B14" s="30">
        <v>72.36</v>
      </c>
      <c r="C14" s="30">
        <v>79.63</v>
      </c>
      <c r="D14" s="29">
        <f t="shared" si="1"/>
        <v>7269.9999999999964</v>
      </c>
      <c r="E14" s="64">
        <f>ROUND(D14*D23,0)</f>
        <v>1171</v>
      </c>
      <c r="F14" s="29">
        <v>1200</v>
      </c>
      <c r="G14" s="29">
        <f t="shared" si="2"/>
        <v>2371</v>
      </c>
      <c r="H14" s="29">
        <v>50</v>
      </c>
      <c r="I14" s="29">
        <v>0</v>
      </c>
      <c r="J14" s="29">
        <f t="shared" si="3"/>
        <v>2421</v>
      </c>
      <c r="K14" s="29"/>
      <c r="L14" s="29"/>
      <c r="M14" s="158"/>
      <c r="N14" t="s">
        <v>654</v>
      </c>
      <c r="O14">
        <v>850</v>
      </c>
      <c r="P14">
        <v>200</v>
      </c>
    </row>
    <row r="15" spans="1:16" x14ac:dyDescent="0.25">
      <c r="A15" s="32">
        <v>204</v>
      </c>
      <c r="B15" s="30">
        <v>318.87</v>
      </c>
      <c r="C15" s="30">
        <v>324.25</v>
      </c>
      <c r="D15" s="29">
        <f t="shared" si="1"/>
        <v>5379.9999999999955</v>
      </c>
      <c r="E15" s="64">
        <f>ROUND(D15*D23,0)</f>
        <v>866</v>
      </c>
      <c r="F15" s="29">
        <v>1200</v>
      </c>
      <c r="G15" s="29">
        <f t="shared" si="2"/>
        <v>2066</v>
      </c>
      <c r="H15" s="29">
        <v>50</v>
      </c>
      <c r="I15" s="29">
        <v>0</v>
      </c>
      <c r="J15" s="29">
        <f t="shared" si="3"/>
        <v>2116</v>
      </c>
      <c r="K15" s="29"/>
      <c r="L15" s="29"/>
      <c r="M15" s="158"/>
      <c r="N15" s="114" t="s">
        <v>655</v>
      </c>
      <c r="O15" s="114">
        <v>550</v>
      </c>
    </row>
    <row r="16" spans="1:16" x14ac:dyDescent="0.25">
      <c r="A16" s="32">
        <v>301</v>
      </c>
      <c r="B16" s="30">
        <v>106.08</v>
      </c>
      <c r="C16" s="30">
        <v>112.6</v>
      </c>
      <c r="D16" s="29">
        <f t="shared" si="1"/>
        <v>6519.9999999999964</v>
      </c>
      <c r="E16" s="64">
        <f>ROUND(D16*D23,0)</f>
        <v>1050</v>
      </c>
      <c r="F16" s="29">
        <v>1200</v>
      </c>
      <c r="G16" s="29">
        <f t="shared" si="2"/>
        <v>2250</v>
      </c>
      <c r="H16" s="29">
        <v>50</v>
      </c>
      <c r="I16" s="29">
        <v>0</v>
      </c>
      <c r="J16" s="29">
        <f t="shared" si="3"/>
        <v>2300</v>
      </c>
      <c r="K16" s="29"/>
      <c r="L16" s="29"/>
      <c r="M16" s="158"/>
      <c r="N16" s="160" t="s">
        <v>196</v>
      </c>
      <c r="O16" s="114">
        <v>450</v>
      </c>
    </row>
    <row r="17" spans="1:15" x14ac:dyDescent="0.25">
      <c r="A17" s="32">
        <v>302</v>
      </c>
      <c r="B17" s="30">
        <v>224.91</v>
      </c>
      <c r="C17" s="30">
        <v>234.46</v>
      </c>
      <c r="D17" s="29">
        <f t="shared" si="1"/>
        <v>9550.0000000000109</v>
      </c>
      <c r="E17" s="64">
        <f>ROUND(D17*D23,0)</f>
        <v>1538</v>
      </c>
      <c r="F17" s="29">
        <v>1200</v>
      </c>
      <c r="G17" s="29">
        <f t="shared" si="2"/>
        <v>2738</v>
      </c>
      <c r="H17" s="29">
        <v>50</v>
      </c>
      <c r="I17" s="29">
        <v>0</v>
      </c>
      <c r="J17" s="29">
        <f t="shared" si="3"/>
        <v>2788</v>
      </c>
      <c r="K17" s="29"/>
      <c r="L17" s="119"/>
      <c r="M17" s="158"/>
      <c r="N17" s="114" t="s">
        <v>656</v>
      </c>
      <c r="O17" s="114">
        <v>750</v>
      </c>
    </row>
    <row r="18" spans="1:15" x14ac:dyDescent="0.25">
      <c r="A18" s="32">
        <v>303</v>
      </c>
      <c r="B18" s="29">
        <v>52.26</v>
      </c>
      <c r="C18" s="29">
        <v>68.290000000000006</v>
      </c>
      <c r="D18" s="29">
        <f t="shared" si="1"/>
        <v>16030.000000000009</v>
      </c>
      <c r="E18" s="64">
        <f>ROUND(D18*D23,0)</f>
        <v>2581</v>
      </c>
      <c r="F18" s="29">
        <v>1200</v>
      </c>
      <c r="G18" s="29">
        <f t="shared" si="2"/>
        <v>3781</v>
      </c>
      <c r="H18" s="29">
        <v>50</v>
      </c>
      <c r="I18" s="29">
        <v>0</v>
      </c>
      <c r="J18" s="29">
        <f t="shared" si="3"/>
        <v>3831</v>
      </c>
      <c r="K18" s="29"/>
      <c r="L18" s="29"/>
      <c r="M18" s="158"/>
      <c r="N18" s="160" t="s">
        <v>658</v>
      </c>
      <c r="O18" s="114">
        <v>9103</v>
      </c>
    </row>
    <row r="19" spans="1:15" x14ac:dyDescent="0.25">
      <c r="A19" s="32">
        <v>304</v>
      </c>
      <c r="B19" s="30">
        <v>393.18</v>
      </c>
      <c r="C19" s="30">
        <v>406.55</v>
      </c>
      <c r="D19" s="29">
        <f t="shared" si="1"/>
        <v>13370.000000000004</v>
      </c>
      <c r="E19" s="64">
        <f>ROUND(D19*D23,0)</f>
        <v>2153</v>
      </c>
      <c r="F19" s="29">
        <v>1200</v>
      </c>
      <c r="G19" s="29">
        <f t="shared" si="2"/>
        <v>3353</v>
      </c>
      <c r="H19" s="29">
        <v>50</v>
      </c>
      <c r="I19" s="29">
        <v>0</v>
      </c>
      <c r="J19" s="29">
        <f t="shared" si="3"/>
        <v>3403</v>
      </c>
      <c r="K19" s="29"/>
      <c r="L19" s="29"/>
      <c r="M19" s="158"/>
      <c r="N19" s="114"/>
      <c r="O19" s="214"/>
    </row>
    <row r="20" spans="1:15" x14ac:dyDescent="0.25">
      <c r="A20" s="29" t="s">
        <v>287</v>
      </c>
      <c r="B20" s="30">
        <v>405.79</v>
      </c>
      <c r="C20" s="30">
        <v>418.2</v>
      </c>
      <c r="D20" s="29">
        <f t="shared" si="1"/>
        <v>12409.999999999967</v>
      </c>
      <c r="E20" s="64">
        <f>ROUND(D20*D23,0)</f>
        <v>1999</v>
      </c>
      <c r="F20" s="29">
        <v>0</v>
      </c>
      <c r="G20" s="29"/>
      <c r="H20" s="29">
        <v>0</v>
      </c>
      <c r="I20" s="29"/>
      <c r="J20" s="29"/>
      <c r="K20" s="29"/>
      <c r="L20" s="29"/>
      <c r="M20" s="51"/>
      <c r="N20" s="114"/>
      <c r="O20" s="114"/>
    </row>
    <row r="21" spans="1:15" x14ac:dyDescent="0.25">
      <c r="A21" s="29"/>
      <c r="B21" s="29"/>
      <c r="C21" s="29"/>
      <c r="D21" s="29"/>
      <c r="E21" s="29"/>
      <c r="F21" s="49"/>
      <c r="G21" s="49"/>
      <c r="H21" s="49">
        <f>SUM(H2:H20)</f>
        <v>800</v>
      </c>
      <c r="I21" s="49"/>
      <c r="J21" s="49">
        <f>SUM(J2:J20)</f>
        <v>41402</v>
      </c>
      <c r="K21" s="49">
        <f>SUM(K2:K19)</f>
        <v>0</v>
      </c>
      <c r="L21" s="49"/>
      <c r="M21" s="29"/>
      <c r="N21" s="114"/>
      <c r="O21" s="121">
        <f>SUM(O9:O20)</f>
        <v>36971</v>
      </c>
    </row>
    <row r="22" spans="1:15" x14ac:dyDescent="0.25">
      <c r="A22" s="29"/>
      <c r="B22" s="29" t="s">
        <v>75</v>
      </c>
      <c r="C22" s="29"/>
      <c r="D22" s="30">
        <f>SUM(D4:D20)</f>
        <v>141580.00000000003</v>
      </c>
      <c r="E22" s="202">
        <f>SUM(E4:E20)</f>
        <v>22801</v>
      </c>
      <c r="F22" s="29"/>
      <c r="G22" s="29"/>
      <c r="H22" s="29"/>
      <c r="I22" s="29"/>
      <c r="J22" s="29"/>
      <c r="K22" s="29"/>
      <c r="L22" s="29"/>
      <c r="M22" s="29"/>
      <c r="N22" s="152"/>
      <c r="O22" s="152"/>
    </row>
    <row r="23" spans="1:15" ht="30" x14ac:dyDescent="0.25">
      <c r="A23" s="29"/>
      <c r="B23" s="29" t="s">
        <v>243</v>
      </c>
      <c r="C23" s="119" t="s">
        <v>641</v>
      </c>
      <c r="D23" s="111">
        <f>B24/D22</f>
        <v>0.16103969487215705</v>
      </c>
      <c r="E23" s="29"/>
      <c r="F23" s="29"/>
      <c r="G23" s="29" t="s">
        <v>205</v>
      </c>
      <c r="H23" s="29">
        <f>O1+J21-O21</f>
        <v>50574</v>
      </c>
      <c r="I23" s="29"/>
      <c r="J23" s="29"/>
      <c r="K23" s="29"/>
      <c r="L23" s="29"/>
      <c r="M23" s="29"/>
      <c r="N23" s="114"/>
      <c r="O23" s="114"/>
    </row>
    <row r="24" spans="1:15" ht="30" x14ac:dyDescent="0.25">
      <c r="A24" s="119" t="s">
        <v>85</v>
      </c>
      <c r="B24" s="30">
        <f>19*1200</f>
        <v>22800</v>
      </c>
      <c r="C24" s="119" t="s">
        <v>652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16CA-C39D-4039-B7D9-1C8F833BA141}">
  <dimension ref="A1:O24"/>
  <sheetViews>
    <sheetView zoomScale="85" zoomScaleNormal="85" workbookViewId="0">
      <selection activeCell="J21" sqref="J21"/>
    </sheetView>
  </sheetViews>
  <sheetFormatPr defaultRowHeight="15" x14ac:dyDescent="0.25"/>
  <cols>
    <col min="1" max="1" width="12.140625" bestFit="1" customWidth="1"/>
    <col min="2" max="2" width="21.28515625" bestFit="1" customWidth="1"/>
    <col min="3" max="3" width="20.28515625" bestFit="1" customWidth="1"/>
    <col min="4" max="4" width="10" bestFit="1" customWidth="1"/>
    <col min="5" max="5" width="9" bestFit="1" customWidth="1"/>
    <col min="6" max="6" width="20.140625" bestFit="1" customWidth="1"/>
    <col min="7" max="7" width="16.85546875" bestFit="1" customWidth="1"/>
    <col min="8" max="8" width="15.42578125" bestFit="1" customWidth="1"/>
    <col min="9" max="9" width="15.7109375" bestFit="1" customWidth="1"/>
    <col min="10" max="10" width="6.7109375" bestFit="1" customWidth="1"/>
    <col min="13" max="13" width="14.28515625" hidden="1" customWidth="1"/>
    <col min="14" max="14" width="24.7109375" bestFit="1" customWidth="1"/>
  </cols>
  <sheetData>
    <row r="1" spans="1:15" x14ac:dyDescent="0.25">
      <c r="A1" s="49" t="s">
        <v>642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146"/>
      <c r="M1" s="146" t="s">
        <v>128</v>
      </c>
      <c r="N1" s="154" t="s">
        <v>659</v>
      </c>
      <c r="O1" s="215">
        <v>50575</v>
      </c>
    </row>
    <row r="2" spans="1:15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 t="shared" ref="J2:J3" si="0">G2+H2</f>
        <v>300</v>
      </c>
      <c r="K2" s="29"/>
      <c r="L2" s="29"/>
      <c r="M2" s="158"/>
      <c r="N2" s="148"/>
      <c r="O2" s="149"/>
    </row>
    <row r="3" spans="1:15" x14ac:dyDescent="0.25">
      <c r="A3" s="72" t="s">
        <v>132</v>
      </c>
      <c r="B3" s="30" t="s">
        <v>131</v>
      </c>
      <c r="C3" s="30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si="0"/>
        <v>300</v>
      </c>
      <c r="K3" s="29"/>
      <c r="L3" s="29"/>
      <c r="M3" s="158"/>
      <c r="N3" s="148"/>
      <c r="O3" s="148"/>
    </row>
    <row r="4" spans="1:15" x14ac:dyDescent="0.25">
      <c r="A4" s="32" t="s">
        <v>68</v>
      </c>
      <c r="B4" s="30">
        <v>158.38</v>
      </c>
      <c r="C4" s="30">
        <v>168</v>
      </c>
      <c r="D4" s="29">
        <f t="shared" ref="D4:D20" si="1">(C4-B4)*1000</f>
        <v>9620.0000000000036</v>
      </c>
      <c r="E4" s="64">
        <f>ROUND(D4*D23,0)</f>
        <v>1451</v>
      </c>
      <c r="F4" s="29">
        <v>1200</v>
      </c>
      <c r="G4" s="29">
        <f t="shared" ref="G4:G19" si="2">SUM(E4,F4)</f>
        <v>2651</v>
      </c>
      <c r="H4" s="29">
        <v>50</v>
      </c>
      <c r="I4" s="29">
        <v>0</v>
      </c>
      <c r="J4" s="29">
        <f t="shared" ref="J4:J19" si="3">G4+H4+I4</f>
        <v>2701</v>
      </c>
      <c r="K4" s="29"/>
      <c r="L4" s="156"/>
      <c r="M4" s="158"/>
      <c r="N4" s="160"/>
      <c r="O4" s="160"/>
    </row>
    <row r="5" spans="1:15" x14ac:dyDescent="0.25">
      <c r="A5" s="32" t="s">
        <v>70</v>
      </c>
      <c r="B5" s="30">
        <v>241.74</v>
      </c>
      <c r="C5" s="30">
        <v>248.67</v>
      </c>
      <c r="D5" s="29">
        <f t="shared" si="1"/>
        <v>6929.9999999999782</v>
      </c>
      <c r="E5" s="64">
        <f>ROUND(D5*D23,0)</f>
        <v>1045</v>
      </c>
      <c r="F5" s="29">
        <v>1200</v>
      </c>
      <c r="G5" s="29">
        <f t="shared" si="2"/>
        <v>2245</v>
      </c>
      <c r="H5" s="29">
        <v>50</v>
      </c>
      <c r="I5" s="29">
        <v>0</v>
      </c>
      <c r="J5" s="29">
        <f t="shared" si="3"/>
        <v>2295</v>
      </c>
      <c r="K5" s="29"/>
      <c r="L5" s="29"/>
      <c r="M5" s="158"/>
      <c r="N5" s="114"/>
      <c r="O5" s="114"/>
    </row>
    <row r="6" spans="1:15" x14ac:dyDescent="0.25">
      <c r="A6" s="32" t="s">
        <v>16</v>
      </c>
      <c r="B6" s="30">
        <v>478.91</v>
      </c>
      <c r="C6" s="30">
        <v>482.25</v>
      </c>
      <c r="D6" s="29">
        <f t="shared" si="1"/>
        <v>3339.999999999975</v>
      </c>
      <c r="E6" s="64">
        <f>ROUND(D6*D23,0)</f>
        <v>504</v>
      </c>
      <c r="F6" s="29">
        <v>1200</v>
      </c>
      <c r="G6" s="29">
        <f t="shared" si="2"/>
        <v>1704</v>
      </c>
      <c r="H6" s="29">
        <v>50</v>
      </c>
      <c r="I6" s="29">
        <v>0</v>
      </c>
      <c r="J6" s="29">
        <f t="shared" si="3"/>
        <v>1754</v>
      </c>
      <c r="K6" s="29"/>
      <c r="L6" s="29"/>
      <c r="M6" s="158"/>
      <c r="N6" s="114"/>
      <c r="O6" s="114"/>
    </row>
    <row r="7" spans="1:15" x14ac:dyDescent="0.25">
      <c r="A7" s="32" t="s">
        <v>13</v>
      </c>
      <c r="B7" s="30">
        <v>393.71</v>
      </c>
      <c r="C7" s="30">
        <v>398.86</v>
      </c>
      <c r="D7" s="29">
        <f t="shared" si="1"/>
        <v>5150.0000000000346</v>
      </c>
      <c r="E7" s="64">
        <f>ROUND(D7*D23,0)</f>
        <v>777</v>
      </c>
      <c r="F7" s="29">
        <v>1200</v>
      </c>
      <c r="G7" s="29">
        <f t="shared" si="2"/>
        <v>1977</v>
      </c>
      <c r="H7" s="29">
        <v>50</v>
      </c>
      <c r="I7" s="29">
        <v>0</v>
      </c>
      <c r="J7" s="29">
        <f t="shared" si="3"/>
        <v>2027</v>
      </c>
      <c r="K7" s="29"/>
      <c r="L7" s="29"/>
      <c r="M7" s="158"/>
      <c r="N7" s="114"/>
      <c r="O7" s="114"/>
    </row>
    <row r="8" spans="1:15" x14ac:dyDescent="0.25">
      <c r="A8" s="32">
        <v>101</v>
      </c>
      <c r="B8" s="30">
        <v>98.77</v>
      </c>
      <c r="C8" s="30">
        <v>100.28</v>
      </c>
      <c r="D8" s="29">
        <f t="shared" si="1"/>
        <v>1510.000000000005</v>
      </c>
      <c r="E8" s="64">
        <f>ROUND(D8*D23,0)</f>
        <v>228</v>
      </c>
      <c r="F8" s="29">
        <v>1200</v>
      </c>
      <c r="G8" s="29">
        <f t="shared" si="2"/>
        <v>1428</v>
      </c>
      <c r="H8" s="29">
        <v>50</v>
      </c>
      <c r="I8" s="29">
        <v>0</v>
      </c>
      <c r="J8" s="29">
        <f t="shared" si="3"/>
        <v>1478</v>
      </c>
      <c r="K8" s="29"/>
      <c r="L8" s="29"/>
      <c r="M8" s="158"/>
      <c r="N8" s="153" t="s">
        <v>660</v>
      </c>
      <c r="O8" s="153"/>
    </row>
    <row r="9" spans="1:15" x14ac:dyDescent="0.25">
      <c r="A9" s="32">
        <v>102</v>
      </c>
      <c r="B9" s="30">
        <v>641.48</v>
      </c>
      <c r="C9" s="30">
        <v>641.84</v>
      </c>
      <c r="D9" s="29">
        <f t="shared" si="1"/>
        <v>360.00000000001364</v>
      </c>
      <c r="E9" s="64">
        <f>ROUND(D9*D23,0)</f>
        <v>54</v>
      </c>
      <c r="F9" s="29">
        <v>1200</v>
      </c>
      <c r="G9" s="29">
        <f t="shared" si="2"/>
        <v>1254</v>
      </c>
      <c r="H9" s="29">
        <v>50</v>
      </c>
      <c r="I9" s="29">
        <v>0</v>
      </c>
      <c r="J9" s="29">
        <f t="shared" si="3"/>
        <v>1304</v>
      </c>
      <c r="K9" s="29"/>
      <c r="L9" s="29"/>
      <c r="M9" s="158"/>
      <c r="N9" s="114" t="s">
        <v>314</v>
      </c>
      <c r="O9" s="213">
        <v>6500</v>
      </c>
    </row>
    <row r="10" spans="1:15" x14ac:dyDescent="0.25">
      <c r="A10" s="32">
        <v>103</v>
      </c>
      <c r="B10" s="29">
        <v>282.74</v>
      </c>
      <c r="C10" s="29">
        <v>290.74</v>
      </c>
      <c r="D10" s="29">
        <f t="shared" si="1"/>
        <v>8000</v>
      </c>
      <c r="E10" s="64">
        <f>ROUND(D10*D23,0)</f>
        <v>1207</v>
      </c>
      <c r="F10" s="29">
        <v>1200</v>
      </c>
      <c r="G10" s="29">
        <f t="shared" si="2"/>
        <v>2407</v>
      </c>
      <c r="H10" s="29">
        <v>50</v>
      </c>
      <c r="I10" s="29">
        <v>0</v>
      </c>
      <c r="J10" s="29">
        <f t="shared" si="3"/>
        <v>2457</v>
      </c>
      <c r="K10" s="29"/>
      <c r="L10" s="29"/>
      <c r="M10" s="158"/>
      <c r="N10" s="160" t="s">
        <v>520</v>
      </c>
      <c r="O10" s="213">
        <v>2044</v>
      </c>
    </row>
    <row r="11" spans="1:15" x14ac:dyDescent="0.25">
      <c r="A11" s="32">
        <v>104</v>
      </c>
      <c r="B11" s="30">
        <v>147.13</v>
      </c>
      <c r="C11" s="30">
        <v>157.71</v>
      </c>
      <c r="D11" s="29">
        <f t="shared" si="1"/>
        <v>10580.000000000013</v>
      </c>
      <c r="E11" s="64">
        <f>ROUND(D11*D23,0)</f>
        <v>1596</v>
      </c>
      <c r="F11" s="29">
        <v>1200</v>
      </c>
      <c r="G11" s="29">
        <f t="shared" si="2"/>
        <v>2796</v>
      </c>
      <c r="H11" s="29">
        <v>50</v>
      </c>
      <c r="I11" s="29">
        <v>0</v>
      </c>
      <c r="J11" s="29">
        <f t="shared" si="3"/>
        <v>2846</v>
      </c>
      <c r="K11" s="29"/>
      <c r="L11" s="29"/>
      <c r="M11" s="158"/>
      <c r="N11" s="160" t="s">
        <v>500</v>
      </c>
      <c r="O11" s="213">
        <v>3320</v>
      </c>
    </row>
    <row r="12" spans="1:15" x14ac:dyDescent="0.25">
      <c r="A12" s="32">
        <v>201</v>
      </c>
      <c r="B12" s="30">
        <v>161.66</v>
      </c>
      <c r="C12" s="30">
        <v>165.47</v>
      </c>
      <c r="D12" s="29">
        <f t="shared" si="1"/>
        <v>3810.0000000000023</v>
      </c>
      <c r="E12" s="64">
        <f>ROUND(D12*D23,0)</f>
        <v>575</v>
      </c>
      <c r="F12" s="29">
        <v>1200</v>
      </c>
      <c r="G12" s="29">
        <f t="shared" si="2"/>
        <v>1775</v>
      </c>
      <c r="H12" s="29">
        <v>50</v>
      </c>
      <c r="I12" s="29">
        <v>0</v>
      </c>
      <c r="J12" s="29">
        <f t="shared" si="3"/>
        <v>1825</v>
      </c>
      <c r="K12" s="29"/>
      <c r="L12" s="29"/>
      <c r="M12" s="158"/>
      <c r="N12" s="160" t="s">
        <v>234</v>
      </c>
      <c r="O12" s="213">
        <v>22800</v>
      </c>
    </row>
    <row r="13" spans="1:15" x14ac:dyDescent="0.25">
      <c r="A13" s="32">
        <v>202</v>
      </c>
      <c r="B13" s="30">
        <v>331.25</v>
      </c>
      <c r="C13" s="30">
        <v>340.83</v>
      </c>
      <c r="D13" s="29">
        <f t="shared" si="1"/>
        <v>9579.9999999999836</v>
      </c>
      <c r="E13" s="64">
        <f>ROUND(D13*D23,0)</f>
        <v>1445</v>
      </c>
      <c r="F13" s="29">
        <v>1200</v>
      </c>
      <c r="G13" s="29">
        <f t="shared" si="2"/>
        <v>2645</v>
      </c>
      <c r="H13" s="29">
        <v>50</v>
      </c>
      <c r="I13" s="29">
        <v>0</v>
      </c>
      <c r="J13" s="29">
        <f t="shared" si="3"/>
        <v>2695</v>
      </c>
      <c r="K13" s="29"/>
      <c r="L13" s="29"/>
      <c r="M13" s="158"/>
      <c r="N13" s="114" t="s">
        <v>514</v>
      </c>
      <c r="O13" s="213">
        <v>800</v>
      </c>
    </row>
    <row r="14" spans="1:15" x14ac:dyDescent="0.25">
      <c r="A14" s="32">
        <v>203</v>
      </c>
      <c r="B14" s="30">
        <v>79.63</v>
      </c>
      <c r="C14" s="30">
        <v>89.44</v>
      </c>
      <c r="D14" s="29">
        <f t="shared" si="1"/>
        <v>9810.0000000000018</v>
      </c>
      <c r="E14" s="64">
        <f>ROUND(D14*D23,0)</f>
        <v>1480</v>
      </c>
      <c r="F14" s="29">
        <v>1200</v>
      </c>
      <c r="G14" s="29">
        <f t="shared" si="2"/>
        <v>2680</v>
      </c>
      <c r="H14" s="29">
        <v>50</v>
      </c>
      <c r="I14" s="29">
        <v>0</v>
      </c>
      <c r="J14" s="29">
        <f t="shared" si="3"/>
        <v>2730</v>
      </c>
      <c r="K14" s="29"/>
      <c r="L14" s="29"/>
      <c r="M14" s="158"/>
      <c r="N14" s="216" t="s">
        <v>476</v>
      </c>
      <c r="O14">
        <v>400</v>
      </c>
    </row>
    <row r="15" spans="1:15" x14ac:dyDescent="0.25">
      <c r="A15" s="32">
        <v>204</v>
      </c>
      <c r="B15" s="30">
        <v>324.25</v>
      </c>
      <c r="C15" s="30">
        <v>330.18</v>
      </c>
      <c r="D15" s="29">
        <f t="shared" si="1"/>
        <v>5930.0000000000073</v>
      </c>
      <c r="E15" s="64">
        <f>ROUND(D15*D23,0)</f>
        <v>894</v>
      </c>
      <c r="F15" s="29">
        <v>1200</v>
      </c>
      <c r="G15" s="29">
        <f t="shared" si="2"/>
        <v>2094</v>
      </c>
      <c r="H15" s="29">
        <v>50</v>
      </c>
      <c r="I15" s="29">
        <v>0</v>
      </c>
      <c r="J15" s="29">
        <f t="shared" si="3"/>
        <v>2144</v>
      </c>
      <c r="K15" s="29"/>
      <c r="L15" s="29"/>
      <c r="M15" s="158"/>
      <c r="N15" s="114" t="s">
        <v>227</v>
      </c>
      <c r="O15" s="114">
        <v>240</v>
      </c>
    </row>
    <row r="16" spans="1:15" x14ac:dyDescent="0.25">
      <c r="A16" s="32">
        <v>301</v>
      </c>
      <c r="B16" s="30">
        <v>112.6</v>
      </c>
      <c r="C16" s="30">
        <v>119.26</v>
      </c>
      <c r="D16" s="29">
        <f t="shared" si="1"/>
        <v>6660.0000000000109</v>
      </c>
      <c r="E16" s="64">
        <f>ROUND(D16*D23,0)</f>
        <v>1004</v>
      </c>
      <c r="F16" s="29">
        <v>1200</v>
      </c>
      <c r="G16" s="29">
        <f t="shared" si="2"/>
        <v>2204</v>
      </c>
      <c r="H16" s="29">
        <v>50</v>
      </c>
      <c r="I16" s="29">
        <v>0</v>
      </c>
      <c r="J16" s="29">
        <f t="shared" si="3"/>
        <v>2254</v>
      </c>
      <c r="K16" s="29"/>
      <c r="L16" s="29"/>
      <c r="M16" s="158"/>
      <c r="N16" s="160" t="s">
        <v>661</v>
      </c>
      <c r="O16" s="114">
        <v>6500</v>
      </c>
    </row>
    <row r="17" spans="1:15" x14ac:dyDescent="0.25">
      <c r="A17" s="32">
        <v>302</v>
      </c>
      <c r="B17" s="30">
        <v>234.46</v>
      </c>
      <c r="C17" s="30">
        <v>243.57</v>
      </c>
      <c r="D17" s="29">
        <f t="shared" si="1"/>
        <v>9109.9999999999854</v>
      </c>
      <c r="E17" s="64">
        <f>ROUND(D17*D23,0)</f>
        <v>1374</v>
      </c>
      <c r="F17" s="29">
        <v>1200</v>
      </c>
      <c r="G17" s="29">
        <f t="shared" si="2"/>
        <v>2574</v>
      </c>
      <c r="H17" s="29">
        <v>50</v>
      </c>
      <c r="I17" s="29">
        <v>0</v>
      </c>
      <c r="J17" s="29">
        <f t="shared" si="3"/>
        <v>2624</v>
      </c>
      <c r="K17" s="29"/>
      <c r="L17" s="119"/>
      <c r="M17" s="158"/>
      <c r="N17" s="114"/>
      <c r="O17" s="114"/>
    </row>
    <row r="18" spans="1:15" x14ac:dyDescent="0.25">
      <c r="A18" s="32">
        <v>303</v>
      </c>
      <c r="B18" s="29">
        <v>68.290000000000006</v>
      </c>
      <c r="C18" s="29">
        <v>86.25</v>
      </c>
      <c r="D18" s="29">
        <f t="shared" si="1"/>
        <v>17959.999999999993</v>
      </c>
      <c r="E18" s="64">
        <f>ROUND(D18*D23,0)</f>
        <v>2709</v>
      </c>
      <c r="F18" s="29">
        <v>1200</v>
      </c>
      <c r="G18" s="29">
        <f t="shared" si="2"/>
        <v>3909</v>
      </c>
      <c r="H18" s="29">
        <v>50</v>
      </c>
      <c r="I18" s="29">
        <v>0</v>
      </c>
      <c r="J18" s="29">
        <f t="shared" si="3"/>
        <v>3959</v>
      </c>
      <c r="K18" s="29"/>
      <c r="L18" s="29"/>
      <c r="M18" s="158"/>
      <c r="N18" s="160"/>
      <c r="O18" s="114"/>
    </row>
    <row r="19" spans="1:15" x14ac:dyDescent="0.25">
      <c r="A19" s="32">
        <v>304</v>
      </c>
      <c r="B19" s="30">
        <v>406.55</v>
      </c>
      <c r="C19" s="30">
        <v>419.67</v>
      </c>
      <c r="D19" s="29">
        <f t="shared" si="1"/>
        <v>13120.000000000004</v>
      </c>
      <c r="E19" s="64">
        <f>ROUND(D19*D23,0)</f>
        <v>1979</v>
      </c>
      <c r="F19" s="29">
        <v>1200</v>
      </c>
      <c r="G19" s="29">
        <f t="shared" si="2"/>
        <v>3179</v>
      </c>
      <c r="H19" s="29">
        <v>50</v>
      </c>
      <c r="I19" s="29">
        <v>0</v>
      </c>
      <c r="J19" s="29">
        <f t="shared" si="3"/>
        <v>3229</v>
      </c>
      <c r="K19" s="29"/>
      <c r="L19" s="29"/>
      <c r="M19" s="158"/>
      <c r="N19" s="114"/>
      <c r="O19" s="214"/>
    </row>
    <row r="20" spans="1:15" x14ac:dyDescent="0.25">
      <c r="A20" s="29" t="s">
        <v>287</v>
      </c>
      <c r="B20" s="30">
        <v>418.2</v>
      </c>
      <c r="C20" s="30">
        <v>431.99</v>
      </c>
      <c r="D20" s="29">
        <f t="shared" si="1"/>
        <v>13790.00000000002</v>
      </c>
      <c r="E20" s="64">
        <f>ROUND(D20*D23,0)</f>
        <v>2080</v>
      </c>
      <c r="F20" s="29">
        <v>0</v>
      </c>
      <c r="G20" s="29"/>
      <c r="H20" s="29">
        <v>0</v>
      </c>
      <c r="I20" s="29"/>
      <c r="J20" s="29"/>
      <c r="K20" s="29"/>
      <c r="L20" s="29"/>
      <c r="M20" s="51"/>
      <c r="N20" s="114"/>
      <c r="O20" s="114"/>
    </row>
    <row r="21" spans="1:15" x14ac:dyDescent="0.25">
      <c r="A21" s="29"/>
      <c r="B21" s="29"/>
      <c r="C21" s="29"/>
      <c r="D21" s="29"/>
      <c r="E21" s="29"/>
      <c r="F21" s="49"/>
      <c r="G21" s="49"/>
      <c r="H21" s="49">
        <f>SUM(H2:H20)</f>
        <v>800</v>
      </c>
      <c r="I21" s="49"/>
      <c r="J21" s="49">
        <f>SUM(J2:J20)</f>
        <v>38922</v>
      </c>
      <c r="K21" s="49">
        <f>SUM(K2:K19)</f>
        <v>0</v>
      </c>
      <c r="L21" s="49"/>
      <c r="M21" s="29"/>
      <c r="N21" s="114"/>
      <c r="O21" s="121">
        <f>SUM(O9:O20)</f>
        <v>42604</v>
      </c>
    </row>
    <row r="22" spans="1:15" x14ac:dyDescent="0.25">
      <c r="A22" s="29"/>
      <c r="B22" s="29" t="s">
        <v>75</v>
      </c>
      <c r="C22" s="29"/>
      <c r="D22" s="30">
        <f>SUM(D4:D20)</f>
        <v>135260.00000000006</v>
      </c>
      <c r="E22" s="202">
        <f>SUM(E4:E20)</f>
        <v>20402</v>
      </c>
      <c r="F22" s="29"/>
      <c r="G22" s="29"/>
      <c r="H22" s="29"/>
      <c r="I22" s="29"/>
      <c r="J22" s="29"/>
      <c r="K22" s="29"/>
      <c r="L22" s="29"/>
      <c r="M22" s="29"/>
      <c r="N22" s="152"/>
      <c r="O22" s="152"/>
    </row>
    <row r="23" spans="1:15" ht="30" x14ac:dyDescent="0.25">
      <c r="A23" s="29"/>
      <c r="B23" s="29" t="s">
        <v>243</v>
      </c>
      <c r="C23" s="119" t="s">
        <v>641</v>
      </c>
      <c r="D23" s="111">
        <f>B24/D22</f>
        <v>0.15082064172704415</v>
      </c>
      <c r="E23" s="29"/>
      <c r="F23" s="29"/>
      <c r="G23" s="29" t="s">
        <v>205</v>
      </c>
      <c r="H23" s="29"/>
      <c r="I23" s="29"/>
      <c r="J23" s="29"/>
      <c r="K23" s="29"/>
      <c r="L23" s="29"/>
      <c r="M23" s="29"/>
      <c r="N23" s="114"/>
      <c r="O23" s="114"/>
    </row>
    <row r="24" spans="1:15" ht="30" x14ac:dyDescent="0.25">
      <c r="A24" s="119" t="s">
        <v>85</v>
      </c>
      <c r="B24" s="30">
        <f>17*1200</f>
        <v>20400</v>
      </c>
      <c r="C24" s="119" t="s">
        <v>608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F08D0-B084-4FA1-8A0A-CFEE756BFB12}">
  <dimension ref="A1:O24"/>
  <sheetViews>
    <sheetView zoomScale="67" workbookViewId="0">
      <selection activeCell="K21" sqref="K21"/>
    </sheetView>
  </sheetViews>
  <sheetFormatPr defaultRowHeight="15" x14ac:dyDescent="0.25"/>
  <cols>
    <col min="1" max="1" width="12.140625" bestFit="1" customWidth="1"/>
    <col min="2" max="2" width="21.28515625" bestFit="1" customWidth="1"/>
    <col min="3" max="3" width="20.28515625" bestFit="1" customWidth="1"/>
    <col min="4" max="4" width="10" bestFit="1" customWidth="1"/>
    <col min="5" max="5" width="9" bestFit="1" customWidth="1"/>
    <col min="6" max="6" width="20.140625" bestFit="1" customWidth="1"/>
    <col min="7" max="7" width="16.85546875" bestFit="1" customWidth="1"/>
    <col min="8" max="8" width="15.42578125" bestFit="1" customWidth="1"/>
    <col min="9" max="9" width="15.7109375" bestFit="1" customWidth="1"/>
    <col min="10" max="10" width="6.7109375" bestFit="1" customWidth="1"/>
    <col min="11" max="11" width="14.85546875" bestFit="1" customWidth="1"/>
    <col min="12" max="12" width="17.28515625" bestFit="1" customWidth="1"/>
    <col min="13" max="13" width="14.28515625" hidden="1" customWidth="1"/>
    <col min="14" max="14" width="28.28515625" bestFit="1" customWidth="1"/>
  </cols>
  <sheetData>
    <row r="1" spans="1:15" x14ac:dyDescent="0.25">
      <c r="A1" s="49" t="s">
        <v>642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470</v>
      </c>
      <c r="J1" s="146" t="s">
        <v>367</v>
      </c>
      <c r="K1" s="146" t="s">
        <v>421</v>
      </c>
      <c r="L1" s="220" t="s">
        <v>676</v>
      </c>
      <c r="M1" s="146" t="s">
        <v>128</v>
      </c>
      <c r="N1" s="154" t="s">
        <v>662</v>
      </c>
      <c r="O1" s="215">
        <v>46896</v>
      </c>
    </row>
    <row r="2" spans="1:15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>G2+H2</f>
        <v>300</v>
      </c>
      <c r="K2" s="29">
        <v>300</v>
      </c>
      <c r="L2" s="221">
        <f>J2-K2</f>
        <v>0</v>
      </c>
      <c r="M2" s="158"/>
      <c r="N2" s="148" t="s">
        <v>663</v>
      </c>
      <c r="O2" s="149">
        <v>13008</v>
      </c>
    </row>
    <row r="3" spans="1:15" x14ac:dyDescent="0.25">
      <c r="A3" s="72" t="s">
        <v>132</v>
      </c>
      <c r="B3" s="30" t="s">
        <v>131</v>
      </c>
      <c r="C3" s="30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>G3+H3</f>
        <v>300</v>
      </c>
      <c r="K3" s="29">
        <v>300</v>
      </c>
      <c r="L3" s="221">
        <f t="shared" ref="L3:L19" si="0">J3-K3</f>
        <v>0</v>
      </c>
      <c r="M3" s="158"/>
      <c r="N3" s="148"/>
      <c r="O3" s="148"/>
    </row>
    <row r="4" spans="1:15" x14ac:dyDescent="0.25">
      <c r="A4" s="32" t="s">
        <v>68</v>
      </c>
      <c r="B4" s="30">
        <v>168</v>
      </c>
      <c r="C4" s="30">
        <v>172.7</v>
      </c>
      <c r="D4" s="29">
        <f>(C4-B4)*1000</f>
        <v>4699.9999999999891</v>
      </c>
      <c r="E4" s="64">
        <f>ROUND(D4*D23,0)</f>
        <v>875</v>
      </c>
      <c r="F4" s="29">
        <v>1200</v>
      </c>
      <c r="G4" s="29">
        <f t="shared" ref="G4:G19" si="1">SUM(E4,F4)</f>
        <v>2075</v>
      </c>
      <c r="H4" s="29">
        <v>50</v>
      </c>
      <c r="I4" s="29">
        <v>0</v>
      </c>
      <c r="J4" s="29">
        <f t="shared" ref="J4:J19" si="2">G4+H4+I4</f>
        <v>2125</v>
      </c>
      <c r="K4" s="29">
        <v>1919</v>
      </c>
      <c r="L4" s="221">
        <f t="shared" si="0"/>
        <v>206</v>
      </c>
      <c r="M4" s="158"/>
      <c r="N4" s="160"/>
      <c r="O4" s="160"/>
    </row>
    <row r="5" spans="1:15" x14ac:dyDescent="0.25">
      <c r="A5" s="32" t="s">
        <v>70</v>
      </c>
      <c r="B5" s="30">
        <v>248.67</v>
      </c>
      <c r="C5" s="30">
        <v>248.67</v>
      </c>
      <c r="D5" s="29">
        <f t="shared" ref="D5:D20" si="3">(C5-B5)*1000</f>
        <v>0</v>
      </c>
      <c r="E5" s="64">
        <f>ROUND(D5*D23,0)</f>
        <v>0</v>
      </c>
      <c r="F5" s="29">
        <v>1200</v>
      </c>
      <c r="G5" s="29">
        <f t="shared" si="1"/>
        <v>1200</v>
      </c>
      <c r="H5" s="29">
        <v>50</v>
      </c>
      <c r="I5" s="29">
        <v>0</v>
      </c>
      <c r="J5" s="29">
        <f t="shared" si="2"/>
        <v>1250</v>
      </c>
      <c r="K5" s="29">
        <v>1250</v>
      </c>
      <c r="L5" s="221">
        <f t="shared" si="0"/>
        <v>0</v>
      </c>
      <c r="M5" s="158"/>
      <c r="N5" s="114"/>
      <c r="O5" s="114"/>
    </row>
    <row r="6" spans="1:15" x14ac:dyDescent="0.25">
      <c r="A6" s="32" t="s">
        <v>16</v>
      </c>
      <c r="B6" s="30">
        <v>482.25</v>
      </c>
      <c r="C6" s="30">
        <v>483</v>
      </c>
      <c r="D6" s="29">
        <f t="shared" si="3"/>
        <v>750</v>
      </c>
      <c r="E6" s="64">
        <f>ROUND(D6*D23,0)</f>
        <v>140</v>
      </c>
      <c r="F6" s="29">
        <v>1200</v>
      </c>
      <c r="G6" s="29">
        <f t="shared" si="1"/>
        <v>1340</v>
      </c>
      <c r="H6" s="29">
        <v>50</v>
      </c>
      <c r="I6" s="29">
        <v>0</v>
      </c>
      <c r="J6" s="29">
        <f t="shared" si="2"/>
        <v>1390</v>
      </c>
      <c r="K6" s="29">
        <v>1357</v>
      </c>
      <c r="L6" s="221">
        <f t="shared" si="0"/>
        <v>33</v>
      </c>
      <c r="M6" s="158"/>
      <c r="N6" s="114"/>
      <c r="O6" s="114"/>
    </row>
    <row r="7" spans="1:15" x14ac:dyDescent="0.25">
      <c r="A7" s="32" t="s">
        <v>13</v>
      </c>
      <c r="B7" s="30">
        <v>398.86</v>
      </c>
      <c r="C7" s="30">
        <v>408.67</v>
      </c>
      <c r="D7" s="29">
        <f t="shared" si="3"/>
        <v>9810.0000000000018</v>
      </c>
      <c r="E7" s="64">
        <f>ROUND(D7*D23,0)</f>
        <v>1827</v>
      </c>
      <c r="F7" s="29">
        <v>1200</v>
      </c>
      <c r="G7" s="29">
        <f t="shared" si="1"/>
        <v>3027</v>
      </c>
      <c r="H7" s="29">
        <v>50</v>
      </c>
      <c r="I7" s="29">
        <v>0</v>
      </c>
      <c r="J7" s="29">
        <f t="shared" si="2"/>
        <v>3077</v>
      </c>
      <c r="K7" s="29">
        <v>2647</v>
      </c>
      <c r="L7" s="221">
        <f t="shared" si="0"/>
        <v>430</v>
      </c>
      <c r="M7" s="158"/>
      <c r="N7" s="114"/>
      <c r="O7" s="114"/>
    </row>
    <row r="8" spans="1:15" x14ac:dyDescent="0.25">
      <c r="A8" s="32">
        <v>101</v>
      </c>
      <c r="B8" s="30">
        <v>100.28</v>
      </c>
      <c r="C8" s="30">
        <v>101.96</v>
      </c>
      <c r="D8" s="29">
        <f t="shared" si="3"/>
        <v>1679.9999999999927</v>
      </c>
      <c r="E8" s="64">
        <f>ROUND(D8*D23,0)</f>
        <v>313</v>
      </c>
      <c r="F8" s="29">
        <v>1200</v>
      </c>
      <c r="G8" s="29">
        <f t="shared" si="1"/>
        <v>1513</v>
      </c>
      <c r="H8" s="29">
        <v>50</v>
      </c>
      <c r="I8" s="29">
        <v>0</v>
      </c>
      <c r="J8" s="29">
        <f t="shared" si="2"/>
        <v>1563</v>
      </c>
      <c r="K8" s="29">
        <v>1489</v>
      </c>
      <c r="L8" s="221">
        <f t="shared" si="0"/>
        <v>74</v>
      </c>
      <c r="M8" s="158"/>
      <c r="N8" s="153" t="s">
        <v>668</v>
      </c>
      <c r="O8" s="153"/>
    </row>
    <row r="9" spans="1:15" x14ac:dyDescent="0.25">
      <c r="A9" s="32">
        <v>102</v>
      </c>
      <c r="B9" s="30">
        <v>641.84</v>
      </c>
      <c r="C9" s="30">
        <v>643.69000000000005</v>
      </c>
      <c r="D9" s="29">
        <f t="shared" si="3"/>
        <v>1850.0000000000227</v>
      </c>
      <c r="E9" s="64">
        <f>ROUND(D9*D23,0)</f>
        <v>345</v>
      </c>
      <c r="F9" s="29">
        <v>1200</v>
      </c>
      <c r="G9" s="29">
        <f t="shared" si="1"/>
        <v>1545</v>
      </c>
      <c r="H9" s="29">
        <v>50</v>
      </c>
      <c r="I9" s="29">
        <v>0</v>
      </c>
      <c r="J9" s="29">
        <f t="shared" si="2"/>
        <v>1595</v>
      </c>
      <c r="K9" s="29">
        <v>1513</v>
      </c>
      <c r="L9" s="221">
        <f t="shared" si="0"/>
        <v>82</v>
      </c>
      <c r="M9" s="158"/>
      <c r="N9" s="114" t="s">
        <v>314</v>
      </c>
      <c r="O9" s="213">
        <v>6500</v>
      </c>
    </row>
    <row r="10" spans="1:15" x14ac:dyDescent="0.25">
      <c r="A10" s="32">
        <v>103</v>
      </c>
      <c r="B10" s="29">
        <v>290.74</v>
      </c>
      <c r="C10" s="29">
        <v>295.38</v>
      </c>
      <c r="D10" s="29">
        <f t="shared" si="3"/>
        <v>4639.9999999999864</v>
      </c>
      <c r="E10" s="64">
        <f>ROUND(D10*D23,0)</f>
        <v>864</v>
      </c>
      <c r="F10" s="29">
        <v>1200</v>
      </c>
      <c r="G10" s="29">
        <f t="shared" si="1"/>
        <v>2064</v>
      </c>
      <c r="H10" s="29">
        <v>50</v>
      </c>
      <c r="I10" s="29">
        <v>0</v>
      </c>
      <c r="J10" s="29">
        <f t="shared" si="2"/>
        <v>2114</v>
      </c>
      <c r="K10" s="29">
        <v>1911</v>
      </c>
      <c r="L10" s="221">
        <f t="shared" si="0"/>
        <v>203</v>
      </c>
      <c r="M10" s="158"/>
      <c r="N10" s="160" t="s">
        <v>520</v>
      </c>
      <c r="O10" s="213">
        <v>2044</v>
      </c>
    </row>
    <row r="11" spans="1:15" x14ac:dyDescent="0.25">
      <c r="A11" s="32">
        <v>104</v>
      </c>
      <c r="B11" s="30">
        <v>157.71</v>
      </c>
      <c r="C11" s="30">
        <v>167.28</v>
      </c>
      <c r="D11" s="29">
        <f t="shared" si="3"/>
        <v>9569.9999999999927</v>
      </c>
      <c r="E11" s="64">
        <f>ROUND(D11*D23,0)</f>
        <v>1782</v>
      </c>
      <c r="F11" s="29">
        <v>1200</v>
      </c>
      <c r="G11" s="29">
        <f t="shared" si="1"/>
        <v>2982</v>
      </c>
      <c r="H11" s="29">
        <v>50</v>
      </c>
      <c r="I11" s="29">
        <v>0</v>
      </c>
      <c r="J11" s="29">
        <f t="shared" si="2"/>
        <v>3032</v>
      </c>
      <c r="K11" s="29">
        <v>2613</v>
      </c>
      <c r="L11" s="221">
        <f t="shared" si="0"/>
        <v>419</v>
      </c>
      <c r="M11" s="158"/>
      <c r="N11" s="160" t="s">
        <v>500</v>
      </c>
      <c r="O11" s="213">
        <v>1841</v>
      </c>
    </row>
    <row r="12" spans="1:15" x14ac:dyDescent="0.25">
      <c r="A12" s="32">
        <v>201</v>
      </c>
      <c r="B12" s="30">
        <v>165.47</v>
      </c>
      <c r="C12" s="30">
        <v>169.23</v>
      </c>
      <c r="D12" s="29">
        <f t="shared" si="3"/>
        <v>3759.9999999999909</v>
      </c>
      <c r="E12" s="64">
        <f>ROUND(D12*D23,0)</f>
        <v>700</v>
      </c>
      <c r="F12" s="29">
        <v>1200</v>
      </c>
      <c r="G12" s="29">
        <f t="shared" si="1"/>
        <v>1900</v>
      </c>
      <c r="H12" s="29">
        <v>50</v>
      </c>
      <c r="I12" s="29">
        <v>0</v>
      </c>
      <c r="J12" s="29">
        <f t="shared" si="2"/>
        <v>1950</v>
      </c>
      <c r="K12" s="29">
        <v>1785</v>
      </c>
      <c r="L12" s="221">
        <f t="shared" si="0"/>
        <v>165</v>
      </c>
      <c r="M12" s="158"/>
      <c r="N12" s="160" t="s">
        <v>253</v>
      </c>
      <c r="O12" s="213">
        <v>20400</v>
      </c>
    </row>
    <row r="13" spans="1:15" x14ac:dyDescent="0.25">
      <c r="A13" s="32">
        <v>202</v>
      </c>
      <c r="B13" s="30">
        <v>340.83</v>
      </c>
      <c r="C13" s="30">
        <v>347.75</v>
      </c>
      <c r="D13" s="29">
        <f t="shared" si="3"/>
        <v>6920.0000000000164</v>
      </c>
      <c r="E13" s="64">
        <f>ROUND(D13*D23,0)</f>
        <v>1289</v>
      </c>
      <c r="F13" s="29">
        <v>1200</v>
      </c>
      <c r="G13" s="29">
        <f t="shared" si="1"/>
        <v>2489</v>
      </c>
      <c r="H13" s="29">
        <v>50</v>
      </c>
      <c r="I13" s="29">
        <v>0</v>
      </c>
      <c r="J13" s="29">
        <f t="shared" si="2"/>
        <v>2539</v>
      </c>
      <c r="K13" s="29">
        <v>2236</v>
      </c>
      <c r="L13" s="221">
        <f t="shared" si="0"/>
        <v>303</v>
      </c>
      <c r="M13" s="158"/>
      <c r="N13" s="114" t="s">
        <v>514</v>
      </c>
      <c r="O13" s="213">
        <v>800</v>
      </c>
    </row>
    <row r="14" spans="1:15" x14ac:dyDescent="0.25">
      <c r="A14" s="32">
        <v>203</v>
      </c>
      <c r="B14" s="30">
        <v>89.44</v>
      </c>
      <c r="C14" s="30">
        <v>97.29</v>
      </c>
      <c r="D14" s="29">
        <f t="shared" si="3"/>
        <v>7850.0000000000082</v>
      </c>
      <c r="E14" s="64">
        <f>ROUND(D14*D23,0)</f>
        <v>1462</v>
      </c>
      <c r="F14" s="29">
        <v>1200</v>
      </c>
      <c r="G14" s="29">
        <f t="shared" si="1"/>
        <v>2662</v>
      </c>
      <c r="H14" s="29">
        <v>50</v>
      </c>
      <c r="I14" s="29">
        <v>0</v>
      </c>
      <c r="J14" s="29">
        <f t="shared" si="2"/>
        <v>2712</v>
      </c>
      <c r="K14" s="29">
        <v>2368</v>
      </c>
      <c r="L14" s="221">
        <f t="shared" si="0"/>
        <v>344</v>
      </c>
      <c r="M14" s="158"/>
      <c r="N14" s="216" t="s">
        <v>664</v>
      </c>
      <c r="O14">
        <v>2000</v>
      </c>
    </row>
    <row r="15" spans="1:15" x14ac:dyDescent="0.25">
      <c r="A15" s="32">
        <v>204</v>
      </c>
      <c r="B15" s="30">
        <v>330.18</v>
      </c>
      <c r="C15" s="30">
        <v>337.09</v>
      </c>
      <c r="D15" s="29">
        <f t="shared" si="3"/>
        <v>6909.9999999999682</v>
      </c>
      <c r="E15" s="64">
        <f>ROUND(D15*D23,0)</f>
        <v>1287</v>
      </c>
      <c r="F15" s="29">
        <v>1200</v>
      </c>
      <c r="G15" s="29">
        <f t="shared" si="1"/>
        <v>2487</v>
      </c>
      <c r="H15" s="29">
        <v>50</v>
      </c>
      <c r="I15" s="29">
        <v>0</v>
      </c>
      <c r="J15" s="29">
        <f t="shared" si="2"/>
        <v>2537</v>
      </c>
      <c r="K15" s="29">
        <v>2234</v>
      </c>
      <c r="L15" s="221">
        <f t="shared" si="0"/>
        <v>303</v>
      </c>
      <c r="M15" s="158"/>
      <c r="N15" s="114" t="s">
        <v>665</v>
      </c>
      <c r="O15" s="114">
        <v>300</v>
      </c>
    </row>
    <row r="16" spans="1:15" x14ac:dyDescent="0.25">
      <c r="A16" s="32">
        <v>301</v>
      </c>
      <c r="B16" s="30">
        <v>119.26</v>
      </c>
      <c r="C16" s="30">
        <v>120.55</v>
      </c>
      <c r="D16" s="29">
        <f t="shared" si="3"/>
        <v>1289.999999999992</v>
      </c>
      <c r="E16" s="64">
        <f>ROUND(D16*D23,0)</f>
        <v>240</v>
      </c>
      <c r="F16" s="29">
        <v>1200</v>
      </c>
      <c r="G16" s="29">
        <f t="shared" si="1"/>
        <v>1440</v>
      </c>
      <c r="H16" s="29">
        <v>50</v>
      </c>
      <c r="I16" s="29">
        <v>0</v>
      </c>
      <c r="J16" s="29">
        <f t="shared" si="2"/>
        <v>1490</v>
      </c>
      <c r="K16" s="29">
        <v>1434</v>
      </c>
      <c r="L16" s="221">
        <f t="shared" si="0"/>
        <v>56</v>
      </c>
      <c r="M16" s="158"/>
      <c r="N16" s="160"/>
      <c r="O16" s="114"/>
    </row>
    <row r="17" spans="1:15" x14ac:dyDescent="0.25">
      <c r="A17" s="32">
        <v>302</v>
      </c>
      <c r="B17" s="30">
        <v>243.57</v>
      </c>
      <c r="C17" s="30">
        <v>250.94</v>
      </c>
      <c r="D17" s="29">
        <f t="shared" si="3"/>
        <v>7370.0000000000045</v>
      </c>
      <c r="E17" s="64">
        <f>ROUND(D17*D23,0)</f>
        <v>1373</v>
      </c>
      <c r="F17" s="29">
        <v>1200</v>
      </c>
      <c r="G17" s="29">
        <f t="shared" si="1"/>
        <v>2573</v>
      </c>
      <c r="H17" s="29">
        <v>50</v>
      </c>
      <c r="I17" s="29">
        <v>0</v>
      </c>
      <c r="J17" s="29">
        <f t="shared" si="2"/>
        <v>2623</v>
      </c>
      <c r="K17" s="219">
        <v>2300</v>
      </c>
      <c r="L17" s="221">
        <f t="shared" si="0"/>
        <v>323</v>
      </c>
      <c r="M17" s="158"/>
      <c r="N17" s="114"/>
      <c r="O17" s="114"/>
    </row>
    <row r="18" spans="1:15" x14ac:dyDescent="0.25">
      <c r="A18" s="32">
        <v>303</v>
      </c>
      <c r="B18" s="29">
        <v>86.25</v>
      </c>
      <c r="C18" s="29">
        <v>102.05</v>
      </c>
      <c r="D18" s="29">
        <f t="shared" si="3"/>
        <v>15799.999999999996</v>
      </c>
      <c r="E18" s="64">
        <f>ROUND(D18*D23,0)</f>
        <v>2942</v>
      </c>
      <c r="F18" s="29">
        <v>1200</v>
      </c>
      <c r="G18" s="29">
        <f t="shared" si="1"/>
        <v>4142</v>
      </c>
      <c r="H18" s="29">
        <v>50</v>
      </c>
      <c r="I18" s="29">
        <v>0</v>
      </c>
      <c r="J18" s="29">
        <f t="shared" si="2"/>
        <v>4192</v>
      </c>
      <c r="K18" s="29">
        <v>3500</v>
      </c>
      <c r="L18" s="221">
        <f t="shared" si="0"/>
        <v>692</v>
      </c>
      <c r="M18" s="158"/>
      <c r="N18" s="160"/>
      <c r="O18" s="114"/>
    </row>
    <row r="19" spans="1:15" x14ac:dyDescent="0.25">
      <c r="A19" s="32">
        <v>304</v>
      </c>
      <c r="B19" s="30">
        <v>419.67</v>
      </c>
      <c r="C19" s="30">
        <v>433.21</v>
      </c>
      <c r="D19" s="29">
        <f t="shared" si="3"/>
        <v>13539.999999999964</v>
      </c>
      <c r="E19" s="64">
        <f>ROUND(D19*D23,0)</f>
        <v>2522</v>
      </c>
      <c r="F19" s="29">
        <v>1200</v>
      </c>
      <c r="G19" s="29">
        <f t="shared" si="1"/>
        <v>3722</v>
      </c>
      <c r="H19" s="29">
        <v>50</v>
      </c>
      <c r="I19" s="29">
        <v>0</v>
      </c>
      <c r="J19" s="29">
        <f t="shared" si="2"/>
        <v>3772</v>
      </c>
      <c r="K19" s="29">
        <v>3178</v>
      </c>
      <c r="L19" s="221">
        <f t="shared" si="0"/>
        <v>594</v>
      </c>
      <c r="M19" s="158"/>
      <c r="N19" s="114"/>
      <c r="O19" s="214"/>
    </row>
    <row r="20" spans="1:15" x14ac:dyDescent="0.25">
      <c r="A20" s="29" t="s">
        <v>287</v>
      </c>
      <c r="B20" s="30">
        <v>431.99</v>
      </c>
      <c r="C20" s="30">
        <v>445.09</v>
      </c>
      <c r="D20" s="29">
        <f t="shared" si="3"/>
        <v>13099.999999999965</v>
      </c>
      <c r="E20" s="64">
        <f>ROUND(D20*D23,0)</f>
        <v>2440</v>
      </c>
      <c r="F20" s="29">
        <v>0</v>
      </c>
      <c r="G20" s="29"/>
      <c r="H20" s="29">
        <v>0</v>
      </c>
      <c r="I20" s="29"/>
      <c r="J20" s="29"/>
      <c r="K20" s="29"/>
      <c r="L20" s="221"/>
      <c r="M20" s="51"/>
      <c r="N20" s="114"/>
      <c r="O20" s="114"/>
    </row>
    <row r="21" spans="1:15" x14ac:dyDescent="0.25">
      <c r="A21" s="29"/>
      <c r="B21" s="29"/>
      <c r="C21" s="29"/>
      <c r="D21" s="29"/>
      <c r="E21" s="29"/>
      <c r="F21" s="49"/>
      <c r="G21" s="49"/>
      <c r="H21" s="49">
        <f>SUM(H2:H20)</f>
        <v>800</v>
      </c>
      <c r="I21" s="49"/>
      <c r="J21" s="49">
        <f>SUM(J2:J19)</f>
        <v>38561</v>
      </c>
      <c r="K21" s="49">
        <f>SUM(K2:K19)</f>
        <v>34334</v>
      </c>
      <c r="L21" s="222">
        <f>J21-K21</f>
        <v>4227</v>
      </c>
      <c r="M21" s="29"/>
      <c r="N21" s="114"/>
      <c r="O21" s="121">
        <f>SUM(O9:O20)</f>
        <v>33885</v>
      </c>
    </row>
    <row r="22" spans="1:15" x14ac:dyDescent="0.25">
      <c r="A22" s="29"/>
      <c r="B22" s="29" t="s">
        <v>75</v>
      </c>
      <c r="C22" s="29"/>
      <c r="D22" s="30">
        <f>SUM(D4:D20)</f>
        <v>109539.99999999991</v>
      </c>
      <c r="E22" s="202">
        <f>SUM(E4:E20)</f>
        <v>20401</v>
      </c>
      <c r="F22" s="29"/>
      <c r="G22" s="29"/>
      <c r="H22" s="29"/>
      <c r="I22" s="29"/>
      <c r="J22" s="29"/>
      <c r="K22" s="29"/>
      <c r="L22" s="29"/>
      <c r="M22" s="29"/>
      <c r="N22" s="152"/>
      <c r="O22" s="152"/>
    </row>
    <row r="23" spans="1:15" ht="30" x14ac:dyDescent="0.25">
      <c r="A23" s="29"/>
      <c r="B23" s="29" t="s">
        <v>243</v>
      </c>
      <c r="C23" s="119" t="s">
        <v>641</v>
      </c>
      <c r="D23" s="111">
        <f>B24/D22</f>
        <v>0.18623333941939033</v>
      </c>
      <c r="E23" s="29"/>
      <c r="F23" s="29"/>
      <c r="G23" s="29" t="s">
        <v>205</v>
      </c>
      <c r="H23" s="29"/>
      <c r="I23" s="29"/>
      <c r="J23" s="29"/>
      <c r="K23" s="29"/>
      <c r="L23" s="29"/>
      <c r="M23" s="29"/>
      <c r="N23" s="114"/>
      <c r="O23" s="114"/>
    </row>
    <row r="24" spans="1:15" ht="30" x14ac:dyDescent="0.25">
      <c r="A24" s="119" t="s">
        <v>85</v>
      </c>
      <c r="B24" s="30">
        <f>17*1200</f>
        <v>20400</v>
      </c>
      <c r="C24" s="119" t="s">
        <v>456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t="s">
        <v>667</v>
      </c>
      <c r="O24">
        <f>J21+O1-O21</f>
        <v>51572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691F-63B3-4DF9-97C3-40B1CFB4966A}">
  <dimension ref="A1:O24"/>
  <sheetViews>
    <sheetView zoomScale="83" workbookViewId="0">
      <selection activeCell="J21" sqref="J21"/>
    </sheetView>
  </sheetViews>
  <sheetFormatPr defaultRowHeight="15" x14ac:dyDescent="0.25"/>
  <cols>
    <col min="1" max="1" width="12.140625" bestFit="1" customWidth="1"/>
    <col min="2" max="2" width="21.28515625" bestFit="1" customWidth="1"/>
    <col min="3" max="3" width="20.28515625" customWidth="1"/>
    <col min="4" max="4" width="10" bestFit="1" customWidth="1"/>
    <col min="5" max="5" width="9" bestFit="1" customWidth="1"/>
    <col min="6" max="6" width="20.140625" bestFit="1" customWidth="1"/>
    <col min="7" max="7" width="16.85546875" bestFit="1" customWidth="1"/>
    <col min="8" max="8" width="15.42578125" bestFit="1" customWidth="1"/>
    <col min="9" max="9" width="21.140625" bestFit="1" customWidth="1"/>
    <col min="10" max="10" width="6.7109375" bestFit="1" customWidth="1"/>
    <col min="13" max="13" width="14.28515625" hidden="1" customWidth="1"/>
    <col min="14" max="14" width="30.28515625" bestFit="1" customWidth="1"/>
  </cols>
  <sheetData>
    <row r="1" spans="1:15" x14ac:dyDescent="0.25">
      <c r="A1" s="49" t="s">
        <v>642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675</v>
      </c>
      <c r="J1" s="146" t="s">
        <v>367</v>
      </c>
      <c r="K1" s="146" t="s">
        <v>421</v>
      </c>
      <c r="L1" s="146"/>
      <c r="M1" s="146" t="s">
        <v>128</v>
      </c>
      <c r="N1" s="154" t="s">
        <v>666</v>
      </c>
      <c r="O1" s="215">
        <v>6338</v>
      </c>
    </row>
    <row r="2" spans="1:15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v>0</v>
      </c>
      <c r="J2" s="29">
        <f>G2+H2</f>
        <v>300</v>
      </c>
      <c r="K2" s="29">
        <v>300</v>
      </c>
      <c r="L2" s="29"/>
      <c r="M2" s="158"/>
      <c r="N2" s="148"/>
      <c r="O2" s="149"/>
    </row>
    <row r="3" spans="1:15" x14ac:dyDescent="0.25">
      <c r="A3" s="72" t="s">
        <v>132</v>
      </c>
      <c r="B3" s="30" t="s">
        <v>131</v>
      </c>
      <c r="C3" s="30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v>0</v>
      </c>
      <c r="J3" s="29">
        <f t="shared" ref="J3" si="0">G3+H3</f>
        <v>300</v>
      </c>
      <c r="K3" s="29">
        <v>300</v>
      </c>
      <c r="L3" s="29"/>
      <c r="M3" s="158"/>
      <c r="N3" s="148"/>
      <c r="O3" s="148"/>
    </row>
    <row r="4" spans="1:15" x14ac:dyDescent="0.25">
      <c r="A4" s="32" t="s">
        <v>68</v>
      </c>
      <c r="B4" s="30">
        <v>172.7</v>
      </c>
      <c r="C4" s="30">
        <v>177.59</v>
      </c>
      <c r="D4" s="29">
        <f t="shared" ref="D4:D20" si="1">(C4-B4)*1000</f>
        <v>4890.0000000000146</v>
      </c>
      <c r="E4" s="64">
        <f>ROUND(D4*D23,0)</f>
        <v>867</v>
      </c>
      <c r="F4" s="29">
        <v>1200</v>
      </c>
      <c r="G4" s="29">
        <f t="shared" ref="G4:G19" si="2">SUM(E4,F4)</f>
        <v>2067</v>
      </c>
      <c r="H4" s="29">
        <v>50</v>
      </c>
      <c r="I4" s="29">
        <v>206</v>
      </c>
      <c r="J4" s="29">
        <f>G4+H4+I4</f>
        <v>2323</v>
      </c>
      <c r="K4" s="29">
        <v>2323</v>
      </c>
      <c r="L4" s="156"/>
      <c r="M4" s="158"/>
      <c r="N4" s="160"/>
      <c r="O4" s="160"/>
    </row>
    <row r="5" spans="1:15" x14ac:dyDescent="0.25">
      <c r="A5" s="32" t="s">
        <v>70</v>
      </c>
      <c r="B5" s="30">
        <v>248.67</v>
      </c>
      <c r="C5" s="30">
        <v>254.47</v>
      </c>
      <c r="D5" s="29">
        <f t="shared" si="1"/>
        <v>5800.0000000000109</v>
      </c>
      <c r="E5" s="64">
        <f>ROUND(D5*D23,0)</f>
        <v>1028</v>
      </c>
      <c r="F5" s="29">
        <v>1200</v>
      </c>
      <c r="G5" s="29">
        <f t="shared" si="2"/>
        <v>2228</v>
      </c>
      <c r="H5" s="29">
        <v>50</v>
      </c>
      <c r="I5" s="29">
        <v>0</v>
      </c>
      <c r="J5" s="29">
        <f t="shared" ref="J5:J19" si="3">G5+H5+I5</f>
        <v>2278</v>
      </c>
      <c r="K5" s="29">
        <v>2278</v>
      </c>
      <c r="L5" s="29"/>
      <c r="M5" s="158"/>
      <c r="N5" s="114"/>
      <c r="O5" s="114"/>
    </row>
    <row r="6" spans="1:15" x14ac:dyDescent="0.25">
      <c r="A6" s="32" t="s">
        <v>16</v>
      </c>
      <c r="B6" s="30">
        <v>483</v>
      </c>
      <c r="C6" s="30">
        <v>491.65</v>
      </c>
      <c r="D6" s="29">
        <f t="shared" si="1"/>
        <v>8649.9999999999782</v>
      </c>
      <c r="E6" s="64">
        <f>ROUND(D6*D23,0)</f>
        <v>1534</v>
      </c>
      <c r="F6" s="29">
        <v>1200</v>
      </c>
      <c r="G6" s="29">
        <f t="shared" si="2"/>
        <v>2734</v>
      </c>
      <c r="H6" s="29">
        <v>50</v>
      </c>
      <c r="I6" s="29">
        <v>33</v>
      </c>
      <c r="J6" s="29">
        <f t="shared" si="3"/>
        <v>2817</v>
      </c>
      <c r="K6" s="29">
        <v>2817</v>
      </c>
      <c r="L6" s="29"/>
      <c r="M6" s="158"/>
      <c r="N6" s="114"/>
      <c r="O6" s="114"/>
    </row>
    <row r="7" spans="1:15" x14ac:dyDescent="0.25">
      <c r="A7" s="32" t="s">
        <v>13</v>
      </c>
      <c r="B7" s="30">
        <v>408.67</v>
      </c>
      <c r="C7" s="30">
        <v>414.2</v>
      </c>
      <c r="D7" s="29">
        <f t="shared" si="1"/>
        <v>5529.9999999999727</v>
      </c>
      <c r="E7" s="64">
        <f>ROUND(D7*D23,0)</f>
        <v>981</v>
      </c>
      <c r="F7" s="29">
        <v>1200</v>
      </c>
      <c r="G7" s="29">
        <f t="shared" si="2"/>
        <v>2181</v>
      </c>
      <c r="H7" s="29">
        <v>50</v>
      </c>
      <c r="I7" s="29">
        <v>430</v>
      </c>
      <c r="J7" s="29">
        <f t="shared" si="3"/>
        <v>2661</v>
      </c>
      <c r="K7" s="29">
        <v>2661</v>
      </c>
      <c r="L7" s="29"/>
      <c r="M7" s="158"/>
      <c r="N7" s="114"/>
      <c r="O7" s="114"/>
    </row>
    <row r="8" spans="1:15" x14ac:dyDescent="0.25">
      <c r="A8" s="32">
        <v>101</v>
      </c>
      <c r="B8" s="30">
        <v>101.96</v>
      </c>
      <c r="C8" s="218">
        <v>103.38</v>
      </c>
      <c r="D8" s="29">
        <f t="shared" si="1"/>
        <v>1420.0000000000018</v>
      </c>
      <c r="E8" s="64">
        <f>ROUND(D8*D23,0)</f>
        <v>252</v>
      </c>
      <c r="F8" s="29">
        <v>1200</v>
      </c>
      <c r="G8" s="29">
        <f t="shared" si="2"/>
        <v>1452</v>
      </c>
      <c r="H8" s="29">
        <v>50</v>
      </c>
      <c r="I8" s="29">
        <v>74</v>
      </c>
      <c r="J8" s="29">
        <f t="shared" si="3"/>
        <v>1576</v>
      </c>
      <c r="K8" s="29">
        <v>1576</v>
      </c>
      <c r="L8" s="29"/>
      <c r="M8" s="158"/>
      <c r="N8" s="153" t="s">
        <v>669</v>
      </c>
      <c r="O8" s="153"/>
    </row>
    <row r="9" spans="1:15" x14ac:dyDescent="0.25">
      <c r="A9" s="32">
        <v>102</v>
      </c>
      <c r="B9" s="30">
        <v>643.69000000000005</v>
      </c>
      <c r="C9" s="30">
        <v>645.49</v>
      </c>
      <c r="D9" s="29">
        <f t="shared" si="1"/>
        <v>1799.9999999999545</v>
      </c>
      <c r="E9" s="64">
        <f>ROUND(D9*D23,0)</f>
        <v>319</v>
      </c>
      <c r="F9" s="29">
        <v>1200</v>
      </c>
      <c r="G9" s="29">
        <f t="shared" si="2"/>
        <v>1519</v>
      </c>
      <c r="H9" s="29">
        <v>50</v>
      </c>
      <c r="I9" s="29">
        <v>82</v>
      </c>
      <c r="J9" s="29">
        <f t="shared" si="3"/>
        <v>1651</v>
      </c>
      <c r="K9" s="29">
        <v>1651</v>
      </c>
      <c r="L9" s="29"/>
      <c r="M9" s="158"/>
      <c r="N9" s="114" t="s">
        <v>314</v>
      </c>
      <c r="O9" s="213">
        <v>6500</v>
      </c>
    </row>
    <row r="10" spans="1:15" x14ac:dyDescent="0.25">
      <c r="A10" s="32">
        <v>103</v>
      </c>
      <c r="B10" s="29">
        <v>295.38</v>
      </c>
      <c r="C10" s="29">
        <v>302.63</v>
      </c>
      <c r="D10" s="29">
        <f t="shared" si="1"/>
        <v>7250</v>
      </c>
      <c r="E10" s="64">
        <f>ROUND(D10*D23,0)</f>
        <v>1286</v>
      </c>
      <c r="F10" s="29">
        <v>1200</v>
      </c>
      <c r="G10" s="29">
        <f t="shared" si="2"/>
        <v>2486</v>
      </c>
      <c r="H10" s="29">
        <v>50</v>
      </c>
      <c r="I10" s="29">
        <v>203</v>
      </c>
      <c r="J10" s="29">
        <f t="shared" si="3"/>
        <v>2739</v>
      </c>
      <c r="K10" s="29">
        <v>2739</v>
      </c>
      <c r="L10" s="29"/>
      <c r="M10" s="158"/>
      <c r="N10" s="160" t="s">
        <v>520</v>
      </c>
      <c r="O10" s="213">
        <v>2044</v>
      </c>
    </row>
    <row r="11" spans="1:15" x14ac:dyDescent="0.25">
      <c r="A11" s="32">
        <v>104</v>
      </c>
      <c r="B11" s="30">
        <v>167.28</v>
      </c>
      <c r="C11" s="30">
        <v>181.12</v>
      </c>
      <c r="D11" s="29">
        <f t="shared" si="1"/>
        <v>13840.000000000004</v>
      </c>
      <c r="E11" s="64">
        <f>ROUND(D11*D23,0)</f>
        <v>2454</v>
      </c>
      <c r="F11" s="29">
        <v>1200</v>
      </c>
      <c r="G11" s="29">
        <f t="shared" si="2"/>
        <v>3654</v>
      </c>
      <c r="H11" s="29">
        <v>50</v>
      </c>
      <c r="I11" s="29">
        <v>419</v>
      </c>
      <c r="J11" s="29">
        <f t="shared" si="3"/>
        <v>4123</v>
      </c>
      <c r="K11" s="29">
        <v>4123</v>
      </c>
      <c r="L11" s="29"/>
      <c r="M11" s="158"/>
      <c r="N11" s="160" t="s">
        <v>500</v>
      </c>
      <c r="O11" s="213">
        <v>2930</v>
      </c>
    </row>
    <row r="12" spans="1:15" x14ac:dyDescent="0.25">
      <c r="A12" s="32">
        <v>201</v>
      </c>
      <c r="B12" s="30">
        <v>169.23</v>
      </c>
      <c r="C12" s="30">
        <v>172.13</v>
      </c>
      <c r="D12" s="29">
        <f t="shared" si="1"/>
        <v>2900.0000000000055</v>
      </c>
      <c r="E12" s="64">
        <f>ROUND(D12*D23,0)</f>
        <v>514</v>
      </c>
      <c r="F12" s="29">
        <v>1200</v>
      </c>
      <c r="G12" s="29">
        <f t="shared" si="2"/>
        <v>1714</v>
      </c>
      <c r="H12" s="29">
        <v>50</v>
      </c>
      <c r="I12" s="29">
        <v>165</v>
      </c>
      <c r="J12" s="29">
        <f t="shared" si="3"/>
        <v>1929</v>
      </c>
      <c r="K12" s="29">
        <v>1929</v>
      </c>
      <c r="L12" s="29"/>
      <c r="M12" s="158"/>
      <c r="N12" s="160" t="s">
        <v>253</v>
      </c>
      <c r="O12" s="213">
        <v>15600</v>
      </c>
    </row>
    <row r="13" spans="1:15" x14ac:dyDescent="0.25">
      <c r="A13" s="32">
        <v>202</v>
      </c>
      <c r="B13" s="30">
        <v>347.75</v>
      </c>
      <c r="C13" s="30">
        <v>352.53</v>
      </c>
      <c r="D13" s="29">
        <f t="shared" si="1"/>
        <v>4779.9999999999727</v>
      </c>
      <c r="E13" s="64">
        <f>ROUND(D13*D23,0)</f>
        <v>848</v>
      </c>
      <c r="F13" s="29">
        <v>1200</v>
      </c>
      <c r="G13" s="29">
        <f t="shared" si="2"/>
        <v>2048</v>
      </c>
      <c r="H13" s="29">
        <v>50</v>
      </c>
      <c r="I13" s="29">
        <v>303</v>
      </c>
      <c r="J13" s="29">
        <f t="shared" si="3"/>
        <v>2401</v>
      </c>
      <c r="K13" s="29">
        <v>2401</v>
      </c>
      <c r="L13" s="29"/>
      <c r="M13" s="158"/>
      <c r="N13" s="114" t="s">
        <v>514</v>
      </c>
      <c r="O13" s="213">
        <v>800</v>
      </c>
    </row>
    <row r="14" spans="1:15" x14ac:dyDescent="0.25">
      <c r="A14" s="32">
        <v>203</v>
      </c>
      <c r="B14" s="30">
        <v>97.29</v>
      </c>
      <c r="C14" s="30">
        <v>100.4</v>
      </c>
      <c r="D14" s="29">
        <f t="shared" si="1"/>
        <v>3109.9999999999995</v>
      </c>
      <c r="E14" s="64">
        <f>ROUND(D14*D23,0)</f>
        <v>551</v>
      </c>
      <c r="F14" s="29">
        <v>1200</v>
      </c>
      <c r="G14" s="29">
        <f t="shared" si="2"/>
        <v>1751</v>
      </c>
      <c r="H14" s="29">
        <v>50</v>
      </c>
      <c r="I14" s="29">
        <v>344</v>
      </c>
      <c r="J14" s="29">
        <f t="shared" si="3"/>
        <v>2145</v>
      </c>
      <c r="K14" s="29">
        <v>2145</v>
      </c>
      <c r="L14" s="29"/>
      <c r="M14" s="158"/>
      <c r="N14" s="216" t="s">
        <v>670</v>
      </c>
      <c r="O14">
        <v>150</v>
      </c>
    </row>
    <row r="15" spans="1:15" x14ac:dyDescent="0.25">
      <c r="A15" s="32">
        <v>204</v>
      </c>
      <c r="B15" s="30">
        <v>337.09</v>
      </c>
      <c r="C15" s="30">
        <v>343.37</v>
      </c>
      <c r="D15" s="29">
        <f t="shared" si="1"/>
        <v>6280.0000000000291</v>
      </c>
      <c r="E15" s="64">
        <f>ROUND(D15*D23,0)</f>
        <v>1114</v>
      </c>
      <c r="F15" s="29">
        <v>1200</v>
      </c>
      <c r="G15" s="29">
        <f t="shared" si="2"/>
        <v>2314</v>
      </c>
      <c r="H15" s="29">
        <v>50</v>
      </c>
      <c r="I15" s="29">
        <v>303</v>
      </c>
      <c r="J15" s="29">
        <f t="shared" si="3"/>
        <v>2667</v>
      </c>
      <c r="K15" s="29">
        <v>2667</v>
      </c>
      <c r="L15" s="29"/>
      <c r="M15" s="158"/>
      <c r="N15" s="114" t="s">
        <v>672</v>
      </c>
      <c r="O15" s="114">
        <v>700</v>
      </c>
    </row>
    <row r="16" spans="1:15" x14ac:dyDescent="0.25">
      <c r="A16" s="32">
        <v>301</v>
      </c>
      <c r="B16" s="30">
        <v>120.55</v>
      </c>
      <c r="C16" s="30">
        <v>130.22999999999999</v>
      </c>
      <c r="D16" s="29">
        <f t="shared" si="1"/>
        <v>9679.9999999999927</v>
      </c>
      <c r="E16" s="64">
        <f>ROUND(D16*D23,0)</f>
        <v>1716</v>
      </c>
      <c r="F16" s="29">
        <v>1200</v>
      </c>
      <c r="G16" s="29">
        <f t="shared" si="2"/>
        <v>2916</v>
      </c>
      <c r="H16" s="29">
        <v>50</v>
      </c>
      <c r="I16" s="29">
        <v>56</v>
      </c>
      <c r="J16" s="29">
        <f t="shared" si="3"/>
        <v>3022</v>
      </c>
      <c r="K16" s="29">
        <v>3022</v>
      </c>
      <c r="L16" s="29"/>
      <c r="M16" s="158"/>
      <c r="N16" s="160" t="s">
        <v>673</v>
      </c>
      <c r="O16" s="114">
        <v>2000</v>
      </c>
    </row>
    <row r="17" spans="1:15" x14ac:dyDescent="0.25">
      <c r="A17" s="32">
        <v>302</v>
      </c>
      <c r="B17" s="30">
        <v>250.94</v>
      </c>
      <c r="C17" s="30">
        <v>261.94</v>
      </c>
      <c r="D17" s="29">
        <f t="shared" si="1"/>
        <v>11000</v>
      </c>
      <c r="E17" s="64">
        <f>ROUND(D17*D23,0)</f>
        <v>1951</v>
      </c>
      <c r="F17" s="29">
        <v>1200</v>
      </c>
      <c r="G17" s="29">
        <f t="shared" si="2"/>
        <v>3151</v>
      </c>
      <c r="H17" s="29">
        <v>50</v>
      </c>
      <c r="I17" s="29">
        <v>323</v>
      </c>
      <c r="J17" s="29">
        <f t="shared" si="3"/>
        <v>3524</v>
      </c>
      <c r="K17" s="29">
        <v>3524</v>
      </c>
      <c r="L17" s="119"/>
      <c r="M17" s="158"/>
      <c r="N17" s="217" t="s">
        <v>674</v>
      </c>
      <c r="O17" s="217">
        <f>8400+1650</f>
        <v>10050</v>
      </c>
    </row>
    <row r="18" spans="1:15" x14ac:dyDescent="0.25">
      <c r="A18" s="32">
        <v>303</v>
      </c>
      <c r="B18" s="29">
        <v>102.05</v>
      </c>
      <c r="C18" s="29">
        <v>120.37</v>
      </c>
      <c r="D18" s="29">
        <f t="shared" si="1"/>
        <v>18320.000000000007</v>
      </c>
      <c r="E18" s="64">
        <f>ROUND(D18*D23,0)</f>
        <v>3248</v>
      </c>
      <c r="F18" s="29">
        <v>1200</v>
      </c>
      <c r="G18" s="29">
        <f t="shared" si="2"/>
        <v>4448</v>
      </c>
      <c r="H18" s="29">
        <v>50</v>
      </c>
      <c r="I18" s="29">
        <v>692</v>
      </c>
      <c r="J18" s="29">
        <f t="shared" si="3"/>
        <v>5190</v>
      </c>
      <c r="K18" s="29">
        <v>5190</v>
      </c>
      <c r="L18" s="29"/>
      <c r="M18" s="158"/>
      <c r="N18" s="160" t="s">
        <v>227</v>
      </c>
      <c r="O18" s="114">
        <v>230</v>
      </c>
    </row>
    <row r="19" spans="1:15" x14ac:dyDescent="0.25">
      <c r="A19" s="32">
        <v>304</v>
      </c>
      <c r="B19" s="30">
        <v>433.21</v>
      </c>
      <c r="C19" s="30">
        <v>446.65</v>
      </c>
      <c r="D19" s="29">
        <f t="shared" si="1"/>
        <v>13439.999999999998</v>
      </c>
      <c r="E19" s="64">
        <f>ROUND(D19*D23,0)</f>
        <v>2383</v>
      </c>
      <c r="F19" s="29">
        <v>1200</v>
      </c>
      <c r="G19" s="29">
        <f t="shared" si="2"/>
        <v>3583</v>
      </c>
      <c r="H19" s="29">
        <v>50</v>
      </c>
      <c r="I19" s="29">
        <v>594</v>
      </c>
      <c r="J19" s="29">
        <f t="shared" si="3"/>
        <v>4227</v>
      </c>
      <c r="K19" s="29">
        <v>4227</v>
      </c>
      <c r="L19" s="29"/>
      <c r="M19" s="158"/>
      <c r="N19" s="114"/>
      <c r="O19" s="214"/>
    </row>
    <row r="20" spans="1:15" x14ac:dyDescent="0.25">
      <c r="A20" s="29" t="s">
        <v>287</v>
      </c>
      <c r="B20" s="30">
        <v>445.09</v>
      </c>
      <c r="C20" s="30">
        <v>457.52</v>
      </c>
      <c r="D20" s="29">
        <f t="shared" si="1"/>
        <v>12430.000000000007</v>
      </c>
      <c r="E20" s="64">
        <f>ROUND(D20*D23,0)</f>
        <v>2204</v>
      </c>
      <c r="F20" s="29">
        <v>0</v>
      </c>
      <c r="G20" s="29"/>
      <c r="H20" s="29">
        <v>0</v>
      </c>
      <c r="I20" s="29"/>
      <c r="J20" s="29"/>
      <c r="K20" s="29"/>
      <c r="L20" s="29"/>
      <c r="M20" s="51"/>
      <c r="N20" s="114"/>
      <c r="O20" s="114"/>
    </row>
    <row r="21" spans="1:15" x14ac:dyDescent="0.25">
      <c r="A21" s="29"/>
      <c r="B21" s="29"/>
      <c r="C21" s="29"/>
      <c r="D21" s="29"/>
      <c r="E21" s="29"/>
      <c r="F21" s="49"/>
      <c r="G21" s="49"/>
      <c r="H21" s="49">
        <f>SUM(H2:H20)</f>
        <v>800</v>
      </c>
      <c r="I21" s="49"/>
      <c r="J21" s="49">
        <f>SUM(J2:J20)</f>
        <v>45873</v>
      </c>
      <c r="K21" s="49">
        <f>SUM(K2:K19)</f>
        <v>45873</v>
      </c>
      <c r="L21" s="49"/>
      <c r="M21" s="29"/>
      <c r="N21" s="114"/>
      <c r="O21" s="121">
        <f>SUM(O9:O20)</f>
        <v>41004</v>
      </c>
    </row>
    <row r="22" spans="1:15" x14ac:dyDescent="0.25">
      <c r="A22" s="29"/>
      <c r="B22" s="29" t="s">
        <v>75</v>
      </c>
      <c r="C22" s="29"/>
      <c r="D22" s="30">
        <f>SUM(D4:D20)</f>
        <v>131119.99999999994</v>
      </c>
      <c r="E22" s="202">
        <f>SUM(E4:E20)</f>
        <v>23250</v>
      </c>
      <c r="F22" s="29"/>
      <c r="G22" s="29"/>
      <c r="H22" s="29"/>
      <c r="I22" s="29"/>
      <c r="J22" s="29"/>
      <c r="K22" s="29"/>
      <c r="L22" s="29"/>
      <c r="M22" s="29"/>
      <c r="N22" s="152"/>
      <c r="O22" s="152"/>
    </row>
    <row r="23" spans="1:15" ht="30" x14ac:dyDescent="0.25">
      <c r="A23" s="29"/>
      <c r="B23" s="29" t="s">
        <v>243</v>
      </c>
      <c r="C23" s="119" t="s">
        <v>641</v>
      </c>
      <c r="D23" s="111">
        <f>B24/D22</f>
        <v>0.17731848688224536</v>
      </c>
      <c r="E23" s="29"/>
      <c r="F23" s="29"/>
      <c r="G23" s="29" t="s">
        <v>205</v>
      </c>
      <c r="H23" s="29"/>
      <c r="I23" s="29"/>
      <c r="J23" s="29"/>
      <c r="K23" s="29"/>
      <c r="L23" s="29"/>
      <c r="M23" s="29"/>
      <c r="N23" s="114"/>
      <c r="O23" s="114"/>
    </row>
    <row r="24" spans="1:15" ht="45" x14ac:dyDescent="0.25">
      <c r="A24" s="119" t="s">
        <v>85</v>
      </c>
      <c r="B24" s="30">
        <f>(11*1200)+(6*1400)+550+1100</f>
        <v>23250</v>
      </c>
      <c r="C24" s="119" t="s">
        <v>671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B07B6-5003-4528-9C4B-2A27388F1DF4}">
  <dimension ref="A1:N24"/>
  <sheetViews>
    <sheetView zoomScale="80" zoomScaleNormal="80" workbookViewId="0">
      <selection activeCell="N15" sqref="N15"/>
    </sheetView>
  </sheetViews>
  <sheetFormatPr defaultRowHeight="15" x14ac:dyDescent="0.25"/>
  <cols>
    <col min="1" max="1" width="12.140625" bestFit="1" customWidth="1"/>
    <col min="2" max="2" width="21.28515625" bestFit="1" customWidth="1"/>
    <col min="3" max="3" width="20.28515625" customWidth="1"/>
    <col min="4" max="4" width="10" bestFit="1" customWidth="1"/>
    <col min="5" max="5" width="9" bestFit="1" customWidth="1"/>
    <col min="6" max="6" width="20.140625" bestFit="1" customWidth="1"/>
    <col min="7" max="7" width="16.85546875" bestFit="1" customWidth="1"/>
    <col min="8" max="8" width="15.42578125" bestFit="1" customWidth="1"/>
    <col min="9" max="9" width="6.7109375" bestFit="1" customWidth="1"/>
    <col min="11" max="11" width="4.140625" customWidth="1"/>
    <col min="12" max="12" width="14.28515625" hidden="1" customWidth="1"/>
    <col min="13" max="13" width="49.28515625" customWidth="1"/>
  </cols>
  <sheetData>
    <row r="1" spans="1:14" x14ac:dyDescent="0.25">
      <c r="A1" s="49" t="s">
        <v>642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367</v>
      </c>
      <c r="J1" s="146" t="s">
        <v>421</v>
      </c>
      <c r="K1" s="146"/>
      <c r="L1" s="146" t="s">
        <v>128</v>
      </c>
      <c r="M1" s="154" t="s">
        <v>685</v>
      </c>
      <c r="N1" s="215">
        <v>8538</v>
      </c>
    </row>
    <row r="2" spans="1:14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f>G2+H2</f>
        <v>300</v>
      </c>
      <c r="J2" s="29"/>
      <c r="K2" s="29"/>
      <c r="L2" s="158"/>
      <c r="M2" s="148"/>
      <c r="N2" s="149"/>
    </row>
    <row r="3" spans="1:14" x14ac:dyDescent="0.25">
      <c r="A3" s="72" t="s">
        <v>132</v>
      </c>
      <c r="B3" s="30" t="s">
        <v>131</v>
      </c>
      <c r="C3" s="30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f t="shared" ref="I3:I20" si="0">G3+H3</f>
        <v>300</v>
      </c>
      <c r="J3" s="29"/>
      <c r="K3" s="29"/>
      <c r="L3" s="158"/>
      <c r="M3" s="148"/>
      <c r="N3" s="148"/>
    </row>
    <row r="4" spans="1:14" x14ac:dyDescent="0.25">
      <c r="A4" s="32" t="s">
        <v>68</v>
      </c>
      <c r="B4" s="30">
        <v>177.59</v>
      </c>
      <c r="C4" s="30">
        <v>183.63</v>
      </c>
      <c r="D4" s="29">
        <f>(C4-B4)*1000</f>
        <v>6039.9999999999918</v>
      </c>
      <c r="E4" s="64">
        <f>ROUND(D4*D23,0)</f>
        <v>964</v>
      </c>
      <c r="F4" s="29">
        <v>1200</v>
      </c>
      <c r="G4" s="29">
        <f t="shared" ref="G4:G19" si="1">SUM(E4,F4)</f>
        <v>2164</v>
      </c>
      <c r="H4" s="29">
        <v>50</v>
      </c>
      <c r="I4" s="29">
        <f t="shared" si="0"/>
        <v>2214</v>
      </c>
      <c r="J4" s="29"/>
      <c r="K4" s="156"/>
      <c r="L4" s="158"/>
      <c r="M4" s="160"/>
      <c r="N4" s="160"/>
    </row>
    <row r="5" spans="1:14" x14ac:dyDescent="0.25">
      <c r="A5" s="32" t="s">
        <v>70</v>
      </c>
      <c r="B5" s="30">
        <v>254.47</v>
      </c>
      <c r="C5" s="30">
        <v>260.68</v>
      </c>
      <c r="D5" s="29">
        <f t="shared" ref="D5:D20" si="2">(C5-B5)*1000</f>
        <v>6210.0000000000082</v>
      </c>
      <c r="E5" s="64">
        <f>ROUND(D5*D23,0)</f>
        <v>991</v>
      </c>
      <c r="F5" s="29">
        <v>1200</v>
      </c>
      <c r="G5" s="29">
        <f t="shared" si="1"/>
        <v>2191</v>
      </c>
      <c r="H5" s="29">
        <v>50</v>
      </c>
      <c r="I5" s="29">
        <f t="shared" si="0"/>
        <v>2241</v>
      </c>
      <c r="J5" s="29"/>
      <c r="K5" s="29"/>
      <c r="L5" s="158"/>
      <c r="M5" s="114"/>
      <c r="N5" s="114"/>
    </row>
    <row r="6" spans="1:14" x14ac:dyDescent="0.25">
      <c r="A6" s="32" t="s">
        <v>16</v>
      </c>
      <c r="B6" s="30">
        <v>491.65</v>
      </c>
      <c r="C6" s="30">
        <v>503.49</v>
      </c>
      <c r="D6" s="29">
        <f t="shared" si="2"/>
        <v>11840.000000000033</v>
      </c>
      <c r="E6" s="64">
        <f>ROUND(D6*D23,0)</f>
        <v>1889</v>
      </c>
      <c r="F6" s="29">
        <v>1200</v>
      </c>
      <c r="G6" s="29">
        <f t="shared" si="1"/>
        <v>3089</v>
      </c>
      <c r="H6" s="29">
        <v>50</v>
      </c>
      <c r="I6" s="29">
        <f t="shared" si="0"/>
        <v>3139</v>
      </c>
      <c r="J6" s="29"/>
      <c r="K6" s="29"/>
      <c r="L6" s="158"/>
      <c r="M6" s="114"/>
      <c r="N6" s="114"/>
    </row>
    <row r="7" spans="1:14" x14ac:dyDescent="0.25">
      <c r="A7" s="32" t="s">
        <v>13</v>
      </c>
      <c r="B7" s="30">
        <v>414.2</v>
      </c>
      <c r="C7" s="30">
        <v>419.93</v>
      </c>
      <c r="D7" s="29">
        <f t="shared" si="2"/>
        <v>5730.0000000000182</v>
      </c>
      <c r="E7" s="64">
        <f>ROUND(D7*D23,0)</f>
        <v>914</v>
      </c>
      <c r="F7" s="29">
        <v>1200</v>
      </c>
      <c r="G7" s="29">
        <f t="shared" si="1"/>
        <v>2114</v>
      </c>
      <c r="H7" s="29">
        <v>50</v>
      </c>
      <c r="I7" s="29">
        <f t="shared" si="0"/>
        <v>2164</v>
      </c>
      <c r="J7" s="29"/>
      <c r="K7" s="29"/>
      <c r="L7" s="158"/>
      <c r="M7" s="114"/>
      <c r="N7" s="114"/>
    </row>
    <row r="8" spans="1:14" x14ac:dyDescent="0.25">
      <c r="A8" s="32">
        <v>101</v>
      </c>
      <c r="B8" s="218">
        <v>103.38</v>
      </c>
      <c r="C8" s="218">
        <v>105.48</v>
      </c>
      <c r="D8" s="29">
        <f t="shared" si="2"/>
        <v>2100.0000000000086</v>
      </c>
      <c r="E8" s="64">
        <f>ROUND(D8*D23,0)</f>
        <v>335</v>
      </c>
      <c r="F8" s="29">
        <v>1200</v>
      </c>
      <c r="G8" s="29">
        <f t="shared" si="1"/>
        <v>1535</v>
      </c>
      <c r="H8" s="29">
        <v>50</v>
      </c>
      <c r="I8" s="29">
        <f t="shared" si="0"/>
        <v>1585</v>
      </c>
      <c r="J8" s="29"/>
      <c r="K8" s="29"/>
      <c r="L8" s="158"/>
      <c r="M8" s="153" t="s">
        <v>677</v>
      </c>
      <c r="N8" s="153"/>
    </row>
    <row r="9" spans="1:14" x14ac:dyDescent="0.25">
      <c r="A9" s="32">
        <v>102</v>
      </c>
      <c r="B9" s="30">
        <v>645.49</v>
      </c>
      <c r="C9" s="30">
        <v>646.30999999999995</v>
      </c>
      <c r="D9" s="29">
        <f t="shared" si="2"/>
        <v>819.99999999993634</v>
      </c>
      <c r="E9" s="64">
        <f>ROUND(D9*D23,0)</f>
        <v>131</v>
      </c>
      <c r="F9" s="29">
        <v>1200</v>
      </c>
      <c r="G9" s="29">
        <f t="shared" si="1"/>
        <v>1331</v>
      </c>
      <c r="H9" s="29">
        <v>50</v>
      </c>
      <c r="I9" s="29">
        <f t="shared" si="0"/>
        <v>1381</v>
      </c>
      <c r="J9" s="29"/>
      <c r="K9" s="29"/>
      <c r="L9" s="158"/>
      <c r="M9" s="114" t="s">
        <v>314</v>
      </c>
      <c r="N9" s="213">
        <v>6500</v>
      </c>
    </row>
    <row r="10" spans="1:14" x14ac:dyDescent="0.25">
      <c r="A10" s="32">
        <v>103</v>
      </c>
      <c r="B10" s="29">
        <v>302.63</v>
      </c>
      <c r="C10" s="29">
        <v>317.70999999999998</v>
      </c>
      <c r="D10" s="29">
        <f t="shared" si="2"/>
        <v>15079.999999999984</v>
      </c>
      <c r="E10" s="64">
        <f>ROUND(D10*D23,0)</f>
        <v>2406</v>
      </c>
      <c r="F10" s="29">
        <v>1200</v>
      </c>
      <c r="G10" s="29">
        <f t="shared" si="1"/>
        <v>3606</v>
      </c>
      <c r="H10" s="29">
        <v>50</v>
      </c>
      <c r="I10" s="29">
        <f t="shared" si="0"/>
        <v>3656</v>
      </c>
      <c r="J10" s="29"/>
      <c r="K10" s="29"/>
      <c r="L10" s="158"/>
      <c r="M10" s="160" t="s">
        <v>520</v>
      </c>
      <c r="N10" s="213">
        <v>2043</v>
      </c>
    </row>
    <row r="11" spans="1:14" x14ac:dyDescent="0.25">
      <c r="A11" s="32">
        <v>104</v>
      </c>
      <c r="B11" s="30">
        <v>181.12</v>
      </c>
      <c r="C11" s="30">
        <v>196.49</v>
      </c>
      <c r="D11" s="29">
        <f t="shared" si="2"/>
        <v>15370.000000000004</v>
      </c>
      <c r="E11" s="64">
        <f>ROUND(D11*D23,0)</f>
        <v>2452</v>
      </c>
      <c r="F11" s="29">
        <v>1200</v>
      </c>
      <c r="G11" s="29">
        <f t="shared" si="1"/>
        <v>3652</v>
      </c>
      <c r="H11" s="29">
        <v>50</v>
      </c>
      <c r="I11" s="29">
        <f t="shared" si="0"/>
        <v>3702</v>
      </c>
      <c r="J11" s="29"/>
      <c r="K11" s="29"/>
      <c r="L11" s="158"/>
      <c r="M11" s="160" t="s">
        <v>500</v>
      </c>
      <c r="N11" s="213">
        <v>3115</v>
      </c>
    </row>
    <row r="12" spans="1:14" x14ac:dyDescent="0.25">
      <c r="A12" s="32">
        <v>201</v>
      </c>
      <c r="B12" s="30">
        <v>172.13</v>
      </c>
      <c r="C12" s="30">
        <v>178.24</v>
      </c>
      <c r="D12" s="29">
        <f t="shared" si="2"/>
        <v>6110.0000000000136</v>
      </c>
      <c r="E12" s="64">
        <f>ROUND(D12*D23,0)</f>
        <v>975</v>
      </c>
      <c r="F12" s="29">
        <v>1200</v>
      </c>
      <c r="G12" s="29">
        <f t="shared" si="1"/>
        <v>2175</v>
      </c>
      <c r="H12" s="29">
        <v>50</v>
      </c>
      <c r="I12" s="29">
        <f t="shared" si="0"/>
        <v>2225</v>
      </c>
      <c r="J12" s="29"/>
      <c r="K12" s="29"/>
      <c r="L12" s="158"/>
      <c r="M12" s="160" t="s">
        <v>253</v>
      </c>
      <c r="N12" s="213">
        <v>12000</v>
      </c>
    </row>
    <row r="13" spans="1:14" x14ac:dyDescent="0.25">
      <c r="A13" s="32">
        <v>202</v>
      </c>
      <c r="B13" s="30">
        <v>352.53</v>
      </c>
      <c r="C13" s="30">
        <v>358.92</v>
      </c>
      <c r="D13" s="29">
        <f t="shared" si="2"/>
        <v>6390.0000000000437</v>
      </c>
      <c r="E13" s="64">
        <f>ROUND(D13*D23,0)</f>
        <v>1020</v>
      </c>
      <c r="F13" s="29">
        <v>1200</v>
      </c>
      <c r="G13" s="29">
        <f t="shared" si="1"/>
        <v>2220</v>
      </c>
      <c r="H13" s="29">
        <v>50</v>
      </c>
      <c r="I13" s="29">
        <f t="shared" si="0"/>
        <v>2270</v>
      </c>
      <c r="J13" s="29"/>
      <c r="K13" s="29"/>
      <c r="L13" s="158"/>
      <c r="M13" s="160" t="s">
        <v>678</v>
      </c>
      <c r="N13" s="223">
        <v>4200</v>
      </c>
    </row>
    <row r="14" spans="1:14" x14ac:dyDescent="0.25">
      <c r="A14" s="32">
        <v>203</v>
      </c>
      <c r="B14" s="30">
        <v>100.4</v>
      </c>
      <c r="C14" s="30">
        <v>110.61</v>
      </c>
      <c r="D14" s="29">
        <f t="shared" si="2"/>
        <v>10209.999999999995</v>
      </c>
      <c r="E14" s="64">
        <f>ROUND(D14*D23,0)</f>
        <v>1629</v>
      </c>
      <c r="F14" s="29">
        <v>1200</v>
      </c>
      <c r="G14" s="29">
        <f t="shared" si="1"/>
        <v>2829</v>
      </c>
      <c r="H14" s="29">
        <v>50</v>
      </c>
      <c r="I14" s="29">
        <f t="shared" si="0"/>
        <v>2879</v>
      </c>
      <c r="J14" s="29"/>
      <c r="K14" s="29"/>
      <c r="L14" s="158"/>
      <c r="M14" s="114" t="s">
        <v>514</v>
      </c>
      <c r="N14" s="213">
        <v>800</v>
      </c>
    </row>
    <row r="15" spans="1:14" x14ac:dyDescent="0.25">
      <c r="A15" s="32">
        <v>204</v>
      </c>
      <c r="B15" s="30">
        <v>343.37</v>
      </c>
      <c r="C15" s="30">
        <v>350.16</v>
      </c>
      <c r="D15" s="29">
        <f t="shared" si="2"/>
        <v>6790.00000000002</v>
      </c>
      <c r="E15" s="64">
        <f>ROUND(D15*D23,0)</f>
        <v>1083</v>
      </c>
      <c r="F15" s="29">
        <v>1200</v>
      </c>
      <c r="G15" s="29">
        <f t="shared" si="1"/>
        <v>2283</v>
      </c>
      <c r="H15" s="29">
        <v>50</v>
      </c>
      <c r="I15" s="29">
        <f t="shared" si="0"/>
        <v>2333</v>
      </c>
      <c r="J15" s="29"/>
      <c r="K15" s="29"/>
      <c r="L15" s="158"/>
      <c r="M15" s="160" t="s">
        <v>679</v>
      </c>
      <c r="N15" s="214">
        <v>6000</v>
      </c>
    </row>
    <row r="16" spans="1:14" x14ac:dyDescent="0.25">
      <c r="A16" s="32">
        <v>301</v>
      </c>
      <c r="B16" s="30">
        <v>130.22999999999999</v>
      </c>
      <c r="C16" s="30">
        <v>139.38999999999999</v>
      </c>
      <c r="D16" s="29">
        <f t="shared" si="2"/>
        <v>9159.9999999999964</v>
      </c>
      <c r="E16" s="64">
        <f>ROUND(D16*D23,0)</f>
        <v>1462</v>
      </c>
      <c r="F16" s="29">
        <v>1200</v>
      </c>
      <c r="G16" s="29">
        <f t="shared" si="1"/>
        <v>2662</v>
      </c>
      <c r="H16" s="29">
        <v>50</v>
      </c>
      <c r="I16" s="29">
        <f t="shared" si="0"/>
        <v>2712</v>
      </c>
      <c r="J16" s="29"/>
      <c r="K16" s="29"/>
      <c r="L16" s="158"/>
      <c r="M16" s="114" t="s">
        <v>680</v>
      </c>
      <c r="N16" s="214">
        <v>1000</v>
      </c>
    </row>
    <row r="17" spans="1:14" x14ac:dyDescent="0.25">
      <c r="A17" s="32">
        <v>302</v>
      </c>
      <c r="B17" s="30">
        <v>261.94</v>
      </c>
      <c r="C17" s="30">
        <v>271.3</v>
      </c>
      <c r="D17" s="29">
        <f t="shared" si="2"/>
        <v>9360.0000000000146</v>
      </c>
      <c r="E17" s="64">
        <f>ROUND(D17*D23,0)</f>
        <v>1493</v>
      </c>
      <c r="F17" s="29">
        <v>1200</v>
      </c>
      <c r="G17" s="29">
        <f t="shared" si="1"/>
        <v>2693</v>
      </c>
      <c r="H17" s="29">
        <v>50</v>
      </c>
      <c r="I17" s="29">
        <f t="shared" si="0"/>
        <v>2743</v>
      </c>
      <c r="J17" s="29"/>
      <c r="K17" s="119"/>
      <c r="L17" s="158"/>
      <c r="M17" s="160" t="s">
        <v>681</v>
      </c>
      <c r="N17" s="214">
        <v>1200</v>
      </c>
    </row>
    <row r="18" spans="1:14" x14ac:dyDescent="0.25">
      <c r="A18" s="32">
        <v>303</v>
      </c>
      <c r="B18" s="29">
        <v>120.37</v>
      </c>
      <c r="C18" s="29">
        <v>133.03</v>
      </c>
      <c r="D18" s="29">
        <f t="shared" si="2"/>
        <v>12659.999999999996</v>
      </c>
      <c r="E18" s="64">
        <f>ROUND(D18*D23,0)</f>
        <v>2020</v>
      </c>
      <c r="F18" s="29">
        <v>1200</v>
      </c>
      <c r="G18" s="29">
        <f t="shared" si="1"/>
        <v>3220</v>
      </c>
      <c r="H18" s="29">
        <v>50</v>
      </c>
      <c r="I18" s="29">
        <f t="shared" si="0"/>
        <v>3270</v>
      </c>
      <c r="J18" s="29"/>
      <c r="K18" s="29"/>
      <c r="L18" s="158"/>
      <c r="M18" s="224" t="s">
        <v>682</v>
      </c>
      <c r="N18" s="214">
        <v>6000</v>
      </c>
    </row>
    <row r="19" spans="1:14" x14ac:dyDescent="0.25">
      <c r="A19" s="32">
        <v>304</v>
      </c>
      <c r="B19" s="30">
        <v>446.65</v>
      </c>
      <c r="C19" s="30">
        <v>458.08</v>
      </c>
      <c r="D19" s="29">
        <f t="shared" si="2"/>
        <v>11430.000000000007</v>
      </c>
      <c r="E19" s="64">
        <f>ROUND(D19*D23,0)</f>
        <v>1824</v>
      </c>
      <c r="F19" s="29">
        <v>1200</v>
      </c>
      <c r="G19" s="29">
        <f t="shared" si="1"/>
        <v>3024</v>
      </c>
      <c r="H19" s="29">
        <v>50</v>
      </c>
      <c r="I19" s="29">
        <f t="shared" si="0"/>
        <v>3074</v>
      </c>
      <c r="J19" s="29"/>
      <c r="K19" s="29"/>
      <c r="L19" s="158"/>
      <c r="M19" s="160" t="s">
        <v>683</v>
      </c>
      <c r="N19" s="214">
        <v>367</v>
      </c>
    </row>
    <row r="20" spans="1:14" x14ac:dyDescent="0.25">
      <c r="A20" s="29" t="s">
        <v>287</v>
      </c>
      <c r="B20" s="30">
        <v>457.52</v>
      </c>
      <c r="C20" s="30">
        <v>468.88</v>
      </c>
      <c r="D20" s="29">
        <f t="shared" si="2"/>
        <v>11360.000000000015</v>
      </c>
      <c r="E20" s="64">
        <f>ROUND(D20*D23,0)</f>
        <v>1813</v>
      </c>
      <c r="F20" s="29">
        <v>0</v>
      </c>
      <c r="G20" s="29"/>
      <c r="H20" s="29">
        <v>0</v>
      </c>
      <c r="I20" s="29">
        <f t="shared" si="0"/>
        <v>0</v>
      </c>
      <c r="J20" s="29"/>
      <c r="K20" s="29"/>
      <c r="L20" s="51"/>
      <c r="M20" s="114" t="s">
        <v>684</v>
      </c>
      <c r="N20" s="214">
        <v>448</v>
      </c>
    </row>
    <row r="21" spans="1:14" x14ac:dyDescent="0.25">
      <c r="A21" s="29"/>
      <c r="B21" s="29"/>
      <c r="C21" s="29"/>
      <c r="D21" s="29"/>
      <c r="E21" s="29"/>
      <c r="F21" s="49"/>
      <c r="G21" s="49"/>
      <c r="H21" s="49">
        <f>SUM(H2:H20)</f>
        <v>800</v>
      </c>
      <c r="I21" s="49">
        <f>SUM(I2:I20)</f>
        <v>42188</v>
      </c>
      <c r="J21" s="49">
        <f>SUM(J2:J19)</f>
        <v>0</v>
      </c>
      <c r="K21" s="49"/>
      <c r="L21" s="29"/>
      <c r="M21" s="114"/>
      <c r="N21" s="121">
        <f>SUM(N9:N20)</f>
        <v>43673</v>
      </c>
    </row>
    <row r="22" spans="1:14" x14ac:dyDescent="0.25">
      <c r="A22" s="29"/>
      <c r="B22" s="29" t="s">
        <v>75</v>
      </c>
      <c r="C22" s="29"/>
      <c r="D22" s="30">
        <f>SUM(D4:D20)</f>
        <v>146660.00000000012</v>
      </c>
      <c r="E22" s="202">
        <f>SUM(E4:E20)</f>
        <v>23401</v>
      </c>
      <c r="F22" s="29"/>
      <c r="G22" s="29"/>
      <c r="H22" s="29"/>
      <c r="I22" s="29"/>
      <c r="J22" s="29"/>
      <c r="K22" s="29"/>
      <c r="L22" s="29"/>
      <c r="M22" s="152"/>
      <c r="N22" s="152"/>
    </row>
    <row r="23" spans="1:14" ht="30" x14ac:dyDescent="0.25">
      <c r="A23" s="29"/>
      <c r="B23" s="29" t="s">
        <v>243</v>
      </c>
      <c r="C23" s="119" t="s">
        <v>641</v>
      </c>
      <c r="D23" s="111">
        <f>B24/D22</f>
        <v>0.15955270694122448</v>
      </c>
      <c r="E23" s="29"/>
      <c r="F23" s="29"/>
      <c r="G23" s="29" t="s">
        <v>205</v>
      </c>
      <c r="H23" s="29"/>
      <c r="I23" s="29"/>
      <c r="J23" s="29"/>
      <c r="K23" s="29"/>
      <c r="L23" s="29"/>
      <c r="M23" s="114"/>
      <c r="N23" s="114"/>
    </row>
    <row r="24" spans="1:14" ht="30" x14ac:dyDescent="0.25">
      <c r="A24" s="119" t="s">
        <v>85</v>
      </c>
      <c r="B24" s="30">
        <f>(16*1200)+(3*1400)</f>
        <v>23400</v>
      </c>
      <c r="C24" s="119" t="s">
        <v>686</v>
      </c>
      <c r="D24" s="29"/>
      <c r="E24" s="29"/>
      <c r="F24" s="29"/>
      <c r="G24" s="29"/>
      <c r="H24" s="29"/>
      <c r="I24" s="29"/>
      <c r="J24" s="29"/>
      <c r="K24" s="29"/>
      <c r="L24" s="29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FCA79-7437-448D-9D08-F680552785DB}">
  <dimension ref="A1:N24"/>
  <sheetViews>
    <sheetView zoomScale="80" zoomScaleNormal="80" workbookViewId="0">
      <selection activeCell="M9" sqref="M9"/>
    </sheetView>
  </sheetViews>
  <sheetFormatPr defaultRowHeight="15" x14ac:dyDescent="0.25"/>
  <cols>
    <col min="1" max="1" width="12.140625" bestFit="1" customWidth="1"/>
    <col min="2" max="2" width="21.28515625" bestFit="1" customWidth="1"/>
    <col min="3" max="3" width="20.28515625" style="219" customWidth="1"/>
    <col min="4" max="4" width="12" customWidth="1"/>
    <col min="5" max="5" width="9" bestFit="1" customWidth="1"/>
    <col min="6" max="6" width="20.140625" bestFit="1" customWidth="1"/>
    <col min="7" max="7" width="16.85546875" bestFit="1" customWidth="1"/>
    <col min="8" max="8" width="15.42578125" bestFit="1" customWidth="1"/>
    <col min="9" max="9" width="6.7109375" bestFit="1" customWidth="1"/>
    <col min="11" max="11" width="4.140625" customWidth="1"/>
    <col min="12" max="12" width="14.28515625" hidden="1" customWidth="1"/>
    <col min="13" max="13" width="49.28515625" customWidth="1"/>
  </cols>
  <sheetData>
    <row r="1" spans="1:14" x14ac:dyDescent="0.25">
      <c r="A1" s="49" t="s">
        <v>642</v>
      </c>
      <c r="B1" s="49" t="s">
        <v>80</v>
      </c>
      <c r="C1" s="49" t="s">
        <v>236</v>
      </c>
      <c r="D1" s="146" t="s">
        <v>66</v>
      </c>
      <c r="E1" s="147" t="s">
        <v>52</v>
      </c>
      <c r="F1" s="146" t="s">
        <v>81</v>
      </c>
      <c r="G1" s="146" t="s">
        <v>365</v>
      </c>
      <c r="H1" s="146" t="s">
        <v>366</v>
      </c>
      <c r="I1" s="146" t="s">
        <v>367</v>
      </c>
      <c r="J1" s="146" t="s">
        <v>421</v>
      </c>
      <c r="K1" s="146"/>
      <c r="L1" s="146" t="s">
        <v>128</v>
      </c>
      <c r="M1" s="154" t="s">
        <v>740</v>
      </c>
      <c r="N1" s="215">
        <v>15493</v>
      </c>
    </row>
    <row r="2" spans="1:14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f>G2+H2</f>
        <v>300</v>
      </c>
      <c r="J2" s="29"/>
      <c r="K2" s="29"/>
      <c r="L2" s="158"/>
      <c r="M2" s="148"/>
      <c r="N2" s="149"/>
    </row>
    <row r="3" spans="1:14" x14ac:dyDescent="0.25">
      <c r="A3" s="72" t="s">
        <v>132</v>
      </c>
      <c r="B3" s="30" t="s">
        <v>131</v>
      </c>
      <c r="C3" s="2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f t="shared" ref="I3:I20" si="0">G3+H3</f>
        <v>300</v>
      </c>
      <c r="J3" s="29"/>
      <c r="K3" s="29"/>
      <c r="L3" s="158"/>
      <c r="M3" s="148"/>
      <c r="N3" s="148"/>
    </row>
    <row r="4" spans="1:14" x14ac:dyDescent="0.25">
      <c r="A4" s="32" t="s">
        <v>68</v>
      </c>
      <c r="B4" s="225">
        <v>183.63</v>
      </c>
      <c r="C4" s="232">
        <v>189.3</v>
      </c>
      <c r="D4" s="228">
        <f>(C4-B4)*1000</f>
        <v>5670.0000000000164</v>
      </c>
      <c r="E4" s="64">
        <f>ROUND(D4*D23,0)</f>
        <v>833</v>
      </c>
      <c r="F4" s="29">
        <v>1200</v>
      </c>
      <c r="G4" s="29">
        <f t="shared" ref="G4:G19" si="1">SUM(E4,F4)</f>
        <v>2033</v>
      </c>
      <c r="H4" s="29">
        <v>50</v>
      </c>
      <c r="I4" s="29">
        <f t="shared" si="0"/>
        <v>2083</v>
      </c>
      <c r="J4" s="29"/>
      <c r="K4" s="156"/>
      <c r="L4" s="158"/>
      <c r="M4" s="160"/>
      <c r="N4" s="160"/>
    </row>
    <row r="5" spans="1:14" x14ac:dyDescent="0.25">
      <c r="A5" s="32" t="s">
        <v>70</v>
      </c>
      <c r="B5" s="225">
        <v>260.68</v>
      </c>
      <c r="C5" s="232">
        <v>266.14</v>
      </c>
      <c r="D5" s="228">
        <f t="shared" ref="D5:D20" si="2">(C5-B5)*1000</f>
        <v>5459.99999999998</v>
      </c>
      <c r="E5" s="64">
        <f>ROUND(D5*D23,0)</f>
        <v>802</v>
      </c>
      <c r="F5" s="29">
        <v>1200</v>
      </c>
      <c r="G5" s="29">
        <f t="shared" si="1"/>
        <v>2002</v>
      </c>
      <c r="H5" s="29">
        <v>50</v>
      </c>
      <c r="I5" s="29">
        <f t="shared" si="0"/>
        <v>2052</v>
      </c>
      <c r="J5" s="29"/>
      <c r="K5" s="29"/>
      <c r="L5" s="158"/>
      <c r="M5" s="114"/>
      <c r="N5" s="114"/>
    </row>
    <row r="6" spans="1:14" x14ac:dyDescent="0.25">
      <c r="A6" s="32" t="s">
        <v>16</v>
      </c>
      <c r="B6" s="225">
        <v>503.49</v>
      </c>
      <c r="C6" s="232">
        <v>514.13</v>
      </c>
      <c r="D6" s="228">
        <f t="shared" si="2"/>
        <v>10639.999999999985</v>
      </c>
      <c r="E6" s="64">
        <f>ROUND(D6*D23,0)</f>
        <v>1563</v>
      </c>
      <c r="F6" s="29">
        <v>1200</v>
      </c>
      <c r="G6" s="29">
        <f t="shared" si="1"/>
        <v>2763</v>
      </c>
      <c r="H6" s="29">
        <v>50</v>
      </c>
      <c r="I6" s="29">
        <f t="shared" si="0"/>
        <v>2813</v>
      </c>
      <c r="J6" s="29"/>
      <c r="K6" s="29"/>
      <c r="L6" s="158"/>
      <c r="M6" s="114"/>
      <c r="N6" s="114"/>
    </row>
    <row r="7" spans="1:14" x14ac:dyDescent="0.25">
      <c r="A7" s="32" t="s">
        <v>13</v>
      </c>
      <c r="B7" s="225">
        <v>419.93</v>
      </c>
      <c r="C7" s="232">
        <v>427</v>
      </c>
      <c r="D7" s="228">
        <f t="shared" si="2"/>
        <v>7069.9999999999927</v>
      </c>
      <c r="E7" s="64">
        <f>ROUND(D7*D23,0)</f>
        <v>1039</v>
      </c>
      <c r="F7" s="29">
        <v>1200</v>
      </c>
      <c r="G7" s="29">
        <f t="shared" si="1"/>
        <v>2239</v>
      </c>
      <c r="H7" s="29">
        <v>50</v>
      </c>
      <c r="I7" s="29">
        <f t="shared" si="0"/>
        <v>2289</v>
      </c>
      <c r="J7" s="29"/>
      <c r="K7" s="29"/>
      <c r="L7" s="158"/>
      <c r="M7" s="114"/>
      <c r="N7" s="114"/>
    </row>
    <row r="8" spans="1:14" x14ac:dyDescent="0.25">
      <c r="A8" s="32">
        <v>101</v>
      </c>
      <c r="B8" s="226">
        <v>105.48</v>
      </c>
      <c r="C8" s="232">
        <v>106.48</v>
      </c>
      <c r="D8" s="228">
        <f t="shared" si="2"/>
        <v>1000</v>
      </c>
      <c r="E8" s="64">
        <f>ROUND(D8*D23,0)</f>
        <v>147</v>
      </c>
      <c r="F8" s="29">
        <v>1200</v>
      </c>
      <c r="G8" s="29">
        <f t="shared" si="1"/>
        <v>1347</v>
      </c>
      <c r="H8" s="29">
        <v>50</v>
      </c>
      <c r="I8" s="29">
        <f t="shared" si="0"/>
        <v>1397</v>
      </c>
      <c r="J8" s="29"/>
      <c r="K8" s="29"/>
      <c r="L8" s="158"/>
      <c r="M8" s="153" t="s">
        <v>743</v>
      </c>
      <c r="N8" s="153"/>
    </row>
    <row r="9" spans="1:14" x14ac:dyDescent="0.25">
      <c r="A9" s="32">
        <v>102</v>
      </c>
      <c r="B9" s="225">
        <v>646.30999999999995</v>
      </c>
      <c r="C9" s="232">
        <v>646.96</v>
      </c>
      <c r="D9" s="228">
        <f t="shared" si="2"/>
        <v>650.00000000009095</v>
      </c>
      <c r="E9" s="64">
        <f>ROUND(D9*D23,0)</f>
        <v>95</v>
      </c>
      <c r="F9" s="29">
        <v>1200</v>
      </c>
      <c r="G9" s="29">
        <f t="shared" si="1"/>
        <v>1295</v>
      </c>
      <c r="H9" s="29">
        <v>50</v>
      </c>
      <c r="I9" s="29">
        <f t="shared" si="0"/>
        <v>1345</v>
      </c>
      <c r="J9" s="29"/>
      <c r="K9" s="29"/>
      <c r="L9" s="158"/>
      <c r="M9" s="114" t="s">
        <v>314</v>
      </c>
      <c r="N9" s="213">
        <v>6500</v>
      </c>
    </row>
    <row r="10" spans="1:14" x14ac:dyDescent="0.25">
      <c r="A10" s="32">
        <v>103</v>
      </c>
      <c r="B10" s="227">
        <v>317.70999999999998</v>
      </c>
      <c r="C10" s="232">
        <v>324.93</v>
      </c>
      <c r="D10" s="228">
        <f t="shared" si="2"/>
        <v>7220.0000000000273</v>
      </c>
      <c r="E10" s="64">
        <f>ROUND(D10*D23,0)</f>
        <v>1061</v>
      </c>
      <c r="F10" s="29">
        <v>1200</v>
      </c>
      <c r="G10" s="29">
        <f t="shared" si="1"/>
        <v>2261</v>
      </c>
      <c r="H10" s="29">
        <v>50</v>
      </c>
      <c r="I10" s="29">
        <f t="shared" si="0"/>
        <v>2311</v>
      </c>
      <c r="J10" s="29"/>
      <c r="K10" s="29"/>
      <c r="L10" s="158"/>
      <c r="M10" s="160" t="s">
        <v>520</v>
      </c>
      <c r="N10" s="213">
        <v>2045</v>
      </c>
    </row>
    <row r="11" spans="1:14" x14ac:dyDescent="0.25">
      <c r="A11" s="32">
        <v>104</v>
      </c>
      <c r="B11" s="225">
        <v>196.49</v>
      </c>
      <c r="C11" s="232">
        <v>208.19</v>
      </c>
      <c r="D11" s="228">
        <f t="shared" si="2"/>
        <v>11699.999999999989</v>
      </c>
      <c r="E11" s="64">
        <f>ROUND(D11*D23,0)</f>
        <v>1719</v>
      </c>
      <c r="F11" s="29">
        <v>1200</v>
      </c>
      <c r="G11" s="29">
        <f t="shared" si="1"/>
        <v>2919</v>
      </c>
      <c r="H11" s="29">
        <v>50</v>
      </c>
      <c r="I11" s="29">
        <f t="shared" si="0"/>
        <v>2969</v>
      </c>
      <c r="J11" s="29"/>
      <c r="K11" s="29"/>
      <c r="L11" s="158"/>
      <c r="M11" s="160" t="s">
        <v>500</v>
      </c>
      <c r="N11" s="213">
        <v>3461</v>
      </c>
    </row>
    <row r="12" spans="1:14" x14ac:dyDescent="0.25">
      <c r="A12" s="32">
        <v>201</v>
      </c>
      <c r="B12" s="225">
        <v>178.24</v>
      </c>
      <c r="C12" s="232">
        <v>180.97</v>
      </c>
      <c r="D12" s="228">
        <f t="shared" si="2"/>
        <v>2729.99999999999</v>
      </c>
      <c r="E12" s="64">
        <f>ROUND(D12*D23,0)</f>
        <v>401</v>
      </c>
      <c r="F12" s="29">
        <v>1200</v>
      </c>
      <c r="G12" s="29">
        <f t="shared" si="1"/>
        <v>1601</v>
      </c>
      <c r="H12" s="29">
        <v>50</v>
      </c>
      <c r="I12" s="29">
        <f t="shared" si="0"/>
        <v>1651</v>
      </c>
      <c r="J12" s="29"/>
      <c r="K12" s="29"/>
      <c r="L12" s="158"/>
      <c r="M12" s="160" t="s">
        <v>253</v>
      </c>
      <c r="N12" s="213">
        <v>19200</v>
      </c>
    </row>
    <row r="13" spans="1:14" x14ac:dyDescent="0.25">
      <c r="A13" s="32">
        <v>202</v>
      </c>
      <c r="B13" s="225">
        <v>358.92</v>
      </c>
      <c r="C13" s="232">
        <v>365.27</v>
      </c>
      <c r="D13" s="228">
        <f t="shared" si="2"/>
        <v>6349.9999999999654</v>
      </c>
      <c r="E13" s="64">
        <f>ROUND(D13*D23,0)</f>
        <v>933</v>
      </c>
      <c r="F13" s="29">
        <v>1200</v>
      </c>
      <c r="G13" s="29">
        <f t="shared" si="1"/>
        <v>2133</v>
      </c>
      <c r="H13" s="29">
        <v>50</v>
      </c>
      <c r="I13" s="29">
        <f t="shared" si="0"/>
        <v>2183</v>
      </c>
      <c r="J13" s="29"/>
      <c r="K13" s="29"/>
      <c r="L13" s="158"/>
      <c r="M13" s="114" t="s">
        <v>514</v>
      </c>
      <c r="N13" s="213">
        <v>800</v>
      </c>
    </row>
    <row r="14" spans="1:14" x14ac:dyDescent="0.25">
      <c r="A14" s="32">
        <v>203</v>
      </c>
      <c r="B14" s="225">
        <v>110.61</v>
      </c>
      <c r="C14" s="232">
        <v>120.94</v>
      </c>
      <c r="D14" s="228">
        <f t="shared" si="2"/>
        <v>10329.999999999998</v>
      </c>
      <c r="E14" s="64">
        <f>ROUND(D14*D23,0)</f>
        <v>1517</v>
      </c>
      <c r="F14" s="29">
        <v>1200</v>
      </c>
      <c r="G14" s="29">
        <f t="shared" si="1"/>
        <v>2717</v>
      </c>
      <c r="H14" s="29">
        <v>50</v>
      </c>
      <c r="I14" s="29">
        <f t="shared" si="0"/>
        <v>2767</v>
      </c>
      <c r="J14" s="29"/>
      <c r="K14" s="29"/>
      <c r="L14" s="158"/>
      <c r="M14" s="160" t="s">
        <v>681</v>
      </c>
      <c r="N14" s="214">
        <v>800</v>
      </c>
    </row>
    <row r="15" spans="1:14" x14ac:dyDescent="0.25">
      <c r="A15" s="32">
        <v>204</v>
      </c>
      <c r="B15" s="225">
        <v>350.16</v>
      </c>
      <c r="C15" s="232">
        <v>357.09</v>
      </c>
      <c r="D15" s="228">
        <f t="shared" si="2"/>
        <v>6929.99999999995</v>
      </c>
      <c r="E15" s="64">
        <f>ROUND(D15*D23,0)</f>
        <v>1018</v>
      </c>
      <c r="F15" s="29">
        <v>1200</v>
      </c>
      <c r="G15" s="29">
        <f t="shared" si="1"/>
        <v>2218</v>
      </c>
      <c r="H15" s="29">
        <v>50</v>
      </c>
      <c r="I15" s="29">
        <f t="shared" si="0"/>
        <v>2268</v>
      </c>
      <c r="J15" s="29"/>
      <c r="K15" s="29"/>
      <c r="L15" s="158"/>
      <c r="M15" s="160" t="s">
        <v>688</v>
      </c>
      <c r="N15" s="214">
        <v>500</v>
      </c>
    </row>
    <row r="16" spans="1:14" x14ac:dyDescent="0.25">
      <c r="A16" s="32">
        <v>301</v>
      </c>
      <c r="B16" s="225">
        <v>139.38999999999999</v>
      </c>
      <c r="C16" s="232">
        <v>145.74</v>
      </c>
      <c r="D16" s="228">
        <f t="shared" si="2"/>
        <v>6350.0000000000227</v>
      </c>
      <c r="E16" s="64">
        <f>ROUND(D16*D23,0)</f>
        <v>933</v>
      </c>
      <c r="F16" s="29">
        <v>1200</v>
      </c>
      <c r="G16" s="29">
        <f t="shared" si="1"/>
        <v>2133</v>
      </c>
      <c r="H16" s="29">
        <v>50</v>
      </c>
      <c r="I16" s="29">
        <f t="shared" si="0"/>
        <v>2183</v>
      </c>
      <c r="J16" s="29"/>
      <c r="K16" s="29"/>
      <c r="L16" s="158"/>
      <c r="M16" s="114" t="s">
        <v>305</v>
      </c>
      <c r="N16" s="214">
        <v>900</v>
      </c>
    </row>
    <row r="17" spans="1:14" x14ac:dyDescent="0.25">
      <c r="A17" s="32">
        <v>302</v>
      </c>
      <c r="B17" s="225">
        <v>271.3</v>
      </c>
      <c r="C17" s="232">
        <v>288.82</v>
      </c>
      <c r="D17" s="228">
        <f t="shared" si="2"/>
        <v>17519.999999999982</v>
      </c>
      <c r="E17" s="64">
        <f>ROUND(D17*D23,0)</f>
        <v>2574</v>
      </c>
      <c r="F17" s="29">
        <v>1200</v>
      </c>
      <c r="G17" s="29">
        <f t="shared" si="1"/>
        <v>3774</v>
      </c>
      <c r="H17" s="29">
        <v>50</v>
      </c>
      <c r="I17" s="29">
        <f t="shared" si="0"/>
        <v>3824</v>
      </c>
      <c r="J17" s="29"/>
      <c r="K17" s="119"/>
      <c r="L17" s="158"/>
      <c r="M17" t="s">
        <v>689</v>
      </c>
      <c r="N17" s="214">
        <v>500</v>
      </c>
    </row>
    <row r="18" spans="1:14" x14ac:dyDescent="0.25">
      <c r="A18" s="32">
        <v>303</v>
      </c>
      <c r="B18" s="227">
        <v>133.03</v>
      </c>
      <c r="C18" s="232">
        <v>142.57</v>
      </c>
      <c r="D18" s="228">
        <f t="shared" si="2"/>
        <v>9539.9999999999927</v>
      </c>
      <c r="E18" s="64">
        <f>ROUND(D18*D23,0)</f>
        <v>1401</v>
      </c>
      <c r="F18" s="29">
        <v>1200</v>
      </c>
      <c r="G18" s="29">
        <f t="shared" si="1"/>
        <v>2601</v>
      </c>
      <c r="H18" s="29">
        <v>50</v>
      </c>
      <c r="I18" s="29">
        <f t="shared" si="0"/>
        <v>2651</v>
      </c>
      <c r="J18" s="29"/>
      <c r="K18" s="29"/>
      <c r="L18" s="158"/>
      <c r="M18" s="224" t="s">
        <v>690</v>
      </c>
      <c r="N18" s="214">
        <v>329</v>
      </c>
    </row>
    <row r="19" spans="1:14" x14ac:dyDescent="0.25">
      <c r="A19" s="32">
        <v>304</v>
      </c>
      <c r="B19" s="225">
        <v>458.08</v>
      </c>
      <c r="C19" s="232">
        <v>468.36</v>
      </c>
      <c r="D19" s="228">
        <f t="shared" si="2"/>
        <v>10280.000000000029</v>
      </c>
      <c r="E19" s="64">
        <f>ROUND(D19*D23,0)</f>
        <v>1510</v>
      </c>
      <c r="F19" s="29">
        <v>1200</v>
      </c>
      <c r="G19" s="29">
        <f t="shared" si="1"/>
        <v>2710</v>
      </c>
      <c r="H19" s="29">
        <v>50</v>
      </c>
      <c r="I19" s="29">
        <f t="shared" si="0"/>
        <v>2760</v>
      </c>
      <c r="J19" s="29"/>
      <c r="K19" s="29"/>
      <c r="L19" s="158"/>
      <c r="M19" s="160" t="s">
        <v>691</v>
      </c>
      <c r="N19" s="214">
        <v>198</v>
      </c>
    </row>
    <row r="20" spans="1:14" x14ac:dyDescent="0.25">
      <c r="A20" s="29" t="s">
        <v>287</v>
      </c>
      <c r="B20" s="225">
        <v>468.88</v>
      </c>
      <c r="C20" s="232">
        <v>480.14</v>
      </c>
      <c r="D20" s="228">
        <f t="shared" si="2"/>
        <v>11259.999999999991</v>
      </c>
      <c r="E20" s="64">
        <f>ROUND(D20*D23,0)</f>
        <v>1654</v>
      </c>
      <c r="F20" s="29">
        <v>0</v>
      </c>
      <c r="G20" s="29"/>
      <c r="H20" s="29">
        <v>0</v>
      </c>
      <c r="I20" s="29">
        <f t="shared" si="0"/>
        <v>0</v>
      </c>
      <c r="J20" s="29"/>
      <c r="K20" s="29"/>
      <c r="L20" s="51"/>
      <c r="M20" s="114"/>
      <c r="N20" s="214"/>
    </row>
    <row r="21" spans="1:14" x14ac:dyDescent="0.25">
      <c r="A21" s="29"/>
      <c r="B21" s="29"/>
      <c r="C21" s="230"/>
      <c r="D21" s="29"/>
      <c r="E21" s="29"/>
      <c r="F21" s="49"/>
      <c r="G21" s="49"/>
      <c r="H21" s="49">
        <f>SUM(H2:H20)</f>
        <v>800</v>
      </c>
      <c r="I21" s="49">
        <f>SUM(I2:I20)</f>
        <v>38146</v>
      </c>
      <c r="J21" s="49">
        <f>SUM(J2:J19)</f>
        <v>0</v>
      </c>
      <c r="K21" s="49"/>
      <c r="L21" s="29"/>
      <c r="M21" s="114"/>
      <c r="N21" s="121">
        <f>SUM(N9:N20)</f>
        <v>35233</v>
      </c>
    </row>
    <row r="22" spans="1:14" x14ac:dyDescent="0.25">
      <c r="A22" s="29"/>
      <c r="B22" s="29" t="s">
        <v>75</v>
      </c>
      <c r="C22" s="29"/>
      <c r="D22" s="30">
        <f>SUM(D4:D20)</f>
        <v>130700.00000000001</v>
      </c>
      <c r="E22" s="202">
        <f>SUM(E4:E20)</f>
        <v>19200</v>
      </c>
      <c r="F22" s="29"/>
      <c r="G22" s="29"/>
      <c r="H22" s="29"/>
      <c r="I22" s="29"/>
      <c r="J22" s="29"/>
      <c r="K22" s="29"/>
      <c r="L22" s="29"/>
      <c r="M22" s="152"/>
      <c r="N22" s="152"/>
    </row>
    <row r="23" spans="1:14" ht="30" x14ac:dyDescent="0.25">
      <c r="A23" s="29"/>
      <c r="B23" s="29" t="s">
        <v>243</v>
      </c>
      <c r="C23" s="119" t="s">
        <v>641</v>
      </c>
      <c r="D23" s="111">
        <f>B24/D22</f>
        <v>0.14690130068859983</v>
      </c>
      <c r="E23" s="29"/>
      <c r="F23" s="29"/>
      <c r="G23" s="29" t="s">
        <v>205</v>
      </c>
      <c r="H23" s="29"/>
      <c r="I23" s="29"/>
      <c r="J23" s="29"/>
      <c r="K23" s="29"/>
      <c r="L23" s="29"/>
      <c r="M23" s="114"/>
      <c r="N23" s="114"/>
    </row>
    <row r="24" spans="1:14" ht="30" x14ac:dyDescent="0.25">
      <c r="A24" s="119" t="s">
        <v>85</v>
      </c>
      <c r="B24" s="30">
        <f>16*1200</f>
        <v>19200</v>
      </c>
      <c r="C24" s="119" t="s">
        <v>687</v>
      </c>
      <c r="D24" s="29"/>
      <c r="E24" s="29"/>
      <c r="F24" s="29"/>
      <c r="G24" s="29"/>
      <c r="H24" s="29"/>
      <c r="I24" s="29"/>
      <c r="J24" s="29"/>
      <c r="K24" s="29"/>
      <c r="L24" s="29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B1830-BC43-4E58-9E7A-1A1C3DB33AED}">
  <dimension ref="A1:N24"/>
  <sheetViews>
    <sheetView zoomScale="76" zoomScaleNormal="80" workbookViewId="0">
      <selection activeCell="N1" sqref="N1"/>
    </sheetView>
  </sheetViews>
  <sheetFormatPr defaultRowHeight="15" x14ac:dyDescent="0.25"/>
  <cols>
    <col min="1" max="1" width="12.140625" bestFit="1" customWidth="1"/>
    <col min="2" max="2" width="21.28515625" bestFit="1" customWidth="1"/>
    <col min="3" max="3" width="20.28515625" style="219" customWidth="1"/>
    <col min="4" max="4" width="12" customWidth="1"/>
    <col min="5" max="5" width="9" bestFit="1" customWidth="1"/>
    <col min="6" max="6" width="20.140625" bestFit="1" customWidth="1"/>
    <col min="7" max="7" width="16.85546875" bestFit="1" customWidth="1"/>
    <col min="8" max="8" width="15.42578125" bestFit="1" customWidth="1"/>
    <col min="9" max="9" width="6.7109375" bestFit="1" customWidth="1"/>
    <col min="10" max="10" width="7.28515625" customWidth="1"/>
    <col min="11" max="11" width="7.42578125" customWidth="1"/>
    <col min="12" max="12" width="14.85546875" bestFit="1" customWidth="1"/>
    <col min="13" max="13" width="27.28515625" customWidth="1"/>
  </cols>
  <sheetData>
    <row r="1" spans="1:14" ht="39.6" customHeight="1" x14ac:dyDescent="0.25">
      <c r="A1" s="261" t="s">
        <v>642</v>
      </c>
      <c r="B1" s="261" t="s">
        <v>80</v>
      </c>
      <c r="C1" s="261" t="s">
        <v>236</v>
      </c>
      <c r="D1" s="262" t="s">
        <v>66</v>
      </c>
      <c r="E1" s="263" t="s">
        <v>52</v>
      </c>
      <c r="F1" s="262" t="s">
        <v>81</v>
      </c>
      <c r="G1" s="262" t="s">
        <v>365</v>
      </c>
      <c r="H1" s="262" t="s">
        <v>366</v>
      </c>
      <c r="I1" s="262" t="s">
        <v>367</v>
      </c>
      <c r="J1" s="262" t="s">
        <v>421</v>
      </c>
      <c r="K1" s="262" t="s">
        <v>128</v>
      </c>
      <c r="L1" s="264" t="s">
        <v>754</v>
      </c>
      <c r="M1" s="150" t="s">
        <v>741</v>
      </c>
      <c r="N1" s="265">
        <v>13955</v>
      </c>
    </row>
    <row r="2" spans="1:14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f>G2+H2</f>
        <v>300</v>
      </c>
      <c r="J2" s="29"/>
      <c r="K2" s="29"/>
      <c r="L2" s="158"/>
      <c r="M2" s="148"/>
      <c r="N2" s="149"/>
    </row>
    <row r="3" spans="1:14" x14ac:dyDescent="0.25">
      <c r="A3" s="72" t="s">
        <v>132</v>
      </c>
      <c r="B3" s="30" t="s">
        <v>131</v>
      </c>
      <c r="C3" s="2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f t="shared" ref="I3:I20" si="0">G3+H3</f>
        <v>300</v>
      </c>
      <c r="J3" s="29"/>
      <c r="K3" s="29"/>
      <c r="L3" s="158"/>
      <c r="M3" s="148"/>
      <c r="N3" s="148"/>
    </row>
    <row r="4" spans="1:14" x14ac:dyDescent="0.25">
      <c r="A4" s="32" t="s">
        <v>68</v>
      </c>
      <c r="B4" s="225">
        <v>189.3</v>
      </c>
      <c r="C4" s="232">
        <v>195.15</v>
      </c>
      <c r="D4" s="228">
        <f>(C4-B4)*1000</f>
        <v>5849.9999999999945</v>
      </c>
      <c r="E4" s="64">
        <f>ROUND(D4*D23,0)</f>
        <v>918</v>
      </c>
      <c r="F4" s="29">
        <v>1200</v>
      </c>
      <c r="G4" s="29">
        <f t="shared" ref="G4:G19" si="1">SUM(E4,F4)</f>
        <v>2118</v>
      </c>
      <c r="H4" s="29">
        <v>50</v>
      </c>
      <c r="I4" s="29">
        <f t="shared" si="0"/>
        <v>2168</v>
      </c>
      <c r="J4" s="29"/>
      <c r="K4" s="156"/>
      <c r="L4" s="158"/>
      <c r="M4" s="160"/>
      <c r="N4" s="160"/>
    </row>
    <row r="5" spans="1:14" x14ac:dyDescent="0.25">
      <c r="A5" s="32" t="s">
        <v>70</v>
      </c>
      <c r="B5" s="225">
        <v>266.14</v>
      </c>
      <c r="C5" s="232">
        <v>269.70999999999998</v>
      </c>
      <c r="D5" s="228">
        <f t="shared" ref="D5:D20" si="2">(C5-B5)*1000</f>
        <v>3569.9999999999932</v>
      </c>
      <c r="E5" s="64">
        <f>ROUND(D5*D23,0)</f>
        <v>560</v>
      </c>
      <c r="F5" s="29">
        <v>1200</v>
      </c>
      <c r="G5" s="29">
        <f t="shared" si="1"/>
        <v>1760</v>
      </c>
      <c r="H5" s="29">
        <v>50</v>
      </c>
      <c r="I5" s="29">
        <f t="shared" si="0"/>
        <v>1810</v>
      </c>
      <c r="J5" s="29"/>
      <c r="K5" s="29"/>
      <c r="L5" s="158"/>
      <c r="M5" s="272" t="s">
        <v>742</v>
      </c>
      <c r="N5" s="272"/>
    </row>
    <row r="6" spans="1:14" x14ac:dyDescent="0.25">
      <c r="A6" s="32" t="s">
        <v>16</v>
      </c>
      <c r="B6" s="225">
        <v>514.13</v>
      </c>
      <c r="C6" s="232">
        <v>523.61</v>
      </c>
      <c r="D6" s="228">
        <f t="shared" si="2"/>
        <v>9480.0000000000182</v>
      </c>
      <c r="E6" s="64">
        <f>ROUND(D6*D23,0)</f>
        <v>1488</v>
      </c>
      <c r="F6" s="29">
        <v>1200</v>
      </c>
      <c r="G6" s="29">
        <f t="shared" si="1"/>
        <v>2688</v>
      </c>
      <c r="H6" s="29">
        <v>50</v>
      </c>
      <c r="I6" s="29">
        <f t="shared" si="0"/>
        <v>2738</v>
      </c>
      <c r="J6" s="29"/>
      <c r="K6" s="29"/>
      <c r="L6" s="158"/>
      <c r="M6" s="114" t="s">
        <v>314</v>
      </c>
      <c r="N6" s="213">
        <v>6500</v>
      </c>
    </row>
    <row r="7" spans="1:14" x14ac:dyDescent="0.25">
      <c r="A7" s="32" t="s">
        <v>13</v>
      </c>
      <c r="B7" s="225">
        <v>427</v>
      </c>
      <c r="C7" s="232">
        <v>434.12</v>
      </c>
      <c r="D7" s="228">
        <f t="shared" si="2"/>
        <v>7120.0000000000045</v>
      </c>
      <c r="E7" s="64">
        <f>ROUND(D7*D23,0)</f>
        <v>1117</v>
      </c>
      <c r="F7" s="29">
        <v>1200</v>
      </c>
      <c r="G7" s="29">
        <f t="shared" si="1"/>
        <v>2317</v>
      </c>
      <c r="H7" s="29">
        <v>50</v>
      </c>
      <c r="I7" s="29">
        <f t="shared" si="0"/>
        <v>2367</v>
      </c>
      <c r="J7" s="29"/>
      <c r="K7" s="29"/>
      <c r="L7" s="158"/>
      <c r="M7" s="160" t="s">
        <v>520</v>
      </c>
      <c r="N7" s="213">
        <v>2044</v>
      </c>
    </row>
    <row r="8" spans="1:14" x14ac:dyDescent="0.25">
      <c r="A8" s="32">
        <v>101</v>
      </c>
      <c r="B8" s="226">
        <v>106.48</v>
      </c>
      <c r="C8" s="232">
        <v>107.67</v>
      </c>
      <c r="D8" s="228">
        <f t="shared" si="2"/>
        <v>1189.9999999999977</v>
      </c>
      <c r="E8" s="64">
        <f>ROUND(D8*D23,0)</f>
        <v>187</v>
      </c>
      <c r="F8" s="29">
        <v>1200</v>
      </c>
      <c r="G8" s="29">
        <f t="shared" si="1"/>
        <v>1387</v>
      </c>
      <c r="H8" s="29">
        <v>50</v>
      </c>
      <c r="I8" s="29">
        <f t="shared" si="0"/>
        <v>1437</v>
      </c>
      <c r="J8" s="29"/>
      <c r="K8" s="29"/>
      <c r="L8" s="158"/>
      <c r="M8" s="160" t="s">
        <v>500</v>
      </c>
      <c r="N8" s="213">
        <v>3457</v>
      </c>
    </row>
    <row r="9" spans="1:14" x14ac:dyDescent="0.25">
      <c r="A9" s="32">
        <v>102</v>
      </c>
      <c r="B9" s="225">
        <v>646.96</v>
      </c>
      <c r="C9" s="232">
        <v>648.16999999999996</v>
      </c>
      <c r="D9" s="228">
        <f t="shared" si="2"/>
        <v>1209.9999999999227</v>
      </c>
      <c r="E9" s="64">
        <f>ROUND(D9*D23,0)</f>
        <v>190</v>
      </c>
      <c r="F9" s="29">
        <v>1200</v>
      </c>
      <c r="G9" s="29">
        <f t="shared" si="1"/>
        <v>1390</v>
      </c>
      <c r="H9" s="29">
        <v>50</v>
      </c>
      <c r="I9" s="29">
        <f t="shared" si="0"/>
        <v>1440</v>
      </c>
      <c r="J9" s="29"/>
      <c r="K9" s="29"/>
      <c r="L9" s="158"/>
      <c r="M9" s="160" t="s">
        <v>253</v>
      </c>
      <c r="N9" s="213">
        <v>19200</v>
      </c>
    </row>
    <row r="10" spans="1:14" x14ac:dyDescent="0.25">
      <c r="A10" s="32">
        <v>103</v>
      </c>
      <c r="B10" s="227">
        <v>324.93</v>
      </c>
      <c r="C10" s="232">
        <v>331.49</v>
      </c>
      <c r="D10" s="228">
        <f t="shared" si="2"/>
        <v>6560.0000000000018</v>
      </c>
      <c r="E10" s="64">
        <f>ROUND(D10*D23,0)</f>
        <v>1029</v>
      </c>
      <c r="F10" s="29">
        <v>1200</v>
      </c>
      <c r="G10" s="29">
        <f t="shared" si="1"/>
        <v>2229</v>
      </c>
      <c r="H10" s="29">
        <v>50</v>
      </c>
      <c r="I10" s="29">
        <f t="shared" si="0"/>
        <v>2279</v>
      </c>
      <c r="J10" s="29"/>
      <c r="K10" s="29"/>
      <c r="L10" s="158"/>
      <c r="M10" s="114" t="s">
        <v>514</v>
      </c>
      <c r="N10" s="213">
        <v>800</v>
      </c>
    </row>
    <row r="11" spans="1:14" x14ac:dyDescent="0.25">
      <c r="A11" s="32">
        <v>104</v>
      </c>
      <c r="B11" s="225">
        <v>208.19</v>
      </c>
      <c r="C11" s="232">
        <v>218.38</v>
      </c>
      <c r="D11" s="228">
        <f t="shared" si="2"/>
        <v>10189.999999999998</v>
      </c>
      <c r="E11" s="64">
        <f>ROUND(D11*D23,0)</f>
        <v>1599</v>
      </c>
      <c r="F11" s="29">
        <v>1200</v>
      </c>
      <c r="G11" s="29">
        <f t="shared" si="1"/>
        <v>2799</v>
      </c>
      <c r="H11" s="29">
        <v>50</v>
      </c>
      <c r="I11" s="29">
        <f t="shared" si="0"/>
        <v>2849</v>
      </c>
      <c r="J11" s="29"/>
      <c r="K11" s="29"/>
      <c r="L11" s="158"/>
      <c r="M11" s="160" t="s">
        <v>744</v>
      </c>
      <c r="N11" s="214">
        <v>100</v>
      </c>
    </row>
    <row r="12" spans="1:14" x14ac:dyDescent="0.25">
      <c r="A12" s="32">
        <v>201</v>
      </c>
      <c r="B12" s="225">
        <v>180.97</v>
      </c>
      <c r="C12" s="232">
        <v>186.16</v>
      </c>
      <c r="D12" s="228">
        <f t="shared" si="2"/>
        <v>5189.9999999999982</v>
      </c>
      <c r="E12" s="64">
        <f>ROUND(D12*D23,0)</f>
        <v>814</v>
      </c>
      <c r="F12" s="29">
        <v>1200</v>
      </c>
      <c r="G12" s="29">
        <f t="shared" si="1"/>
        <v>2014</v>
      </c>
      <c r="H12" s="29">
        <v>50</v>
      </c>
      <c r="I12" s="29">
        <f t="shared" si="0"/>
        <v>2064</v>
      </c>
      <c r="J12" s="29"/>
      <c r="K12" s="29"/>
      <c r="L12" s="158"/>
      <c r="M12" s="160" t="s">
        <v>745</v>
      </c>
      <c r="N12" s="214">
        <v>85</v>
      </c>
    </row>
    <row r="13" spans="1:14" x14ac:dyDescent="0.25">
      <c r="A13" s="32">
        <v>202</v>
      </c>
      <c r="B13" s="225">
        <v>365.27</v>
      </c>
      <c r="C13" s="232">
        <v>371.37</v>
      </c>
      <c r="D13" s="228">
        <f t="shared" si="2"/>
        <v>6100.0000000000227</v>
      </c>
      <c r="E13" s="64">
        <f>ROUND(D13*D23,0)</f>
        <v>957</v>
      </c>
      <c r="F13" s="29">
        <v>1200</v>
      </c>
      <c r="G13" s="29">
        <f t="shared" si="1"/>
        <v>2157</v>
      </c>
      <c r="H13" s="29">
        <v>50</v>
      </c>
      <c r="I13" s="29">
        <f t="shared" si="0"/>
        <v>2207</v>
      </c>
      <c r="J13" s="29"/>
      <c r="K13" s="29"/>
      <c r="L13" s="158"/>
      <c r="M13" s="114" t="s">
        <v>746</v>
      </c>
      <c r="N13" s="214">
        <v>500</v>
      </c>
    </row>
    <row r="14" spans="1:14" x14ac:dyDescent="0.25">
      <c r="A14" s="32">
        <v>203</v>
      </c>
      <c r="B14" s="225">
        <v>120.94</v>
      </c>
      <c r="C14" s="232">
        <v>128.87</v>
      </c>
      <c r="D14" s="228">
        <f t="shared" si="2"/>
        <v>7930.0000000000073</v>
      </c>
      <c r="E14" s="64">
        <f>ROUND(D14*D23,0)</f>
        <v>1244</v>
      </c>
      <c r="F14" s="29">
        <v>1200</v>
      </c>
      <c r="G14" s="29">
        <f t="shared" si="1"/>
        <v>2444</v>
      </c>
      <c r="H14" s="29">
        <v>50</v>
      </c>
      <c r="I14" s="29">
        <f t="shared" si="0"/>
        <v>2494</v>
      </c>
      <c r="J14" s="29"/>
      <c r="K14" s="29"/>
      <c r="L14" s="158">
        <v>300</v>
      </c>
      <c r="M14" s="254" t="s">
        <v>747</v>
      </c>
      <c r="N14" s="214">
        <v>5300</v>
      </c>
    </row>
    <row r="15" spans="1:14" x14ac:dyDescent="0.25">
      <c r="A15" s="32">
        <v>204</v>
      </c>
      <c r="B15" s="225">
        <v>357.09</v>
      </c>
      <c r="C15" s="232">
        <v>362.78</v>
      </c>
      <c r="D15" s="228">
        <f t="shared" si="2"/>
        <v>5689.9999999999982</v>
      </c>
      <c r="E15" s="64">
        <f>ROUND(D15*D23,0)</f>
        <v>893</v>
      </c>
      <c r="F15" s="29">
        <v>1200</v>
      </c>
      <c r="G15" s="29">
        <f t="shared" si="1"/>
        <v>2093</v>
      </c>
      <c r="H15" s="29">
        <v>50</v>
      </c>
      <c r="I15" s="29">
        <f t="shared" si="0"/>
        <v>2143</v>
      </c>
      <c r="J15" s="29"/>
      <c r="K15" s="29"/>
      <c r="L15" s="158"/>
      <c r="M15" s="224" t="s">
        <v>748</v>
      </c>
      <c r="N15" s="214">
        <v>120</v>
      </c>
    </row>
    <row r="16" spans="1:14" x14ac:dyDescent="0.25">
      <c r="A16" s="32">
        <v>301</v>
      </c>
      <c r="B16" s="225">
        <v>145.74</v>
      </c>
      <c r="C16" s="232">
        <v>150.06</v>
      </c>
      <c r="D16" s="228">
        <f t="shared" si="2"/>
        <v>4319.9999999999927</v>
      </c>
      <c r="E16" s="64">
        <f>ROUND(D16*D23,0)</f>
        <v>678</v>
      </c>
      <c r="F16" s="29">
        <v>1200</v>
      </c>
      <c r="G16" s="29">
        <f t="shared" si="1"/>
        <v>1878</v>
      </c>
      <c r="H16" s="29">
        <v>50</v>
      </c>
      <c r="I16" s="29">
        <f t="shared" si="0"/>
        <v>1928</v>
      </c>
      <c r="J16" s="29"/>
      <c r="K16" s="29"/>
      <c r="L16" s="158"/>
      <c r="M16" s="160" t="s">
        <v>749</v>
      </c>
      <c r="N16" s="214">
        <v>150</v>
      </c>
    </row>
    <row r="17" spans="1:14" x14ac:dyDescent="0.25">
      <c r="A17" s="32">
        <v>302</v>
      </c>
      <c r="B17" s="225">
        <v>288.82</v>
      </c>
      <c r="C17" s="232">
        <v>298.43</v>
      </c>
      <c r="D17" s="228">
        <f t="shared" si="2"/>
        <v>9610.0000000000146</v>
      </c>
      <c r="E17" s="64">
        <f>ROUND(D17*D23,0)</f>
        <v>1508</v>
      </c>
      <c r="F17" s="29">
        <v>1200</v>
      </c>
      <c r="G17" s="29">
        <f t="shared" si="1"/>
        <v>2708</v>
      </c>
      <c r="H17" s="29">
        <v>50</v>
      </c>
      <c r="I17" s="29">
        <f t="shared" si="0"/>
        <v>2758</v>
      </c>
      <c r="J17" s="29"/>
      <c r="K17" s="119"/>
      <c r="L17" s="158"/>
      <c r="M17" s="114" t="s">
        <v>750</v>
      </c>
      <c r="N17" s="214">
        <v>100</v>
      </c>
    </row>
    <row r="18" spans="1:14" x14ac:dyDescent="0.25">
      <c r="A18" s="32">
        <v>303</v>
      </c>
      <c r="B18" s="227">
        <v>142.57</v>
      </c>
      <c r="C18" s="232">
        <v>152.01</v>
      </c>
      <c r="D18" s="228">
        <f t="shared" si="2"/>
        <v>9439.9999999999982</v>
      </c>
      <c r="E18" s="64">
        <f>ROUND(D18*D23,0)</f>
        <v>1481</v>
      </c>
      <c r="F18" s="29">
        <v>1200</v>
      </c>
      <c r="G18" s="29">
        <f t="shared" si="1"/>
        <v>2681</v>
      </c>
      <c r="H18" s="29">
        <v>50</v>
      </c>
      <c r="I18" s="29">
        <f t="shared" si="0"/>
        <v>2731</v>
      </c>
      <c r="J18" s="29"/>
      <c r="K18" s="29"/>
      <c r="L18" s="158"/>
      <c r="M18" s="114" t="s">
        <v>400</v>
      </c>
      <c r="N18" s="258">
        <v>100</v>
      </c>
    </row>
    <row r="19" spans="1:14" x14ac:dyDescent="0.25">
      <c r="A19" s="32">
        <v>304</v>
      </c>
      <c r="B19" s="225">
        <v>468.36</v>
      </c>
      <c r="C19" s="232">
        <v>479.68</v>
      </c>
      <c r="D19" s="228">
        <f t="shared" si="2"/>
        <v>11319.999999999993</v>
      </c>
      <c r="E19" s="64">
        <f>ROUND(D19*D23,0)</f>
        <v>1776</v>
      </c>
      <c r="F19" s="29">
        <v>1200</v>
      </c>
      <c r="G19" s="29">
        <f t="shared" si="1"/>
        <v>2976</v>
      </c>
      <c r="H19" s="29">
        <v>50</v>
      </c>
      <c r="I19" s="29">
        <f t="shared" si="0"/>
        <v>3026</v>
      </c>
      <c r="J19" s="29"/>
      <c r="K19" s="29"/>
      <c r="L19" s="158">
        <v>300</v>
      </c>
      <c r="M19" s="256" t="s">
        <v>751</v>
      </c>
      <c r="N19" s="259">
        <v>128</v>
      </c>
    </row>
    <row r="20" spans="1:14" x14ac:dyDescent="0.25">
      <c r="A20" s="29" t="s">
        <v>287</v>
      </c>
      <c r="B20" s="225">
        <v>480.14</v>
      </c>
      <c r="C20" s="232">
        <v>490.08</v>
      </c>
      <c r="D20" s="228">
        <f t="shared" si="2"/>
        <v>9939.9999999999982</v>
      </c>
      <c r="E20" s="64">
        <f>ROUND(D20*D23,0)</f>
        <v>1560</v>
      </c>
      <c r="F20" s="29">
        <v>0</v>
      </c>
      <c r="G20" s="29"/>
      <c r="H20" s="29">
        <v>0</v>
      </c>
      <c r="I20" s="29">
        <f t="shared" si="0"/>
        <v>0</v>
      </c>
      <c r="J20" s="29"/>
      <c r="K20" s="29"/>
      <c r="L20" s="255"/>
      <c r="M20" s="231" t="s">
        <v>752</v>
      </c>
      <c r="N20" s="260">
        <v>500</v>
      </c>
    </row>
    <row r="21" spans="1:14" x14ac:dyDescent="0.25">
      <c r="A21" s="29"/>
      <c r="B21" s="29"/>
      <c r="C21" s="230"/>
      <c r="D21" s="29"/>
      <c r="E21" s="29"/>
      <c r="F21" s="49"/>
      <c r="G21" s="49"/>
      <c r="H21" s="49">
        <f>SUM(H2:H20)</f>
        <v>800</v>
      </c>
      <c r="I21" s="49">
        <f>SUM(I2:I20)</f>
        <v>37039</v>
      </c>
      <c r="J21" s="49">
        <f>SUM(J2:J19)</f>
        <v>0</v>
      </c>
      <c r="K21" s="49"/>
      <c r="L21" s="227"/>
      <c r="M21" s="231" t="s">
        <v>753</v>
      </c>
      <c r="N21" s="260">
        <v>600</v>
      </c>
    </row>
    <row r="22" spans="1:14" x14ac:dyDescent="0.25">
      <c r="A22" s="29"/>
      <c r="B22" s="29" t="s">
        <v>75</v>
      </c>
      <c r="C22" s="29"/>
      <c r="D22" s="30">
        <f>SUM(D4:D20)</f>
        <v>114709.99999999994</v>
      </c>
      <c r="E22" s="202">
        <f>SUM(E4:E20)</f>
        <v>17999</v>
      </c>
      <c r="F22" s="29"/>
      <c r="G22" s="29"/>
      <c r="H22" s="29"/>
      <c r="I22" s="29"/>
      <c r="J22" s="29"/>
      <c r="K22" s="29"/>
      <c r="L22" s="227"/>
      <c r="M22" s="231"/>
      <c r="N22" s="231">
        <f>SUM(N6:N21)</f>
        <v>39684</v>
      </c>
    </row>
    <row r="23" spans="1:14" ht="30" x14ac:dyDescent="0.25">
      <c r="A23" s="29"/>
      <c r="B23" s="29" t="s">
        <v>243</v>
      </c>
      <c r="C23" s="119" t="s">
        <v>641</v>
      </c>
      <c r="D23" s="111">
        <f>B24/D22</f>
        <v>0.15691744398919022</v>
      </c>
      <c r="E23" s="29"/>
      <c r="F23" s="29"/>
      <c r="G23" s="29" t="s">
        <v>205</v>
      </c>
      <c r="H23" s="29"/>
      <c r="I23" s="29"/>
      <c r="J23" s="29"/>
      <c r="K23" s="29"/>
      <c r="L23" s="29"/>
      <c r="M23" s="257"/>
      <c r="N23" s="257"/>
    </row>
    <row r="24" spans="1:14" ht="30" x14ac:dyDescent="0.25">
      <c r="A24" s="119" t="s">
        <v>85</v>
      </c>
      <c r="B24" s="30">
        <f>15*1200</f>
        <v>18000</v>
      </c>
      <c r="C24" s="119" t="s">
        <v>404</v>
      </c>
      <c r="D24" s="29"/>
      <c r="E24" s="29"/>
      <c r="F24" s="29"/>
      <c r="G24" s="29"/>
      <c r="H24" s="29"/>
      <c r="I24" s="29"/>
      <c r="J24" s="29"/>
      <c r="K24" s="29"/>
      <c r="L24" s="29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3737C-3D03-4F44-9EA5-6B30015D71D0}">
  <dimension ref="A1:Q24"/>
  <sheetViews>
    <sheetView zoomScale="74" workbookViewId="0">
      <selection activeCell="J9" sqref="J9"/>
    </sheetView>
  </sheetViews>
  <sheetFormatPr defaultColWidth="10" defaultRowHeight="15" x14ac:dyDescent="0.25"/>
  <cols>
    <col min="2" max="2" width="16.28515625" bestFit="1" customWidth="1"/>
    <col min="3" max="3" width="19.7109375" style="219" customWidth="1"/>
    <col min="4" max="4" width="11.28515625" bestFit="1" customWidth="1"/>
    <col min="5" max="5" width="9.85546875" bestFit="1" customWidth="1"/>
    <col min="6" max="7" width="12.7109375" bestFit="1" customWidth="1"/>
    <col min="8" max="8" width="8.42578125" bestFit="1" customWidth="1"/>
    <col min="9" max="9" width="7.140625" bestFit="1" customWidth="1"/>
    <col min="10" max="10" width="8.5703125" bestFit="1" customWidth="1"/>
    <col min="11" max="11" width="8.85546875" bestFit="1" customWidth="1"/>
    <col min="12" max="12" width="28.5703125" bestFit="1" customWidth="1"/>
    <col min="13" max="13" width="8.42578125" bestFit="1" customWidth="1"/>
    <col min="15" max="15" width="25" bestFit="1" customWidth="1"/>
  </cols>
  <sheetData>
    <row r="1" spans="1:17" ht="39.6" customHeight="1" x14ac:dyDescent="0.25">
      <c r="A1" s="261" t="s">
        <v>642</v>
      </c>
      <c r="B1" s="261" t="s">
        <v>80</v>
      </c>
      <c r="C1" s="261" t="s">
        <v>236</v>
      </c>
      <c r="D1" s="262" t="s">
        <v>66</v>
      </c>
      <c r="E1" s="263" t="s">
        <v>52</v>
      </c>
      <c r="F1" s="262" t="s">
        <v>757</v>
      </c>
      <c r="G1" s="262" t="s">
        <v>365</v>
      </c>
      <c r="H1" s="262" t="s">
        <v>366</v>
      </c>
      <c r="I1" s="262" t="s">
        <v>367</v>
      </c>
      <c r="J1" s="262" t="s">
        <v>421</v>
      </c>
      <c r="K1" s="262" t="s">
        <v>128</v>
      </c>
      <c r="L1" s="150" t="s">
        <v>758</v>
      </c>
      <c r="M1" s="265">
        <v>12058</v>
      </c>
    </row>
    <row r="2" spans="1:17" x14ac:dyDescent="0.25">
      <c r="A2" s="72" t="s">
        <v>130</v>
      </c>
      <c r="B2" s="29" t="s">
        <v>131</v>
      </c>
      <c r="C2" s="29" t="s">
        <v>131</v>
      </c>
      <c r="D2" s="29" t="s">
        <v>131</v>
      </c>
      <c r="E2" s="64" t="s">
        <v>131</v>
      </c>
      <c r="F2" s="29">
        <v>300</v>
      </c>
      <c r="G2" s="29">
        <f>SUM(E3,F3)</f>
        <v>300</v>
      </c>
      <c r="H2" s="29">
        <v>0</v>
      </c>
      <c r="I2" s="29">
        <f>G2+H2</f>
        <v>300</v>
      </c>
      <c r="J2" s="29">
        <v>300</v>
      </c>
      <c r="K2" s="29" t="s">
        <v>98</v>
      </c>
      <c r="L2" s="148"/>
      <c r="M2" s="149"/>
    </row>
    <row r="3" spans="1:17" x14ac:dyDescent="0.25">
      <c r="A3" s="72" t="s">
        <v>132</v>
      </c>
      <c r="B3" s="30" t="s">
        <v>131</v>
      </c>
      <c r="C3" s="229" t="s">
        <v>131</v>
      </c>
      <c r="D3" s="29" t="s">
        <v>131</v>
      </c>
      <c r="E3" s="64" t="s">
        <v>131</v>
      </c>
      <c r="F3" s="29">
        <v>300</v>
      </c>
      <c r="G3" s="29">
        <v>300</v>
      </c>
      <c r="H3" s="29">
        <v>0</v>
      </c>
      <c r="I3" s="29">
        <f t="shared" ref="I3:I20" si="0">G3+H3</f>
        <v>300</v>
      </c>
      <c r="J3" s="29">
        <v>300</v>
      </c>
      <c r="K3" s="29" t="s">
        <v>98</v>
      </c>
      <c r="L3" s="148"/>
      <c r="M3" s="148"/>
    </row>
    <row r="4" spans="1:17" x14ac:dyDescent="0.25">
      <c r="A4" s="32" t="s">
        <v>68</v>
      </c>
      <c r="B4" s="232">
        <v>195.15</v>
      </c>
      <c r="C4" s="232">
        <v>198.03</v>
      </c>
      <c r="D4" s="228">
        <f>(C4-B4)*1000</f>
        <v>2879.9999999999955</v>
      </c>
      <c r="E4" s="64">
        <f>ROUND(D4*D23,0)</f>
        <v>400</v>
      </c>
      <c r="F4" s="29">
        <v>1200</v>
      </c>
      <c r="G4" s="29">
        <f t="shared" ref="G4:G19" si="1">SUM(E4,F4)</f>
        <v>1600</v>
      </c>
      <c r="H4" s="29">
        <v>50</v>
      </c>
      <c r="I4" s="29">
        <f t="shared" si="0"/>
        <v>1650</v>
      </c>
      <c r="J4" s="29">
        <v>1650</v>
      </c>
      <c r="K4" s="156" t="s">
        <v>98</v>
      </c>
      <c r="L4" s="160"/>
      <c r="M4" s="160"/>
    </row>
    <row r="5" spans="1:17" x14ac:dyDescent="0.25">
      <c r="A5" s="32" t="s">
        <v>70</v>
      </c>
      <c r="B5" s="232">
        <v>269.70999999999998</v>
      </c>
      <c r="C5" s="232">
        <v>274.22000000000003</v>
      </c>
      <c r="D5" s="228">
        <f t="shared" ref="D5:D20" si="2">(C5-B5)*1000</f>
        <v>4510.0000000000473</v>
      </c>
      <c r="E5" s="64">
        <f>ROUND(D5*D23,0)</f>
        <v>626</v>
      </c>
      <c r="F5" s="29">
        <v>1200</v>
      </c>
      <c r="G5" s="29">
        <f t="shared" si="1"/>
        <v>1826</v>
      </c>
      <c r="H5" s="29">
        <v>50</v>
      </c>
      <c r="I5" s="29">
        <f t="shared" si="0"/>
        <v>1876</v>
      </c>
      <c r="J5" s="29">
        <v>1876</v>
      </c>
      <c r="K5" s="29" t="s">
        <v>98</v>
      </c>
      <c r="L5" s="272" t="s">
        <v>764</v>
      </c>
      <c r="M5" s="272"/>
      <c r="O5" s="349" t="s">
        <v>765</v>
      </c>
      <c r="P5" s="350"/>
    </row>
    <row r="6" spans="1:17" x14ac:dyDescent="0.25">
      <c r="A6" s="32" t="s">
        <v>16</v>
      </c>
      <c r="B6" s="232">
        <v>523.61</v>
      </c>
      <c r="C6" s="232">
        <v>535.33000000000004</v>
      </c>
      <c r="D6" s="228">
        <f t="shared" si="2"/>
        <v>11720.000000000027</v>
      </c>
      <c r="E6" s="64">
        <f>ROUND(D6*D23,0)</f>
        <v>1628</v>
      </c>
      <c r="F6" s="29">
        <v>1200</v>
      </c>
      <c r="G6" s="29">
        <f t="shared" si="1"/>
        <v>2828</v>
      </c>
      <c r="H6" s="29">
        <v>50</v>
      </c>
      <c r="I6" s="29">
        <f t="shared" si="0"/>
        <v>2878</v>
      </c>
      <c r="J6" s="29">
        <v>2878</v>
      </c>
      <c r="K6" s="29" t="s">
        <v>98</v>
      </c>
      <c r="L6" s="114" t="s">
        <v>314</v>
      </c>
      <c r="M6" s="160">
        <v>6500</v>
      </c>
      <c r="O6" s="274" t="s">
        <v>314</v>
      </c>
      <c r="P6" s="275">
        <v>6500</v>
      </c>
      <c r="Q6" s="233"/>
    </row>
    <row r="7" spans="1:17" x14ac:dyDescent="0.25">
      <c r="A7" s="32" t="s">
        <v>13</v>
      </c>
      <c r="B7" s="232">
        <v>434.12</v>
      </c>
      <c r="C7" s="232">
        <v>442.87</v>
      </c>
      <c r="D7" s="228">
        <f t="shared" si="2"/>
        <v>8750</v>
      </c>
      <c r="E7" s="64">
        <f>ROUND(D7*D23,0)</f>
        <v>1215</v>
      </c>
      <c r="F7" s="29">
        <v>1200</v>
      </c>
      <c r="G7" s="29">
        <f t="shared" si="1"/>
        <v>2415</v>
      </c>
      <c r="H7" s="29">
        <v>50</v>
      </c>
      <c r="I7" s="29">
        <f t="shared" si="0"/>
        <v>2465</v>
      </c>
      <c r="J7" s="29">
        <v>2468</v>
      </c>
      <c r="K7" s="29" t="s">
        <v>98</v>
      </c>
      <c r="L7" s="160" t="s">
        <v>520</v>
      </c>
      <c r="M7" s="160">
        <v>2044</v>
      </c>
      <c r="O7" s="231" t="s">
        <v>514</v>
      </c>
      <c r="P7" s="231">
        <v>800</v>
      </c>
      <c r="Q7" s="233"/>
    </row>
    <row r="8" spans="1:17" x14ac:dyDescent="0.25">
      <c r="A8" s="32">
        <v>101</v>
      </c>
      <c r="B8" s="232">
        <v>107.67</v>
      </c>
      <c r="C8" s="232">
        <v>108.72</v>
      </c>
      <c r="D8" s="228">
        <f t="shared" si="2"/>
        <v>1049.9999999999973</v>
      </c>
      <c r="E8" s="64">
        <f>ROUND(D8*D23,0)</f>
        <v>146</v>
      </c>
      <c r="F8" s="29">
        <v>1200</v>
      </c>
      <c r="G8" s="29">
        <f t="shared" si="1"/>
        <v>1346</v>
      </c>
      <c r="H8" s="29">
        <v>50</v>
      </c>
      <c r="I8" s="29">
        <f t="shared" si="0"/>
        <v>1396</v>
      </c>
      <c r="J8" s="29">
        <v>1396</v>
      </c>
      <c r="K8" s="29" t="s">
        <v>98</v>
      </c>
      <c r="L8" s="160" t="s">
        <v>500</v>
      </c>
      <c r="M8" s="160">
        <v>4162</v>
      </c>
      <c r="O8" s="231" t="s">
        <v>253</v>
      </c>
      <c r="P8" s="231">
        <v>20400</v>
      </c>
      <c r="Q8" s="233"/>
    </row>
    <row r="9" spans="1:17" x14ac:dyDescent="0.25">
      <c r="A9" s="32">
        <v>102</v>
      </c>
      <c r="B9" s="232">
        <v>648.16999999999996</v>
      </c>
      <c r="C9" s="232">
        <v>655.98</v>
      </c>
      <c r="D9" s="228">
        <f t="shared" si="2"/>
        <v>7810.0000000000591</v>
      </c>
      <c r="E9" s="64">
        <f>ROUND(D9*D23,0)</f>
        <v>1085</v>
      </c>
      <c r="F9" s="29">
        <v>1200</v>
      </c>
      <c r="G9" s="29">
        <f t="shared" si="1"/>
        <v>2285</v>
      </c>
      <c r="H9" s="29">
        <v>50</v>
      </c>
      <c r="I9" s="29">
        <f t="shared" si="0"/>
        <v>2335</v>
      </c>
      <c r="J9" s="29">
        <v>2335</v>
      </c>
      <c r="K9" s="29" t="s">
        <v>98</v>
      </c>
      <c r="L9" s="114" t="s">
        <v>514</v>
      </c>
      <c r="M9" s="160">
        <v>800</v>
      </c>
      <c r="O9" s="275" t="s">
        <v>500</v>
      </c>
      <c r="P9" s="231">
        <v>4054</v>
      </c>
      <c r="Q9" s="233"/>
    </row>
    <row r="10" spans="1:17" x14ac:dyDescent="0.25">
      <c r="A10" s="32">
        <v>103</v>
      </c>
      <c r="B10" s="232">
        <v>331.49</v>
      </c>
      <c r="C10" s="232">
        <v>341.83</v>
      </c>
      <c r="D10" s="228">
        <f t="shared" si="2"/>
        <v>10339.999999999975</v>
      </c>
      <c r="E10" s="64">
        <f>ROUND(D10*D23,0)</f>
        <v>1436</v>
      </c>
      <c r="F10" s="29">
        <v>1200</v>
      </c>
      <c r="G10" s="29">
        <f t="shared" si="1"/>
        <v>2636</v>
      </c>
      <c r="H10" s="29">
        <v>50</v>
      </c>
      <c r="I10" s="29">
        <f t="shared" si="0"/>
        <v>2686</v>
      </c>
      <c r="J10" s="29">
        <v>2686</v>
      </c>
      <c r="K10" s="29" t="s">
        <v>98</v>
      </c>
      <c r="L10" s="216" t="s">
        <v>756</v>
      </c>
      <c r="M10" s="160">
        <v>18000</v>
      </c>
      <c r="O10" s="275" t="s">
        <v>520</v>
      </c>
      <c r="P10" s="231">
        <v>2044</v>
      </c>
      <c r="Q10" s="276"/>
    </row>
    <row r="11" spans="1:17" x14ac:dyDescent="0.25">
      <c r="A11" s="32">
        <v>104</v>
      </c>
      <c r="B11" s="232">
        <v>218.38</v>
      </c>
      <c r="C11" s="232">
        <v>229.61</v>
      </c>
      <c r="D11" s="228">
        <f t="shared" si="2"/>
        <v>11230.000000000018</v>
      </c>
      <c r="E11" s="64">
        <f>ROUND(D11*D23,0)</f>
        <v>1560</v>
      </c>
      <c r="F11" s="29">
        <v>1200</v>
      </c>
      <c r="G11" s="29">
        <f t="shared" si="1"/>
        <v>2760</v>
      </c>
      <c r="H11" s="29">
        <v>50</v>
      </c>
      <c r="I11" s="29">
        <f t="shared" si="0"/>
        <v>2810</v>
      </c>
      <c r="J11" s="29">
        <v>2810</v>
      </c>
      <c r="K11" s="29" t="s">
        <v>98</v>
      </c>
      <c r="L11" s="160" t="s">
        <v>476</v>
      </c>
      <c r="M11" s="114">
        <v>5000</v>
      </c>
      <c r="O11" s="236" t="s">
        <v>768</v>
      </c>
      <c r="P11" s="231">
        <f>157+700+450</f>
        <v>1307</v>
      </c>
      <c r="Q11" s="233"/>
    </row>
    <row r="12" spans="1:17" x14ac:dyDescent="0.25">
      <c r="A12" s="32">
        <v>201</v>
      </c>
      <c r="B12" s="232">
        <v>186.16</v>
      </c>
      <c r="C12" s="232">
        <v>195.46</v>
      </c>
      <c r="D12" s="228">
        <f t="shared" si="2"/>
        <v>9300.0000000000109</v>
      </c>
      <c r="E12" s="64">
        <f>ROUND(D12*D23,0)</f>
        <v>1292</v>
      </c>
      <c r="F12" s="29">
        <v>1200</v>
      </c>
      <c r="G12" s="29">
        <f t="shared" si="1"/>
        <v>2492</v>
      </c>
      <c r="H12" s="29">
        <v>50</v>
      </c>
      <c r="I12" s="29">
        <f t="shared" si="0"/>
        <v>2542</v>
      </c>
      <c r="J12" s="29">
        <v>2542</v>
      </c>
      <c r="K12" s="29" t="s">
        <v>98</v>
      </c>
      <c r="L12" s="160" t="s">
        <v>760</v>
      </c>
      <c r="M12" s="114">
        <v>2650</v>
      </c>
      <c r="O12" s="236" t="s">
        <v>769</v>
      </c>
      <c r="P12" s="231">
        <v>200</v>
      </c>
      <c r="Q12" s="233"/>
    </row>
    <row r="13" spans="1:17" x14ac:dyDescent="0.25">
      <c r="A13" s="32">
        <v>202</v>
      </c>
      <c r="B13" s="232">
        <v>371.37</v>
      </c>
      <c r="C13" s="232">
        <v>377.81</v>
      </c>
      <c r="D13" s="228">
        <f t="shared" si="2"/>
        <v>6439.9999999999982</v>
      </c>
      <c r="E13" s="64">
        <f>ROUND(D13*D23,0)</f>
        <v>895</v>
      </c>
      <c r="F13" s="29">
        <v>1200</v>
      </c>
      <c r="G13" s="29">
        <f t="shared" si="1"/>
        <v>2095</v>
      </c>
      <c r="H13" s="29">
        <v>50</v>
      </c>
      <c r="I13" s="29">
        <f t="shared" si="0"/>
        <v>2145</v>
      </c>
      <c r="J13" s="29">
        <v>2145</v>
      </c>
      <c r="K13" s="29" t="s">
        <v>98</v>
      </c>
      <c r="L13" s="114" t="s">
        <v>761</v>
      </c>
      <c r="M13" s="114">
        <v>600</v>
      </c>
      <c r="O13" s="257" t="s">
        <v>770</v>
      </c>
      <c r="P13" s="257">
        <v>273</v>
      </c>
    </row>
    <row r="14" spans="1:17" x14ac:dyDescent="0.25">
      <c r="A14" s="32">
        <v>203</v>
      </c>
      <c r="B14" s="232">
        <v>128.87</v>
      </c>
      <c r="C14" s="232">
        <v>138</v>
      </c>
      <c r="D14" s="228">
        <f t="shared" si="2"/>
        <v>9129.9999999999964</v>
      </c>
      <c r="E14" s="64">
        <f>ROUND(D14*D23,0)</f>
        <v>1268</v>
      </c>
      <c r="F14" s="29">
        <v>1200</v>
      </c>
      <c r="G14" s="29">
        <f t="shared" si="1"/>
        <v>2468</v>
      </c>
      <c r="H14" s="29">
        <v>50</v>
      </c>
      <c r="I14" s="29">
        <f t="shared" si="0"/>
        <v>2518</v>
      </c>
      <c r="J14" s="29">
        <v>2518</v>
      </c>
      <c r="K14" s="29" t="s">
        <v>98</v>
      </c>
      <c r="L14" s="254" t="s">
        <v>635</v>
      </c>
      <c r="M14" s="114">
        <v>800</v>
      </c>
    </row>
    <row r="15" spans="1:17" x14ac:dyDescent="0.25">
      <c r="A15" s="32">
        <v>204</v>
      </c>
      <c r="B15" s="232">
        <v>362.78</v>
      </c>
      <c r="C15" s="232">
        <v>372.34</v>
      </c>
      <c r="D15" s="228">
        <f t="shared" si="2"/>
        <v>9560.0000000000018</v>
      </c>
      <c r="E15" s="64">
        <f>ROUND(D15*D23,0)</f>
        <v>1328</v>
      </c>
      <c r="F15" s="29">
        <v>1200</v>
      </c>
      <c r="G15" s="29">
        <f t="shared" si="1"/>
        <v>2528</v>
      </c>
      <c r="H15" s="29">
        <v>50</v>
      </c>
      <c r="I15" s="29">
        <f t="shared" si="0"/>
        <v>2578</v>
      </c>
      <c r="J15" s="29">
        <v>2578</v>
      </c>
      <c r="K15" s="29" t="s">
        <v>98</v>
      </c>
      <c r="L15" s="224" t="s">
        <v>762</v>
      </c>
      <c r="M15" s="114">
        <v>750</v>
      </c>
      <c r="P15">
        <v>35578</v>
      </c>
    </row>
    <row r="16" spans="1:17" x14ac:dyDescent="0.25">
      <c r="A16" s="32">
        <v>301</v>
      </c>
      <c r="B16" s="232">
        <v>150.06</v>
      </c>
      <c r="C16" s="232">
        <v>156.27000000000001</v>
      </c>
      <c r="D16" s="228">
        <f t="shared" si="2"/>
        <v>6210.0000000000082</v>
      </c>
      <c r="E16" s="64">
        <f>ROUND(D16*D23,0)</f>
        <v>863</v>
      </c>
      <c r="F16" s="29">
        <v>1200</v>
      </c>
      <c r="G16" s="29">
        <f t="shared" si="1"/>
        <v>2063</v>
      </c>
      <c r="H16" s="29">
        <v>50</v>
      </c>
      <c r="I16" s="29">
        <f t="shared" si="0"/>
        <v>2113</v>
      </c>
      <c r="J16" s="29">
        <v>2113</v>
      </c>
      <c r="K16" s="29" t="s">
        <v>98</v>
      </c>
      <c r="L16" s="160" t="s">
        <v>227</v>
      </c>
      <c r="M16" s="114">
        <v>130</v>
      </c>
    </row>
    <row r="17" spans="1:13" x14ac:dyDescent="0.25">
      <c r="A17" s="32">
        <v>302</v>
      </c>
      <c r="B17" s="232">
        <v>298.43</v>
      </c>
      <c r="C17" s="232">
        <v>306.19</v>
      </c>
      <c r="D17" s="228">
        <f t="shared" si="2"/>
        <v>7759.9999999999909</v>
      </c>
      <c r="E17" s="64">
        <f>ROUND(D17*D23,0)</f>
        <v>1078</v>
      </c>
      <c r="F17" s="29">
        <v>1200</v>
      </c>
      <c r="G17" s="29">
        <f t="shared" si="1"/>
        <v>2278</v>
      </c>
      <c r="H17" s="29">
        <v>50</v>
      </c>
      <c r="I17" s="29">
        <f t="shared" si="0"/>
        <v>2328</v>
      </c>
      <c r="J17" s="29">
        <v>2328</v>
      </c>
      <c r="K17" s="119" t="s">
        <v>98</v>
      </c>
      <c r="L17" s="114" t="s">
        <v>763</v>
      </c>
      <c r="M17" s="114">
        <v>50</v>
      </c>
    </row>
    <row r="18" spans="1:13" x14ac:dyDescent="0.25">
      <c r="A18" s="32">
        <v>303</v>
      </c>
      <c r="B18" s="232">
        <v>152.01</v>
      </c>
      <c r="C18" s="232">
        <v>169.66</v>
      </c>
      <c r="D18" s="228">
        <f t="shared" si="2"/>
        <v>17650.000000000007</v>
      </c>
      <c r="E18" s="64">
        <f>ROUND(D18*D23,0)</f>
        <v>2452</v>
      </c>
      <c r="F18" s="29">
        <v>1200</v>
      </c>
      <c r="G18" s="29">
        <f t="shared" si="1"/>
        <v>3652</v>
      </c>
      <c r="H18" s="29">
        <v>50</v>
      </c>
      <c r="I18" s="29">
        <f t="shared" si="0"/>
        <v>3702</v>
      </c>
      <c r="J18" s="29">
        <v>3702</v>
      </c>
      <c r="K18" s="29" t="s">
        <v>98</v>
      </c>
      <c r="L18" s="114" t="s">
        <v>176</v>
      </c>
      <c r="M18" s="121">
        <v>100</v>
      </c>
    </row>
    <row r="19" spans="1:13" x14ac:dyDescent="0.25">
      <c r="A19" s="32">
        <v>304</v>
      </c>
      <c r="B19" s="232">
        <v>479.68</v>
      </c>
      <c r="C19" s="232">
        <v>489.97</v>
      </c>
      <c r="D19" s="228">
        <f t="shared" si="2"/>
        <v>10290.00000000002</v>
      </c>
      <c r="E19" s="64">
        <f>ROUND(D19*D23,0)</f>
        <v>1429</v>
      </c>
      <c r="F19" s="29">
        <v>1200</v>
      </c>
      <c r="G19" s="29">
        <f t="shared" si="1"/>
        <v>2629</v>
      </c>
      <c r="H19" s="29">
        <v>50</v>
      </c>
      <c r="I19" s="29">
        <f t="shared" si="0"/>
        <v>2679</v>
      </c>
      <c r="J19" s="29">
        <v>2679</v>
      </c>
      <c r="K19" s="29" t="s">
        <v>98</v>
      </c>
      <c r="L19" s="256"/>
      <c r="M19" s="256"/>
    </row>
    <row r="20" spans="1:13" x14ac:dyDescent="0.25">
      <c r="A20" s="29" t="s">
        <v>287</v>
      </c>
      <c r="B20" s="232">
        <v>490.08</v>
      </c>
      <c r="C20" s="232">
        <v>502.32</v>
      </c>
      <c r="D20" s="228">
        <f t="shared" si="2"/>
        <v>12240.000000000009</v>
      </c>
      <c r="E20" s="64">
        <f>ROUND(D20*D23,0)</f>
        <v>1700</v>
      </c>
      <c r="F20" s="29">
        <v>0</v>
      </c>
      <c r="G20" s="29"/>
      <c r="H20" s="29">
        <v>0</v>
      </c>
      <c r="I20" s="29">
        <f t="shared" si="0"/>
        <v>0</v>
      </c>
      <c r="J20" s="29"/>
      <c r="K20" s="29"/>
      <c r="L20" s="231"/>
      <c r="M20" s="231"/>
    </row>
    <row r="21" spans="1:13" x14ac:dyDescent="0.25">
      <c r="A21" s="29"/>
      <c r="B21" s="29"/>
      <c r="C21" s="230"/>
      <c r="D21" s="29"/>
      <c r="E21" s="29"/>
      <c r="F21" s="49"/>
      <c r="G21" s="49"/>
      <c r="H21" s="49"/>
      <c r="I21" s="49">
        <f>SUM(I2:I20)</f>
        <v>39301</v>
      </c>
      <c r="J21" s="49">
        <f>SUM(J2:J19)</f>
        <v>39304</v>
      </c>
      <c r="K21" s="49"/>
      <c r="L21" s="231"/>
      <c r="M21" s="231"/>
    </row>
    <row r="22" spans="1:13" x14ac:dyDescent="0.25">
      <c r="A22" s="29"/>
      <c r="B22" s="29" t="s">
        <v>75</v>
      </c>
      <c r="C22" s="29"/>
      <c r="D22" s="30">
        <f>SUM(D4:D20)</f>
        <v>146870.00000000017</v>
      </c>
      <c r="E22" s="202">
        <f>SUM(E4:E20)</f>
        <v>20401</v>
      </c>
      <c r="F22" s="29"/>
      <c r="G22" s="29"/>
      <c r="H22" s="29"/>
      <c r="I22" s="29"/>
      <c r="J22" s="29"/>
      <c r="K22" s="29"/>
      <c r="L22" s="231"/>
      <c r="M22" s="231">
        <f>SUM(M6:M21)</f>
        <v>41586</v>
      </c>
    </row>
    <row r="23" spans="1:13" ht="30" x14ac:dyDescent="0.25">
      <c r="A23" s="29"/>
      <c r="B23" s="29" t="s">
        <v>243</v>
      </c>
      <c r="C23" s="119" t="s">
        <v>641</v>
      </c>
      <c r="D23" s="111">
        <f>B24/D22</f>
        <v>0.13889834547559049</v>
      </c>
      <c r="E23" s="29"/>
      <c r="F23" s="29"/>
      <c r="G23" s="29" t="s">
        <v>205</v>
      </c>
      <c r="H23" s="29">
        <f>J21+M1-P15</f>
        <v>15784</v>
      </c>
      <c r="I23" s="29"/>
      <c r="J23" s="29"/>
      <c r="K23" s="29"/>
      <c r="L23" s="257"/>
      <c r="M23" s="257"/>
    </row>
    <row r="24" spans="1:13" ht="45" x14ac:dyDescent="0.25">
      <c r="A24" s="119" t="s">
        <v>85</v>
      </c>
      <c r="B24" s="30">
        <f>17*1200</f>
        <v>20400</v>
      </c>
      <c r="C24" s="119" t="s">
        <v>759</v>
      </c>
      <c r="D24" s="29"/>
      <c r="E24" s="29"/>
      <c r="F24" s="29"/>
      <c r="G24" s="29"/>
      <c r="H24" s="29"/>
      <c r="I24" s="29"/>
      <c r="J24" s="29"/>
      <c r="K24" s="29"/>
    </row>
  </sheetData>
  <mergeCells count="1">
    <mergeCell ref="O5:P5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50C86-5C4F-42DB-AD70-766CBCA29672}">
  <dimension ref="A1:T40"/>
  <sheetViews>
    <sheetView zoomScale="70" zoomScaleNormal="70" workbookViewId="0">
      <selection activeCell="O20" sqref="O20"/>
    </sheetView>
  </sheetViews>
  <sheetFormatPr defaultColWidth="10" defaultRowHeight="15" x14ac:dyDescent="0.25"/>
  <cols>
    <col min="1" max="1" width="14.42578125" customWidth="1"/>
    <col min="2" max="2" width="23" customWidth="1"/>
    <col min="3" max="3" width="22" style="219" customWidth="1"/>
    <col min="4" max="4" width="12.28515625" customWidth="1"/>
    <col min="5" max="5" width="9.85546875" bestFit="1" customWidth="1"/>
    <col min="6" max="6" width="21.5703125" bestFit="1" customWidth="1"/>
    <col min="7" max="7" width="18.7109375" customWidth="1"/>
    <col min="8" max="8" width="17.28515625" customWidth="1"/>
    <col min="9" max="9" width="8.7109375" customWidth="1"/>
    <col min="10" max="10" width="15.7109375" bestFit="1" customWidth="1"/>
    <col min="11" max="11" width="14.85546875" bestFit="1" customWidth="1"/>
    <col min="12" max="12" width="28.5703125" bestFit="1" customWidth="1"/>
    <col min="13" max="13" width="8.42578125" bestFit="1" customWidth="1"/>
    <col min="15" max="15" width="29.7109375" bestFit="1" customWidth="1"/>
    <col min="18" max="18" width="6.28515625" bestFit="1" customWidth="1"/>
    <col min="19" max="19" width="19.7109375" bestFit="1" customWidth="1"/>
  </cols>
  <sheetData>
    <row r="1" spans="1:20" ht="39.6" customHeight="1" x14ac:dyDescent="0.25">
      <c r="A1" s="282" t="s">
        <v>642</v>
      </c>
      <c r="B1" s="283" t="s">
        <v>80</v>
      </c>
      <c r="C1" s="283" t="s">
        <v>236</v>
      </c>
      <c r="D1" s="284" t="s">
        <v>66</v>
      </c>
      <c r="E1" s="284" t="s">
        <v>52</v>
      </c>
      <c r="F1" s="284" t="s">
        <v>757</v>
      </c>
      <c r="G1" s="284" t="s">
        <v>365</v>
      </c>
      <c r="H1" s="284" t="s">
        <v>366</v>
      </c>
      <c r="I1" s="284" t="s">
        <v>367</v>
      </c>
      <c r="J1" s="284" t="s">
        <v>421</v>
      </c>
      <c r="K1" s="284" t="s">
        <v>128</v>
      </c>
      <c r="L1" s="285" t="s">
        <v>785</v>
      </c>
      <c r="M1" s="286" t="s">
        <v>772</v>
      </c>
    </row>
    <row r="2" spans="1:20" x14ac:dyDescent="0.25">
      <c r="A2" s="279" t="s">
        <v>130</v>
      </c>
      <c r="B2" s="29" t="s">
        <v>131</v>
      </c>
      <c r="C2" s="29" t="s">
        <v>131</v>
      </c>
      <c r="D2" s="29" t="s">
        <v>131</v>
      </c>
      <c r="E2" s="29" t="s">
        <v>131</v>
      </c>
      <c r="F2" s="29">
        <v>300</v>
      </c>
      <c r="G2" s="29">
        <f>SUM(E3,F3)</f>
        <v>300</v>
      </c>
      <c r="H2" s="29">
        <v>0</v>
      </c>
      <c r="I2" s="29">
        <f>G2+H2</f>
        <v>300</v>
      </c>
      <c r="J2" s="287" t="s">
        <v>98</v>
      </c>
      <c r="K2" s="29"/>
      <c r="L2" s="148"/>
      <c r="M2" s="149"/>
    </row>
    <row r="3" spans="1:20" x14ac:dyDescent="0.25">
      <c r="A3" s="279" t="s">
        <v>132</v>
      </c>
      <c r="B3" s="30" t="s">
        <v>131</v>
      </c>
      <c r="C3" s="229" t="s">
        <v>131</v>
      </c>
      <c r="D3" s="29" t="s">
        <v>131</v>
      </c>
      <c r="E3" s="29" t="s">
        <v>131</v>
      </c>
      <c r="F3" s="29">
        <v>300</v>
      </c>
      <c r="G3" s="29">
        <v>300</v>
      </c>
      <c r="H3" s="29">
        <v>0</v>
      </c>
      <c r="I3" s="29">
        <f t="shared" ref="I3:I20" si="0">G3+H3</f>
        <v>300</v>
      </c>
      <c r="J3" s="287" t="s">
        <v>98</v>
      </c>
      <c r="K3" s="29"/>
      <c r="L3" s="148"/>
      <c r="M3" s="148"/>
    </row>
    <row r="4" spans="1:20" x14ac:dyDescent="0.25">
      <c r="A4" s="280" t="s">
        <v>68</v>
      </c>
      <c r="B4" s="232">
        <v>198.03</v>
      </c>
      <c r="C4" s="232">
        <v>203.13</v>
      </c>
      <c r="D4" s="228">
        <f>(C4-B4)*1000</f>
        <v>5099.9999999999945</v>
      </c>
      <c r="E4" s="29">
        <f>ROUND(D4*D23,0)</f>
        <v>787</v>
      </c>
      <c r="F4" s="29">
        <v>1200</v>
      </c>
      <c r="G4" s="29">
        <f t="shared" ref="G4:G19" si="1">SUM(E4,F4)</f>
        <v>1987</v>
      </c>
      <c r="H4" s="29">
        <v>50</v>
      </c>
      <c r="I4" s="29">
        <f t="shared" si="0"/>
        <v>2037</v>
      </c>
      <c r="J4" s="287" t="s">
        <v>98</v>
      </c>
      <c r="K4" s="156"/>
      <c r="L4" s="160"/>
      <c r="M4" s="160"/>
    </row>
    <row r="5" spans="1:20" x14ac:dyDescent="0.25">
      <c r="A5" s="280" t="s">
        <v>70</v>
      </c>
      <c r="B5" s="232">
        <v>274.22000000000003</v>
      </c>
      <c r="C5" s="232">
        <v>279.37</v>
      </c>
      <c r="D5" s="228">
        <f t="shared" ref="D5:D20" si="2">(C5-B5)*1000</f>
        <v>5149.9999999999773</v>
      </c>
      <c r="E5" s="29">
        <f>ROUND(D5*D23,0)</f>
        <v>794</v>
      </c>
      <c r="F5" s="29">
        <v>1200</v>
      </c>
      <c r="G5" s="29">
        <f t="shared" si="1"/>
        <v>1994</v>
      </c>
      <c r="H5" s="29">
        <v>50</v>
      </c>
      <c r="I5" s="29">
        <f t="shared" si="0"/>
        <v>2044</v>
      </c>
      <c r="J5" s="287" t="s">
        <v>98</v>
      </c>
      <c r="K5" s="29"/>
      <c r="L5" s="277" t="s">
        <v>765</v>
      </c>
      <c r="M5" s="278"/>
      <c r="O5" s="291" t="s">
        <v>771</v>
      </c>
      <c r="P5" s="292"/>
      <c r="R5" s="351" t="s">
        <v>786</v>
      </c>
      <c r="S5" s="351"/>
      <c r="T5" s="351"/>
    </row>
    <row r="6" spans="1:20" x14ac:dyDescent="0.25">
      <c r="A6" s="280" t="s">
        <v>16</v>
      </c>
      <c r="B6" s="232">
        <v>535.33000000000004</v>
      </c>
      <c r="C6" s="232">
        <v>550.58000000000004</v>
      </c>
      <c r="D6" s="228">
        <f t="shared" si="2"/>
        <v>15250</v>
      </c>
      <c r="E6" s="29">
        <f>ROUND(D6*D23,0)</f>
        <v>2353</v>
      </c>
      <c r="F6" s="29">
        <v>1200</v>
      </c>
      <c r="G6" s="29">
        <f t="shared" si="1"/>
        <v>3553</v>
      </c>
      <c r="H6" s="29">
        <v>50</v>
      </c>
      <c r="I6" s="29">
        <f t="shared" si="0"/>
        <v>3603</v>
      </c>
      <c r="J6" s="287" t="s">
        <v>98</v>
      </c>
      <c r="K6" s="227"/>
      <c r="L6" s="274" t="s">
        <v>314</v>
      </c>
      <c r="M6" s="275">
        <v>6500</v>
      </c>
      <c r="O6" s="274" t="s">
        <v>314</v>
      </c>
      <c r="P6" s="288">
        <v>6500</v>
      </c>
    </row>
    <row r="7" spans="1:20" x14ac:dyDescent="0.25">
      <c r="A7" s="280" t="s">
        <v>13</v>
      </c>
      <c r="B7" s="232">
        <v>442.87</v>
      </c>
      <c r="C7" s="232">
        <v>450.36</v>
      </c>
      <c r="D7" s="228">
        <f t="shared" si="2"/>
        <v>7490.0000000000091</v>
      </c>
      <c r="E7" s="29">
        <f>ROUND(D7*D23,0)</f>
        <v>1155</v>
      </c>
      <c r="F7" s="29">
        <v>1200</v>
      </c>
      <c r="G7" s="29">
        <f t="shared" si="1"/>
        <v>2355</v>
      </c>
      <c r="H7" s="29">
        <v>50</v>
      </c>
      <c r="I7" s="29">
        <f t="shared" si="0"/>
        <v>2405</v>
      </c>
      <c r="J7" s="287" t="s">
        <v>98</v>
      </c>
      <c r="K7" s="227"/>
      <c r="L7" s="231" t="s">
        <v>514</v>
      </c>
      <c r="M7" s="231">
        <v>800</v>
      </c>
      <c r="O7" s="289" t="s">
        <v>514</v>
      </c>
      <c r="P7" s="288">
        <v>800</v>
      </c>
      <c r="R7" s="351" t="s">
        <v>773</v>
      </c>
      <c r="S7" s="351"/>
    </row>
    <row r="8" spans="1:20" x14ac:dyDescent="0.25">
      <c r="A8" s="280">
        <v>101</v>
      </c>
      <c r="B8" s="232">
        <v>108.72</v>
      </c>
      <c r="C8" s="232">
        <v>109.83</v>
      </c>
      <c r="D8" s="228">
        <f t="shared" si="2"/>
        <v>1109.9999999999995</v>
      </c>
      <c r="E8" s="29">
        <f>ROUND(D8*D23,0)</f>
        <v>171</v>
      </c>
      <c r="F8" s="29">
        <v>1200</v>
      </c>
      <c r="G8" s="29">
        <f t="shared" si="1"/>
        <v>1371</v>
      </c>
      <c r="H8" s="29">
        <v>50</v>
      </c>
      <c r="I8" s="29">
        <f t="shared" si="0"/>
        <v>1421</v>
      </c>
      <c r="J8" s="287" t="s">
        <v>98</v>
      </c>
      <c r="K8" s="227"/>
      <c r="L8" s="231" t="s">
        <v>253</v>
      </c>
      <c r="M8" s="231">
        <v>20400</v>
      </c>
      <c r="O8" s="289" t="s">
        <v>791</v>
      </c>
      <c r="P8" s="288">
        <v>20400</v>
      </c>
      <c r="R8" s="219" t="s">
        <v>68</v>
      </c>
      <c r="S8">
        <v>1000</v>
      </c>
    </row>
    <row r="9" spans="1:20" x14ac:dyDescent="0.25">
      <c r="A9" s="280">
        <v>102</v>
      </c>
      <c r="B9" s="232">
        <v>655.98</v>
      </c>
      <c r="C9" s="232">
        <v>661.34</v>
      </c>
      <c r="D9" s="228">
        <f t="shared" si="2"/>
        <v>5360.0000000000136</v>
      </c>
      <c r="E9" s="29">
        <f>ROUND(D9*D23,0)</f>
        <v>827</v>
      </c>
      <c r="F9" s="29">
        <v>1200</v>
      </c>
      <c r="G9" s="29">
        <f t="shared" si="1"/>
        <v>2027</v>
      </c>
      <c r="H9" s="29">
        <v>50</v>
      </c>
      <c r="I9" s="29">
        <f t="shared" si="0"/>
        <v>2077</v>
      </c>
      <c r="J9" s="287" t="s">
        <v>98</v>
      </c>
      <c r="K9" s="227"/>
      <c r="L9" s="275" t="s">
        <v>500</v>
      </c>
      <c r="M9" s="231">
        <v>4054</v>
      </c>
      <c r="O9" s="274" t="s">
        <v>500</v>
      </c>
      <c r="P9" s="288">
        <v>164</v>
      </c>
      <c r="R9" s="219" t="s">
        <v>70</v>
      </c>
      <c r="S9">
        <v>1000</v>
      </c>
    </row>
    <row r="10" spans="1:20" x14ac:dyDescent="0.25">
      <c r="A10" s="280">
        <v>103</v>
      </c>
      <c r="B10" s="232">
        <v>341.83</v>
      </c>
      <c r="C10" s="232">
        <v>344.27</v>
      </c>
      <c r="D10" s="228">
        <f t="shared" si="2"/>
        <v>2439.9999999999977</v>
      </c>
      <c r="E10" s="29">
        <f>ROUND(D10*D23,0)</f>
        <v>376</v>
      </c>
      <c r="F10" s="29">
        <v>1200</v>
      </c>
      <c r="G10" s="29">
        <f t="shared" si="1"/>
        <v>1576</v>
      </c>
      <c r="H10" s="29">
        <v>50</v>
      </c>
      <c r="I10" s="29">
        <f t="shared" si="0"/>
        <v>1626</v>
      </c>
      <c r="J10" s="287" t="s">
        <v>98</v>
      </c>
      <c r="K10" s="227"/>
      <c r="L10" s="275" t="s">
        <v>520</v>
      </c>
      <c r="M10" s="231">
        <v>2044</v>
      </c>
      <c r="O10" s="274" t="s">
        <v>520</v>
      </c>
      <c r="P10" s="288">
        <v>2044</v>
      </c>
      <c r="R10" s="219" t="s">
        <v>16</v>
      </c>
      <c r="S10">
        <v>1000</v>
      </c>
    </row>
    <row r="11" spans="1:20" x14ac:dyDescent="0.25">
      <c r="A11" s="280">
        <v>104</v>
      </c>
      <c r="B11" s="232">
        <v>229.61</v>
      </c>
      <c r="C11" s="232">
        <v>244.69</v>
      </c>
      <c r="D11" s="228">
        <f t="shared" si="2"/>
        <v>15079.999999999984</v>
      </c>
      <c r="E11" s="29">
        <f>ROUND(D11*D23,0)</f>
        <v>2326</v>
      </c>
      <c r="F11" s="29">
        <v>1200</v>
      </c>
      <c r="G11" s="29">
        <f t="shared" si="1"/>
        <v>3526</v>
      </c>
      <c r="H11" s="29">
        <v>50</v>
      </c>
      <c r="I11" s="29">
        <f t="shared" si="0"/>
        <v>3576</v>
      </c>
      <c r="J11" s="287" t="s">
        <v>98</v>
      </c>
      <c r="K11" s="227"/>
      <c r="L11" s="236" t="s">
        <v>768</v>
      </c>
      <c r="M11" s="231">
        <f>157+700+450</f>
        <v>1307</v>
      </c>
      <c r="O11" s="293" t="s">
        <v>787</v>
      </c>
      <c r="P11" s="289">
        <v>184</v>
      </c>
      <c r="R11" s="219" t="s">
        <v>13</v>
      </c>
      <c r="S11">
        <v>1000</v>
      </c>
    </row>
    <row r="12" spans="1:20" x14ac:dyDescent="0.25">
      <c r="A12" s="280">
        <v>201</v>
      </c>
      <c r="B12" s="232">
        <v>195.46</v>
      </c>
      <c r="C12" s="232">
        <v>203.55</v>
      </c>
      <c r="D12" s="228">
        <f t="shared" si="2"/>
        <v>8090.0000000000036</v>
      </c>
      <c r="E12" s="29">
        <f>ROUND(D12*D23,0)</f>
        <v>1248</v>
      </c>
      <c r="F12" s="29">
        <v>1200</v>
      </c>
      <c r="G12" s="29">
        <f t="shared" si="1"/>
        <v>2448</v>
      </c>
      <c r="H12" s="29">
        <v>50</v>
      </c>
      <c r="I12" s="29">
        <f t="shared" si="0"/>
        <v>2498</v>
      </c>
      <c r="J12" s="287" t="s">
        <v>98</v>
      </c>
      <c r="K12" s="227"/>
      <c r="L12" s="236" t="s">
        <v>769</v>
      </c>
      <c r="M12" s="231">
        <v>200</v>
      </c>
      <c r="O12" s="293" t="s">
        <v>795</v>
      </c>
      <c r="P12" s="289">
        <v>158</v>
      </c>
      <c r="R12" s="219">
        <v>101</v>
      </c>
      <c r="S12">
        <v>0</v>
      </c>
    </row>
    <row r="13" spans="1:20" x14ac:dyDescent="0.25">
      <c r="A13" s="280">
        <v>202</v>
      </c>
      <c r="B13" s="232">
        <v>377.81</v>
      </c>
      <c r="C13" s="232">
        <v>383.41</v>
      </c>
      <c r="D13" s="228">
        <f t="shared" si="2"/>
        <v>5600.0000000000227</v>
      </c>
      <c r="E13" s="29">
        <f>ROUND(D13*D23,0)</f>
        <v>864</v>
      </c>
      <c r="F13" s="29">
        <v>1200</v>
      </c>
      <c r="G13" s="29">
        <f t="shared" si="1"/>
        <v>2064</v>
      </c>
      <c r="H13" s="29">
        <v>50</v>
      </c>
      <c r="I13" s="29">
        <f t="shared" si="0"/>
        <v>2114</v>
      </c>
      <c r="J13" s="287" t="s">
        <v>98</v>
      </c>
      <c r="K13" s="29"/>
      <c r="L13" s="257" t="s">
        <v>770</v>
      </c>
      <c r="M13" s="257">
        <v>273</v>
      </c>
      <c r="O13" s="294" t="s">
        <v>797</v>
      </c>
      <c r="P13" s="294">
        <v>4220</v>
      </c>
      <c r="R13" s="219">
        <v>102</v>
      </c>
      <c r="S13">
        <v>1000</v>
      </c>
    </row>
    <row r="14" spans="1:20" x14ac:dyDescent="0.25">
      <c r="A14" s="280">
        <v>203</v>
      </c>
      <c r="B14" s="232">
        <v>138</v>
      </c>
      <c r="C14" s="232">
        <v>148</v>
      </c>
      <c r="D14" s="228">
        <f t="shared" si="2"/>
        <v>10000</v>
      </c>
      <c r="E14" s="29">
        <f>ROUND(D14*D23,0)</f>
        <v>1543</v>
      </c>
      <c r="F14" s="29">
        <v>1200</v>
      </c>
      <c r="G14" s="29">
        <f t="shared" si="1"/>
        <v>2743</v>
      </c>
      <c r="H14" s="29">
        <v>50</v>
      </c>
      <c r="I14" s="29">
        <f t="shared" si="0"/>
        <v>2793</v>
      </c>
      <c r="J14" s="287" t="s">
        <v>98</v>
      </c>
      <c r="K14" s="29"/>
      <c r="L14" s="254"/>
      <c r="M14" s="114"/>
      <c r="P14">
        <f>SUM(P6:P13)</f>
        <v>34470</v>
      </c>
      <c r="R14" s="219">
        <v>103</v>
      </c>
      <c r="S14">
        <v>1000</v>
      </c>
    </row>
    <row r="15" spans="1:20" x14ac:dyDescent="0.25">
      <c r="A15" s="280">
        <v>204</v>
      </c>
      <c r="B15" s="232">
        <v>372.34</v>
      </c>
      <c r="C15" s="232">
        <v>379.09</v>
      </c>
      <c r="D15" s="228">
        <f t="shared" si="2"/>
        <v>6750</v>
      </c>
      <c r="E15" s="29">
        <f>ROUND(D15*D23,0)</f>
        <v>1041</v>
      </c>
      <c r="F15" s="29">
        <v>1200</v>
      </c>
      <c r="G15" s="29">
        <f t="shared" si="1"/>
        <v>2241</v>
      </c>
      <c r="H15" s="29">
        <v>50</v>
      </c>
      <c r="I15" s="29">
        <f t="shared" si="0"/>
        <v>2291</v>
      </c>
      <c r="J15" s="287" t="s">
        <v>98</v>
      </c>
      <c r="K15" s="29"/>
      <c r="L15" s="224"/>
      <c r="M15" s="114"/>
      <c r="R15" s="219">
        <v>104</v>
      </c>
      <c r="S15">
        <v>0</v>
      </c>
    </row>
    <row r="16" spans="1:20" x14ac:dyDescent="0.25">
      <c r="A16" s="280">
        <v>301</v>
      </c>
      <c r="B16" s="232">
        <v>156.27000000000001</v>
      </c>
      <c r="C16" s="232">
        <v>160.91999999999999</v>
      </c>
      <c r="D16" s="228">
        <f t="shared" si="2"/>
        <v>4649.9999999999773</v>
      </c>
      <c r="E16" s="29">
        <f>ROUND(D16*D23,0)</f>
        <v>717</v>
      </c>
      <c r="F16" s="29">
        <v>1200</v>
      </c>
      <c r="G16" s="29">
        <f t="shared" si="1"/>
        <v>1917</v>
      </c>
      <c r="H16" s="29">
        <v>50</v>
      </c>
      <c r="I16" s="29">
        <f t="shared" si="0"/>
        <v>1967</v>
      </c>
      <c r="J16" s="287" t="s">
        <v>98</v>
      </c>
      <c r="K16" s="29"/>
      <c r="L16" s="160"/>
      <c r="M16" s="114"/>
      <c r="R16" s="219">
        <v>201</v>
      </c>
      <c r="S16">
        <v>1000</v>
      </c>
    </row>
    <row r="17" spans="1:20" x14ac:dyDescent="0.25">
      <c r="A17" s="280">
        <v>302</v>
      </c>
      <c r="B17" s="232">
        <v>306.19</v>
      </c>
      <c r="C17" s="232">
        <v>316.02</v>
      </c>
      <c r="D17" s="228">
        <f t="shared" si="2"/>
        <v>9829.9999999999836</v>
      </c>
      <c r="E17" s="29">
        <f>ROUND(D17*D23,0)</f>
        <v>1516</v>
      </c>
      <c r="F17" s="29">
        <v>1200</v>
      </c>
      <c r="G17" s="29">
        <f t="shared" si="1"/>
        <v>2716</v>
      </c>
      <c r="H17" s="29">
        <v>50</v>
      </c>
      <c r="I17" s="29">
        <f t="shared" si="0"/>
        <v>2766</v>
      </c>
      <c r="J17" s="287" t="s">
        <v>98</v>
      </c>
      <c r="K17" s="119"/>
      <c r="L17" s="114"/>
      <c r="M17" s="114"/>
      <c r="R17" s="219">
        <v>202</v>
      </c>
      <c r="S17">
        <v>1000</v>
      </c>
    </row>
    <row r="18" spans="1:20" x14ac:dyDescent="0.25">
      <c r="A18" s="280">
        <v>303</v>
      </c>
      <c r="B18" s="232">
        <v>169.66</v>
      </c>
      <c r="C18" s="232">
        <v>179.26</v>
      </c>
      <c r="D18" s="228">
        <f t="shared" si="2"/>
        <v>9599.9999999999945</v>
      </c>
      <c r="E18" s="29">
        <f>ROUND(D18*D23,0)</f>
        <v>1481</v>
      </c>
      <c r="F18" s="29">
        <v>1200</v>
      </c>
      <c r="G18" s="29">
        <f t="shared" si="1"/>
        <v>2681</v>
      </c>
      <c r="H18" s="29">
        <v>50</v>
      </c>
      <c r="I18" s="29">
        <f t="shared" si="0"/>
        <v>2731</v>
      </c>
      <c r="J18" s="287" t="s">
        <v>98</v>
      </c>
      <c r="K18" s="29"/>
      <c r="L18" s="114"/>
      <c r="M18" s="121"/>
      <c r="R18" s="219">
        <v>203</v>
      </c>
      <c r="S18">
        <v>1000</v>
      </c>
    </row>
    <row r="19" spans="1:20" x14ac:dyDescent="0.25">
      <c r="A19" s="280">
        <v>304</v>
      </c>
      <c r="B19" s="232">
        <v>489.97</v>
      </c>
      <c r="C19" s="232">
        <v>498.37</v>
      </c>
      <c r="D19" s="228">
        <f t="shared" si="2"/>
        <v>8399.9999999999782</v>
      </c>
      <c r="E19" s="29">
        <f>ROUND(D19*D23,0)</f>
        <v>1296</v>
      </c>
      <c r="F19" s="29">
        <v>1200</v>
      </c>
      <c r="G19" s="29">
        <f t="shared" si="1"/>
        <v>2496</v>
      </c>
      <c r="H19" s="29">
        <v>50</v>
      </c>
      <c r="I19" s="29">
        <f t="shared" si="0"/>
        <v>2546</v>
      </c>
      <c r="J19" s="287" t="s">
        <v>98</v>
      </c>
      <c r="K19" s="29"/>
      <c r="L19" s="256"/>
      <c r="M19" s="256"/>
      <c r="O19">
        <f>I21-P14+Table1[[#Headers],[15784]]</f>
        <v>20409</v>
      </c>
      <c r="R19" s="219">
        <v>204</v>
      </c>
      <c r="S19">
        <v>1000</v>
      </c>
    </row>
    <row r="20" spans="1:20" x14ac:dyDescent="0.25">
      <c r="A20" s="228" t="s">
        <v>287</v>
      </c>
      <c r="B20" s="232">
        <v>502.32</v>
      </c>
      <c r="C20" s="232">
        <v>514.66</v>
      </c>
      <c r="D20" s="228">
        <f t="shared" si="2"/>
        <v>12339.999999999975</v>
      </c>
      <c r="E20" s="29">
        <f>ROUND(D20*D23,0)</f>
        <v>1904</v>
      </c>
      <c r="F20" s="29">
        <v>0</v>
      </c>
      <c r="G20" s="29"/>
      <c r="H20" s="29">
        <v>0</v>
      </c>
      <c r="I20" s="29">
        <f t="shared" si="0"/>
        <v>0</v>
      </c>
      <c r="J20" s="29"/>
      <c r="K20" s="29"/>
      <c r="L20" s="231"/>
      <c r="M20" s="231"/>
      <c r="R20" s="219">
        <v>301</v>
      </c>
      <c r="S20">
        <v>1000</v>
      </c>
    </row>
    <row r="21" spans="1:20" x14ac:dyDescent="0.25">
      <c r="A21" s="228"/>
      <c r="B21" s="29"/>
      <c r="C21" s="230"/>
      <c r="D21" s="29"/>
      <c r="E21" s="49"/>
      <c r="F21" s="49"/>
      <c r="G21" s="49"/>
      <c r="H21" s="49">
        <f>SUM(H2:H20)</f>
        <v>800</v>
      </c>
      <c r="I21" s="49">
        <f>SUM(I2:I20)</f>
        <v>39095</v>
      </c>
      <c r="J21" s="49"/>
      <c r="K21" s="49"/>
      <c r="L21" s="231"/>
      <c r="M21" s="231"/>
      <c r="R21" s="219">
        <v>302</v>
      </c>
      <c r="S21">
        <v>1000</v>
      </c>
    </row>
    <row r="22" spans="1:20" x14ac:dyDescent="0.25">
      <c r="A22" s="228"/>
      <c r="B22" s="29" t="s">
        <v>75</v>
      </c>
      <c r="C22" s="29"/>
      <c r="D22" s="30">
        <f>SUM(D4:D20)</f>
        <v>132239.99999999991</v>
      </c>
      <c r="E22" s="29">
        <f>SUM(E4:E20)</f>
        <v>20399</v>
      </c>
      <c r="F22" s="29"/>
      <c r="G22" s="29"/>
      <c r="H22" s="29"/>
      <c r="I22" s="29"/>
      <c r="J22" s="29"/>
      <c r="K22" s="29"/>
      <c r="L22" s="231"/>
      <c r="M22" s="231">
        <f>SUM(M6:M19)</f>
        <v>35578</v>
      </c>
      <c r="R22" s="219">
        <v>303</v>
      </c>
      <c r="S22">
        <v>1000</v>
      </c>
    </row>
    <row r="23" spans="1:20" ht="30" x14ac:dyDescent="0.25">
      <c r="A23" s="228"/>
      <c r="B23" s="29" t="s">
        <v>243</v>
      </c>
      <c r="C23" s="119" t="s">
        <v>641</v>
      </c>
      <c r="D23" s="111">
        <f>B24/D22</f>
        <v>0.15426497277676962</v>
      </c>
      <c r="E23" s="29"/>
      <c r="F23" s="29"/>
      <c r="G23" s="29"/>
      <c r="H23" s="29"/>
      <c r="I23" s="29"/>
      <c r="J23" s="29"/>
      <c r="K23" s="29"/>
      <c r="L23" s="257"/>
      <c r="M23" s="257"/>
      <c r="R23" s="219">
        <v>304</v>
      </c>
      <c r="S23">
        <v>1000</v>
      </c>
    </row>
    <row r="24" spans="1:20" ht="30" x14ac:dyDescent="0.25">
      <c r="A24" s="281" t="s">
        <v>85</v>
      </c>
      <c r="B24" s="30">
        <f>17*1200</f>
        <v>20400</v>
      </c>
      <c r="C24" s="119" t="s">
        <v>759</v>
      </c>
      <c r="D24" s="29"/>
      <c r="E24" s="29"/>
      <c r="F24" s="29"/>
      <c r="G24" s="29"/>
      <c r="H24" s="29"/>
      <c r="I24" s="29"/>
      <c r="J24" s="29"/>
      <c r="K24" s="29"/>
      <c r="S24">
        <f>SUM(S8:S23)</f>
        <v>14000</v>
      </c>
    </row>
    <row r="25" spans="1:20" x14ac:dyDescent="0.25">
      <c r="R25" s="352" t="s">
        <v>1</v>
      </c>
      <c r="S25" s="353"/>
      <c r="T25" s="353"/>
    </row>
    <row r="27" spans="1:20" x14ac:dyDescent="0.25">
      <c r="R27" s="245" t="s">
        <v>774</v>
      </c>
      <c r="S27" s="245" t="s">
        <v>6</v>
      </c>
      <c r="T27" s="245" t="s">
        <v>59</v>
      </c>
    </row>
    <row r="28" spans="1:20" x14ac:dyDescent="0.25">
      <c r="R28" s="231">
        <v>1</v>
      </c>
      <c r="S28" s="236" t="s">
        <v>775</v>
      </c>
      <c r="T28" s="231">
        <v>1176</v>
      </c>
    </row>
    <row r="29" spans="1:20" x14ac:dyDescent="0.25">
      <c r="R29" s="231">
        <v>2</v>
      </c>
      <c r="S29" s="231" t="s">
        <v>776</v>
      </c>
      <c r="T29" s="231">
        <v>78</v>
      </c>
    </row>
    <row r="30" spans="1:20" x14ac:dyDescent="0.25">
      <c r="L30">
        <f>I21+15784-M22</f>
        <v>19301</v>
      </c>
      <c r="R30" s="231">
        <v>3</v>
      </c>
      <c r="S30" s="231" t="s">
        <v>777</v>
      </c>
      <c r="T30" s="231">
        <v>30</v>
      </c>
    </row>
    <row r="31" spans="1:20" x14ac:dyDescent="0.25">
      <c r="J31" s="216"/>
      <c r="R31" s="231">
        <v>4</v>
      </c>
      <c r="S31" s="236" t="s">
        <v>778</v>
      </c>
      <c r="T31" s="231">
        <v>300</v>
      </c>
    </row>
    <row r="32" spans="1:20" x14ac:dyDescent="0.25">
      <c r="J32" s="216"/>
      <c r="L32" s="216"/>
      <c r="R32" s="236">
        <v>5</v>
      </c>
      <c r="S32" s="236" t="s">
        <v>779</v>
      </c>
      <c r="T32" s="231">
        <v>1600</v>
      </c>
    </row>
    <row r="33" spans="18:20" x14ac:dyDescent="0.25">
      <c r="R33" s="231">
        <v>6</v>
      </c>
      <c r="S33" s="236" t="s">
        <v>780</v>
      </c>
      <c r="T33" s="231">
        <v>320</v>
      </c>
    </row>
    <row r="34" spans="18:20" x14ac:dyDescent="0.25">
      <c r="R34" s="231">
        <v>7</v>
      </c>
      <c r="S34" s="236" t="s">
        <v>781</v>
      </c>
      <c r="T34" s="260">
        <v>200</v>
      </c>
    </row>
    <row r="35" spans="18:20" x14ac:dyDescent="0.25">
      <c r="R35" s="231">
        <v>8</v>
      </c>
      <c r="S35" s="231" t="s">
        <v>782</v>
      </c>
      <c r="T35" s="260">
        <v>8408</v>
      </c>
    </row>
    <row r="36" spans="18:20" x14ac:dyDescent="0.25">
      <c r="R36" s="231">
        <v>9</v>
      </c>
      <c r="S36" s="231" t="s">
        <v>783</v>
      </c>
      <c r="T36" s="260">
        <v>1972</v>
      </c>
    </row>
    <row r="37" spans="18:20" x14ac:dyDescent="0.25">
      <c r="R37" s="231">
        <v>10</v>
      </c>
      <c r="S37" s="231" t="s">
        <v>784</v>
      </c>
      <c r="T37" s="260">
        <v>100</v>
      </c>
    </row>
    <row r="39" spans="18:20" x14ac:dyDescent="0.25">
      <c r="S39" s="216" t="s">
        <v>20</v>
      </c>
      <c r="T39">
        <f>SUM(T28:T37)</f>
        <v>14184</v>
      </c>
    </row>
    <row r="40" spans="18:20" x14ac:dyDescent="0.25">
      <c r="S40" s="216" t="s">
        <v>205</v>
      </c>
      <c r="T40">
        <f>S24-T39</f>
        <v>-184</v>
      </c>
    </row>
  </sheetData>
  <mergeCells count="3">
    <mergeCell ref="R5:T5"/>
    <mergeCell ref="R7:S7"/>
    <mergeCell ref="R25:T25"/>
  </mergeCells>
  <pageMargins left="0.7" right="0.7" top="0.75" bottom="0.75" header="0.3" footer="0.3"/>
  <tableParts count="1">
    <tablePart r:id="rId1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A68E2-1D01-4981-8EE5-754E58EC4859}">
  <dimension ref="A1:P24"/>
  <sheetViews>
    <sheetView zoomScale="80" workbookViewId="0">
      <selection activeCell="J21" sqref="J21"/>
    </sheetView>
  </sheetViews>
  <sheetFormatPr defaultRowHeight="15" x14ac:dyDescent="0.25"/>
  <cols>
    <col min="1" max="1" width="14.7109375" bestFit="1" customWidth="1"/>
    <col min="2" max="2" width="16.28515625" bestFit="1" customWidth="1"/>
    <col min="3" max="3" width="22.5703125" customWidth="1"/>
    <col min="4" max="4" width="10.28515625" bestFit="1" customWidth="1"/>
    <col min="5" max="5" width="6.5703125" bestFit="1" customWidth="1"/>
    <col min="6" max="7" width="12.7109375" bestFit="1" customWidth="1"/>
    <col min="8" max="8" width="8.42578125" bestFit="1" customWidth="1"/>
    <col min="9" max="9" width="6.28515625" bestFit="1" customWidth="1"/>
    <col min="10" max="10" width="8.140625" bestFit="1" customWidth="1"/>
    <col min="11" max="11" width="8.85546875" bestFit="1" customWidth="1"/>
    <col min="12" max="12" width="26.7109375" bestFit="1" customWidth="1"/>
    <col min="13" max="13" width="6.5703125" bestFit="1" customWidth="1"/>
    <col min="15" max="15" width="28.140625" bestFit="1" customWidth="1"/>
    <col min="16" max="16" width="6.5703125" bestFit="1" customWidth="1"/>
    <col min="24" max="24" width="14.28515625" bestFit="1" customWidth="1"/>
  </cols>
  <sheetData>
    <row r="1" spans="1:16" ht="45" x14ac:dyDescent="0.25">
      <c r="A1" s="282" t="s">
        <v>642</v>
      </c>
      <c r="B1" s="283" t="s">
        <v>80</v>
      </c>
      <c r="C1" s="283" t="s">
        <v>236</v>
      </c>
      <c r="D1" s="284" t="s">
        <v>66</v>
      </c>
      <c r="E1" s="284" t="s">
        <v>52</v>
      </c>
      <c r="F1" s="284" t="s">
        <v>757</v>
      </c>
      <c r="G1" s="284" t="s">
        <v>365</v>
      </c>
      <c r="H1" s="284" t="s">
        <v>366</v>
      </c>
      <c r="I1" s="284" t="s">
        <v>367</v>
      </c>
      <c r="J1" s="284" t="s">
        <v>421</v>
      </c>
      <c r="K1" s="284" t="s">
        <v>128</v>
      </c>
      <c r="L1" s="285" t="s">
        <v>788</v>
      </c>
      <c r="M1" s="290" t="s">
        <v>794</v>
      </c>
    </row>
    <row r="2" spans="1:16" x14ac:dyDescent="0.25">
      <c r="A2" s="279" t="s">
        <v>130</v>
      </c>
      <c r="B2" s="29" t="s">
        <v>131</v>
      </c>
      <c r="C2" s="29" t="s">
        <v>131</v>
      </c>
      <c r="D2" s="29" t="s">
        <v>131</v>
      </c>
      <c r="E2" s="29" t="s">
        <v>131</v>
      </c>
      <c r="F2" s="29">
        <v>300</v>
      </c>
      <c r="G2" s="29">
        <f>SUM(E3,F3)</f>
        <v>300</v>
      </c>
      <c r="H2" s="29">
        <v>0</v>
      </c>
      <c r="I2" s="29">
        <f>G2+H2</f>
        <v>300</v>
      </c>
      <c r="J2" s="29" t="s">
        <v>98</v>
      </c>
      <c r="K2" s="29"/>
      <c r="L2" s="148"/>
      <c r="M2" s="149"/>
    </row>
    <row r="3" spans="1:16" x14ac:dyDescent="0.25">
      <c r="A3" s="279" t="s">
        <v>132</v>
      </c>
      <c r="B3" s="229" t="s">
        <v>131</v>
      </c>
      <c r="C3" s="229" t="s">
        <v>131</v>
      </c>
      <c r="D3" s="29" t="s">
        <v>131</v>
      </c>
      <c r="E3" s="29" t="s">
        <v>131</v>
      </c>
      <c r="F3" s="29">
        <v>300</v>
      </c>
      <c r="G3" s="29">
        <v>300</v>
      </c>
      <c r="H3" s="29">
        <v>0</v>
      </c>
      <c r="I3" s="29">
        <f t="shared" ref="I3:I20" si="0">G3+H3</f>
        <v>300</v>
      </c>
      <c r="J3" s="29" t="s">
        <v>98</v>
      </c>
      <c r="K3" s="29"/>
      <c r="L3" s="148"/>
      <c r="M3" s="148"/>
    </row>
    <row r="4" spans="1:16" x14ac:dyDescent="0.25">
      <c r="A4" s="280" t="s">
        <v>68</v>
      </c>
      <c r="B4" s="232">
        <v>0</v>
      </c>
      <c r="C4" s="232">
        <v>5.0369999999999999</v>
      </c>
      <c r="D4" s="228">
        <f>(C4-B4)*1000</f>
        <v>5037</v>
      </c>
      <c r="E4" s="29">
        <f>ROUND(D4*D23,0)</f>
        <v>723</v>
      </c>
      <c r="F4" s="29">
        <v>1200</v>
      </c>
      <c r="G4" s="29">
        <f t="shared" ref="G4:G19" si="1">SUM(E4,F4)</f>
        <v>1923</v>
      </c>
      <c r="H4" s="29">
        <v>50</v>
      </c>
      <c r="I4" s="29">
        <f t="shared" si="0"/>
        <v>1973</v>
      </c>
      <c r="J4" s="296" t="s">
        <v>98</v>
      </c>
      <c r="K4" s="156"/>
      <c r="L4" s="160"/>
      <c r="M4" s="160"/>
    </row>
    <row r="5" spans="1:16" x14ac:dyDescent="0.25">
      <c r="A5" s="280" t="s">
        <v>70</v>
      </c>
      <c r="B5" s="232">
        <v>279.37</v>
      </c>
      <c r="C5" s="232">
        <v>286.04000000000002</v>
      </c>
      <c r="D5" s="228">
        <f t="shared" ref="D5:D20" si="2">(C5-B5)*1000</f>
        <v>6670.0000000000164</v>
      </c>
      <c r="E5" s="29">
        <f>ROUND(D5*D23,0)</f>
        <v>957</v>
      </c>
      <c r="F5" s="29">
        <v>1200</v>
      </c>
      <c r="G5" s="29">
        <f t="shared" si="1"/>
        <v>2157</v>
      </c>
      <c r="H5" s="29">
        <v>50</v>
      </c>
      <c r="I5" s="29">
        <f t="shared" si="0"/>
        <v>2207</v>
      </c>
      <c r="J5" s="296" t="s">
        <v>98</v>
      </c>
      <c r="K5" s="29"/>
      <c r="L5" s="277" t="s">
        <v>771</v>
      </c>
      <c r="M5" s="278"/>
      <c r="O5" s="354" t="s">
        <v>789</v>
      </c>
      <c r="P5" s="354"/>
    </row>
    <row r="6" spans="1:16" x14ac:dyDescent="0.25">
      <c r="A6" s="280" t="s">
        <v>16</v>
      </c>
      <c r="B6" s="232">
        <v>550.58000000000004</v>
      </c>
      <c r="C6" s="232">
        <v>561.83000000000004</v>
      </c>
      <c r="D6" s="228">
        <f t="shared" si="2"/>
        <v>11250</v>
      </c>
      <c r="E6" s="29">
        <f>ROUND(D6*D23,0)</f>
        <v>1614</v>
      </c>
      <c r="F6" s="29">
        <v>1200</v>
      </c>
      <c r="G6" s="29">
        <f t="shared" si="1"/>
        <v>2814</v>
      </c>
      <c r="H6" s="29">
        <v>50</v>
      </c>
      <c r="I6" s="29">
        <f t="shared" si="0"/>
        <v>2864</v>
      </c>
      <c r="J6" s="296" t="s">
        <v>98</v>
      </c>
      <c r="K6" s="227"/>
      <c r="L6" s="274" t="s">
        <v>314</v>
      </c>
      <c r="M6">
        <v>6500</v>
      </c>
      <c r="O6" s="274" t="s">
        <v>314</v>
      </c>
      <c r="P6" s="297">
        <v>6500</v>
      </c>
    </row>
    <row r="7" spans="1:16" x14ac:dyDescent="0.25">
      <c r="A7" s="280" t="s">
        <v>13</v>
      </c>
      <c r="B7" s="232">
        <v>450.36</v>
      </c>
      <c r="C7" s="232">
        <v>458.46</v>
      </c>
      <c r="D7" s="228">
        <f t="shared" si="2"/>
        <v>8099.9999999999654</v>
      </c>
      <c r="E7" s="29">
        <f>ROUND(D7*D23,0)</f>
        <v>1162</v>
      </c>
      <c r="F7" s="29">
        <v>1200</v>
      </c>
      <c r="G7" s="29">
        <f t="shared" si="1"/>
        <v>2362</v>
      </c>
      <c r="H7" s="29">
        <v>50</v>
      </c>
      <c r="I7" s="29">
        <f t="shared" si="0"/>
        <v>2412</v>
      </c>
      <c r="J7" s="296" t="s">
        <v>98</v>
      </c>
      <c r="K7" s="227"/>
      <c r="L7" s="231" t="s">
        <v>514</v>
      </c>
      <c r="M7">
        <v>800</v>
      </c>
      <c r="O7" s="289" t="s">
        <v>514</v>
      </c>
      <c r="P7" s="297">
        <v>800</v>
      </c>
    </row>
    <row r="8" spans="1:16" x14ac:dyDescent="0.25">
      <c r="A8" s="280">
        <v>101</v>
      </c>
      <c r="B8" s="232">
        <v>109.83</v>
      </c>
      <c r="C8" s="232">
        <v>111.41</v>
      </c>
      <c r="D8" s="228">
        <f t="shared" si="2"/>
        <v>1579.9999999999982</v>
      </c>
      <c r="E8" s="29">
        <f>ROUND(D8*D23,0)</f>
        <v>227</v>
      </c>
      <c r="F8" s="29">
        <v>1200</v>
      </c>
      <c r="G8" s="29">
        <f t="shared" si="1"/>
        <v>1427</v>
      </c>
      <c r="H8" s="29">
        <v>50</v>
      </c>
      <c r="I8" s="29">
        <f t="shared" si="0"/>
        <v>1477</v>
      </c>
      <c r="J8" s="296" t="s">
        <v>98</v>
      </c>
      <c r="K8" s="227"/>
      <c r="L8" s="231" t="s">
        <v>791</v>
      </c>
      <c r="M8">
        <v>20400</v>
      </c>
      <c r="O8" s="231" t="s">
        <v>800</v>
      </c>
      <c r="P8" s="299">
        <v>1200</v>
      </c>
    </row>
    <row r="9" spans="1:16" x14ac:dyDescent="0.25">
      <c r="A9" s="280">
        <v>102</v>
      </c>
      <c r="B9" s="232">
        <v>661.34</v>
      </c>
      <c r="C9" s="232">
        <v>666.88</v>
      </c>
      <c r="D9" s="228">
        <f t="shared" si="2"/>
        <v>5539.9999999999636</v>
      </c>
      <c r="E9" s="29">
        <f>ROUND(D9*D23,0)</f>
        <v>795</v>
      </c>
      <c r="F9" s="29">
        <v>1200</v>
      </c>
      <c r="G9" s="29">
        <f t="shared" si="1"/>
        <v>1995</v>
      </c>
      <c r="H9" s="29">
        <v>50</v>
      </c>
      <c r="I9" s="29">
        <f t="shared" si="0"/>
        <v>2045</v>
      </c>
      <c r="J9" s="296" t="s">
        <v>98</v>
      </c>
      <c r="K9" s="227"/>
      <c r="L9" s="275" t="s">
        <v>500</v>
      </c>
      <c r="M9">
        <v>164</v>
      </c>
      <c r="O9" s="231" t="s">
        <v>790</v>
      </c>
      <c r="P9" s="299">
        <v>20400</v>
      </c>
    </row>
    <row r="10" spans="1:16" x14ac:dyDescent="0.25">
      <c r="A10" s="280">
        <v>103</v>
      </c>
      <c r="B10" s="232">
        <v>344.27</v>
      </c>
      <c r="C10" s="232">
        <v>355.18</v>
      </c>
      <c r="D10" s="228">
        <f t="shared" si="2"/>
        <v>10910.000000000025</v>
      </c>
      <c r="E10" s="29">
        <f>ROUND(D10*D23,0)</f>
        <v>1565</v>
      </c>
      <c r="F10" s="29">
        <v>1200</v>
      </c>
      <c r="G10" s="29">
        <f t="shared" si="1"/>
        <v>2765</v>
      </c>
      <c r="H10" s="29">
        <v>50</v>
      </c>
      <c r="I10" s="29">
        <f t="shared" si="0"/>
        <v>2815</v>
      </c>
      <c r="J10" s="296" t="s">
        <v>98</v>
      </c>
      <c r="K10" s="227"/>
      <c r="L10" s="275" t="s">
        <v>520</v>
      </c>
      <c r="M10">
        <v>2044</v>
      </c>
      <c r="O10" s="231" t="s">
        <v>792</v>
      </c>
      <c r="P10" s="299">
        <v>7656</v>
      </c>
    </row>
    <row r="11" spans="1:16" x14ac:dyDescent="0.25">
      <c r="A11" s="280">
        <v>104</v>
      </c>
      <c r="B11" s="232">
        <v>244.69</v>
      </c>
      <c r="C11" s="232">
        <v>259.08999999999997</v>
      </c>
      <c r="D11" s="228">
        <f t="shared" si="2"/>
        <v>14399.999999999978</v>
      </c>
      <c r="E11" s="29">
        <f>ROUND(D11*D23,0)</f>
        <v>2066</v>
      </c>
      <c r="F11" s="29">
        <v>1200</v>
      </c>
      <c r="G11" s="29">
        <f t="shared" si="1"/>
        <v>3266</v>
      </c>
      <c r="H11" s="29">
        <v>50</v>
      </c>
      <c r="I11" s="29">
        <f t="shared" si="0"/>
        <v>3316</v>
      </c>
      <c r="J11" s="296" t="s">
        <v>98</v>
      </c>
      <c r="K11" s="227"/>
      <c r="L11" s="236" t="s">
        <v>787</v>
      </c>
      <c r="M11" s="231">
        <v>184</v>
      </c>
      <c r="O11" s="231" t="s">
        <v>793</v>
      </c>
      <c r="P11" s="299">
        <v>2044</v>
      </c>
    </row>
    <row r="12" spans="1:16" x14ac:dyDescent="0.25">
      <c r="A12" s="280">
        <v>201</v>
      </c>
      <c r="B12" s="232">
        <v>203.55</v>
      </c>
      <c r="C12" s="232">
        <v>210.21</v>
      </c>
      <c r="D12" s="228">
        <f t="shared" si="2"/>
        <v>6659.9999999999964</v>
      </c>
      <c r="E12" s="29">
        <f>ROUND(D12*D23,0)</f>
        <v>956</v>
      </c>
      <c r="F12" s="29">
        <v>1200</v>
      </c>
      <c r="G12" s="29">
        <f t="shared" si="1"/>
        <v>2156</v>
      </c>
      <c r="H12" s="29">
        <v>50</v>
      </c>
      <c r="I12" s="29">
        <f t="shared" si="0"/>
        <v>2206</v>
      </c>
      <c r="J12" s="296" t="s">
        <v>98</v>
      </c>
      <c r="K12" s="227"/>
      <c r="L12" s="236" t="s">
        <v>795</v>
      </c>
      <c r="M12" s="231">
        <v>158</v>
      </c>
      <c r="O12" s="231" t="s">
        <v>796</v>
      </c>
      <c r="P12" s="299">
        <v>1100</v>
      </c>
    </row>
    <row r="13" spans="1:16" x14ac:dyDescent="0.25">
      <c r="A13" s="280">
        <v>202</v>
      </c>
      <c r="B13" s="232">
        <v>383.41</v>
      </c>
      <c r="C13" s="232">
        <v>390.75</v>
      </c>
      <c r="D13" s="228">
        <f t="shared" si="2"/>
        <v>7339.9999999999745</v>
      </c>
      <c r="E13" s="29">
        <f>ROUND(D13*D23,0)</f>
        <v>1053</v>
      </c>
      <c r="F13" s="29">
        <v>1200</v>
      </c>
      <c r="G13" s="29">
        <f t="shared" si="1"/>
        <v>2253</v>
      </c>
      <c r="H13" s="29">
        <v>50</v>
      </c>
      <c r="I13" s="29">
        <f t="shared" si="0"/>
        <v>2303</v>
      </c>
      <c r="J13" s="296" t="s">
        <v>98</v>
      </c>
      <c r="K13" s="29"/>
      <c r="L13" s="257" t="s">
        <v>797</v>
      </c>
      <c r="M13" s="257">
        <v>4220</v>
      </c>
      <c r="O13" t="s">
        <v>798</v>
      </c>
      <c r="P13" s="298">
        <v>800</v>
      </c>
    </row>
    <row r="14" spans="1:16" x14ac:dyDescent="0.25">
      <c r="A14" s="280">
        <v>203</v>
      </c>
      <c r="B14" s="232">
        <v>0</v>
      </c>
      <c r="C14" s="232">
        <v>8.5890000000000004</v>
      </c>
      <c r="D14" s="228">
        <f t="shared" si="2"/>
        <v>8589</v>
      </c>
      <c r="E14" s="29">
        <f>ROUND(D14*D23,0)</f>
        <v>1232</v>
      </c>
      <c r="F14" s="29">
        <v>1200</v>
      </c>
      <c r="G14" s="29">
        <f t="shared" si="1"/>
        <v>2432</v>
      </c>
      <c r="H14" s="29">
        <v>50</v>
      </c>
      <c r="I14" s="29">
        <f t="shared" si="0"/>
        <v>2482</v>
      </c>
      <c r="J14" s="296" t="s">
        <v>98</v>
      </c>
      <c r="K14" s="29"/>
      <c r="L14" s="254"/>
      <c r="M14" s="114"/>
      <c r="O14" t="s">
        <v>799</v>
      </c>
      <c r="P14" s="298">
        <v>180</v>
      </c>
    </row>
    <row r="15" spans="1:16" x14ac:dyDescent="0.25">
      <c r="A15" s="280">
        <v>204</v>
      </c>
      <c r="B15" s="232">
        <v>379.09</v>
      </c>
      <c r="C15" s="232">
        <v>385.45</v>
      </c>
      <c r="D15" s="228">
        <f t="shared" si="2"/>
        <v>6360.0000000000136</v>
      </c>
      <c r="E15" s="29">
        <f>ROUND(D15*D23,0)</f>
        <v>913</v>
      </c>
      <c r="F15" s="29">
        <v>1200</v>
      </c>
      <c r="G15" s="29">
        <f t="shared" si="1"/>
        <v>2113</v>
      </c>
      <c r="H15" s="29">
        <v>50</v>
      </c>
      <c r="I15" s="29">
        <f t="shared" si="0"/>
        <v>2163</v>
      </c>
      <c r="J15" s="296" t="s">
        <v>98</v>
      </c>
      <c r="K15" s="29"/>
      <c r="L15" s="224"/>
      <c r="M15" s="114"/>
      <c r="O15" t="s">
        <v>196</v>
      </c>
      <c r="P15">
        <v>400</v>
      </c>
    </row>
    <row r="16" spans="1:16" x14ac:dyDescent="0.25">
      <c r="A16" s="280">
        <v>301</v>
      </c>
      <c r="B16" s="232">
        <v>160.91999999999999</v>
      </c>
      <c r="C16" s="232">
        <v>166.67</v>
      </c>
      <c r="D16" s="228">
        <f t="shared" si="2"/>
        <v>5750</v>
      </c>
      <c r="E16" s="29">
        <f>ROUND(D16*D23,0)</f>
        <v>825</v>
      </c>
      <c r="F16" s="29">
        <v>1200</v>
      </c>
      <c r="G16" s="29">
        <f t="shared" si="1"/>
        <v>2025</v>
      </c>
      <c r="H16" s="29">
        <v>50</v>
      </c>
      <c r="I16" s="29">
        <f t="shared" si="0"/>
        <v>2075</v>
      </c>
      <c r="J16" s="296" t="s">
        <v>98</v>
      </c>
      <c r="K16" s="29"/>
      <c r="L16" s="160"/>
      <c r="M16" s="114"/>
      <c r="O16" t="s">
        <v>801</v>
      </c>
      <c r="P16">
        <v>250</v>
      </c>
    </row>
    <row r="17" spans="1:16" x14ac:dyDescent="0.25">
      <c r="A17" s="280">
        <v>302</v>
      </c>
      <c r="B17" s="232">
        <v>316.02</v>
      </c>
      <c r="C17" s="232">
        <v>327.08999999999997</v>
      </c>
      <c r="D17" s="228">
        <f t="shared" si="2"/>
        <v>11069.999999999993</v>
      </c>
      <c r="E17" s="29">
        <f>ROUND(D17*D23,0)</f>
        <v>1588</v>
      </c>
      <c r="F17" s="29">
        <v>1200</v>
      </c>
      <c r="G17" s="29">
        <f t="shared" si="1"/>
        <v>2788</v>
      </c>
      <c r="H17" s="29">
        <v>50</v>
      </c>
      <c r="I17" s="29">
        <f t="shared" si="0"/>
        <v>2838</v>
      </c>
      <c r="J17" s="296" t="s">
        <v>98</v>
      </c>
      <c r="K17" s="119"/>
      <c r="L17" s="114"/>
      <c r="M17" s="114"/>
    </row>
    <row r="18" spans="1:16" x14ac:dyDescent="0.25">
      <c r="A18" s="280">
        <v>303</v>
      </c>
      <c r="B18" s="232">
        <v>179.26</v>
      </c>
      <c r="C18" s="232">
        <v>188.411</v>
      </c>
      <c r="D18" s="228">
        <f t="shared" si="2"/>
        <v>9151.0000000000109</v>
      </c>
      <c r="E18" s="29">
        <f>ROUND(D18*D23,0)</f>
        <v>1313</v>
      </c>
      <c r="F18" s="29">
        <v>1200</v>
      </c>
      <c r="G18" s="29">
        <f t="shared" si="1"/>
        <v>2513</v>
      </c>
      <c r="H18" s="29">
        <v>50</v>
      </c>
      <c r="I18" s="29">
        <f t="shared" si="0"/>
        <v>2563</v>
      </c>
      <c r="J18" s="296" t="s">
        <v>98</v>
      </c>
      <c r="K18" s="29"/>
      <c r="L18" s="114"/>
      <c r="M18" s="121"/>
      <c r="P18">
        <f>SUM(P6:P17)</f>
        <v>41330</v>
      </c>
    </row>
    <row r="19" spans="1:16" x14ac:dyDescent="0.25">
      <c r="A19" s="280">
        <v>304</v>
      </c>
      <c r="B19" s="232">
        <v>498.37</v>
      </c>
      <c r="C19" s="232">
        <v>509.79</v>
      </c>
      <c r="D19" s="228">
        <f t="shared" si="2"/>
        <v>11420.000000000016</v>
      </c>
      <c r="E19" s="29">
        <f>ROUND(D19*D23,0)</f>
        <v>1639</v>
      </c>
      <c r="F19" s="29">
        <v>1200</v>
      </c>
      <c r="G19" s="29">
        <f t="shared" si="1"/>
        <v>2839</v>
      </c>
      <c r="H19" s="29">
        <v>50</v>
      </c>
      <c r="I19" s="29">
        <f t="shared" si="0"/>
        <v>2889</v>
      </c>
      <c r="J19" s="296" t="s">
        <v>98</v>
      </c>
      <c r="K19" s="29"/>
      <c r="L19" s="256"/>
      <c r="M19" s="256"/>
    </row>
    <row r="20" spans="1:16" x14ac:dyDescent="0.25">
      <c r="A20" s="228" t="s">
        <v>287</v>
      </c>
      <c r="B20" s="232">
        <v>514.66</v>
      </c>
      <c r="C20" s="232">
        <v>527.01</v>
      </c>
      <c r="D20" s="228">
        <f t="shared" si="2"/>
        <v>12350.000000000022</v>
      </c>
      <c r="E20" s="29">
        <f>ROUND(D20*D23,0)</f>
        <v>1772</v>
      </c>
      <c r="F20" s="29">
        <v>0</v>
      </c>
      <c r="G20" s="29"/>
      <c r="H20" s="29">
        <v>0</v>
      </c>
      <c r="I20" s="29">
        <f t="shared" si="0"/>
        <v>0</v>
      </c>
      <c r="J20" s="29"/>
      <c r="K20" s="29"/>
      <c r="L20" s="231"/>
      <c r="M20" s="231"/>
    </row>
    <row r="21" spans="1:16" x14ac:dyDescent="0.25">
      <c r="A21" s="228"/>
      <c r="B21" s="29"/>
      <c r="C21" s="230"/>
      <c r="D21" s="29"/>
      <c r="E21" s="49"/>
      <c r="F21" s="49"/>
      <c r="G21" s="49"/>
      <c r="H21" s="49">
        <f>SUM(H2:H20)</f>
        <v>800</v>
      </c>
      <c r="I21" s="49">
        <f>SUM(I2:I20)</f>
        <v>39228</v>
      </c>
      <c r="J21" s="49">
        <f>SUMIF(J2:J20, "Paid", I2:I20)</f>
        <v>39228</v>
      </c>
      <c r="K21" s="49"/>
      <c r="L21" s="231"/>
      <c r="M21" s="231"/>
      <c r="O21">
        <f>Table14[[#This Row],[Receive Amount]]+Table14[[#Headers],[19301]]-P18</f>
        <v>17199</v>
      </c>
    </row>
    <row r="22" spans="1:16" x14ac:dyDescent="0.25">
      <c r="A22" s="228"/>
      <c r="B22" s="29" t="s">
        <v>75</v>
      </c>
      <c r="C22" s="29"/>
      <c r="D22" s="30">
        <f>SUM(D4:D20)</f>
        <v>142176.99999999997</v>
      </c>
      <c r="E22" s="29">
        <f>SUM(E4:E20)</f>
        <v>20400</v>
      </c>
      <c r="F22" s="29"/>
      <c r="G22" s="29"/>
      <c r="H22" s="29"/>
      <c r="I22" s="29"/>
      <c r="J22" s="29"/>
      <c r="K22" s="29"/>
      <c r="L22" s="231"/>
      <c r="M22" s="245">
        <f>SUM(M6:M19)</f>
        <v>34470</v>
      </c>
    </row>
    <row r="23" spans="1:16" ht="30" x14ac:dyDescent="0.25">
      <c r="A23" s="228"/>
      <c r="B23" s="29" t="s">
        <v>243</v>
      </c>
      <c r="C23" s="119" t="s">
        <v>641</v>
      </c>
      <c r="D23" s="111">
        <f>B24/D22</f>
        <v>0.14348312314931391</v>
      </c>
      <c r="E23" s="29"/>
      <c r="F23" s="29"/>
      <c r="G23" s="29"/>
      <c r="H23" s="29"/>
      <c r="I23" s="29"/>
      <c r="J23" s="29"/>
      <c r="K23" s="29"/>
      <c r="L23" s="257"/>
      <c r="M23" s="257"/>
    </row>
    <row r="24" spans="1:16" ht="30" x14ac:dyDescent="0.25">
      <c r="A24" s="281" t="s">
        <v>85</v>
      </c>
      <c r="B24" s="30">
        <f>17*1200</f>
        <v>20400</v>
      </c>
      <c r="C24" s="119" t="s">
        <v>759</v>
      </c>
      <c r="D24" s="29"/>
      <c r="E24" s="29"/>
      <c r="F24" s="29"/>
      <c r="G24" s="29"/>
      <c r="H24" s="29"/>
      <c r="I24" s="29"/>
      <c r="J24" s="29"/>
      <c r="K24" s="29"/>
    </row>
  </sheetData>
  <mergeCells count="1">
    <mergeCell ref="O5:P5"/>
  </mergeCells>
  <pageMargins left="0.7" right="0.7" top="0.75" bottom="0.75" header="0.3" footer="0.3"/>
  <tableParts count="1">
    <tablePart r:id="rId1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0EC6-A368-4EE5-9427-1C34D6AD794B}">
  <dimension ref="A1:Q24"/>
  <sheetViews>
    <sheetView workbookViewId="0">
      <selection activeCell="K18" sqref="K18"/>
    </sheetView>
  </sheetViews>
  <sheetFormatPr defaultRowHeight="15" x14ac:dyDescent="0.25"/>
  <cols>
    <col min="1" max="1" width="14.7109375" bestFit="1" customWidth="1"/>
    <col min="2" max="2" width="16.28515625" bestFit="1" customWidth="1"/>
    <col min="3" max="3" width="16.7109375" bestFit="1" customWidth="1"/>
    <col min="4" max="4" width="9.5703125" bestFit="1" customWidth="1"/>
    <col min="5" max="5" width="6.5703125" bestFit="1" customWidth="1"/>
    <col min="6" max="7" width="12.7109375" bestFit="1" customWidth="1"/>
    <col min="8" max="8" width="8.42578125" bestFit="1" customWidth="1"/>
    <col min="9" max="9" width="6.28515625" bestFit="1" customWidth="1"/>
    <col min="10" max="10" width="8.140625" bestFit="1" customWidth="1"/>
    <col min="11" max="11" width="8.85546875" bestFit="1" customWidth="1"/>
    <col min="12" max="12" width="25.7109375" bestFit="1" customWidth="1"/>
    <col min="13" max="13" width="12.28515625" customWidth="1"/>
    <col min="16" max="16" width="25.7109375" bestFit="1" customWidth="1"/>
  </cols>
  <sheetData>
    <row r="1" spans="1:17" ht="30" x14ac:dyDescent="0.25">
      <c r="A1" s="307" t="s">
        <v>642</v>
      </c>
      <c r="B1" s="307" t="s">
        <v>80</v>
      </c>
      <c r="C1" s="307" t="s">
        <v>236</v>
      </c>
      <c r="D1" s="308" t="s">
        <v>66</v>
      </c>
      <c r="E1" s="308" t="s">
        <v>52</v>
      </c>
      <c r="F1" s="308" t="s">
        <v>757</v>
      </c>
      <c r="G1" s="308" t="s">
        <v>365</v>
      </c>
      <c r="H1" s="308" t="s">
        <v>366</v>
      </c>
      <c r="I1" s="308" t="s">
        <v>367</v>
      </c>
      <c r="J1" s="308" t="s">
        <v>421</v>
      </c>
      <c r="K1" s="308" t="s">
        <v>128</v>
      </c>
      <c r="L1" s="314" t="s">
        <v>802</v>
      </c>
      <c r="M1" s="290" t="s">
        <v>804</v>
      </c>
    </row>
    <row r="2" spans="1:17" x14ac:dyDescent="0.25">
      <c r="A2" s="232" t="s">
        <v>130</v>
      </c>
      <c r="B2" s="309" t="s">
        <v>131</v>
      </c>
      <c r="C2" s="309" t="s">
        <v>131</v>
      </c>
      <c r="D2" s="309" t="s">
        <v>131</v>
      </c>
      <c r="E2" s="309" t="s">
        <v>131</v>
      </c>
      <c r="F2" s="309">
        <v>300</v>
      </c>
      <c r="G2" s="309">
        <f>SUM(E3,F3)</f>
        <v>300</v>
      </c>
      <c r="H2" s="309">
        <v>0</v>
      </c>
      <c r="I2" s="309">
        <f>G2+H2</f>
        <v>300</v>
      </c>
      <c r="J2" s="309">
        <v>300</v>
      </c>
      <c r="K2" s="309" t="s">
        <v>98</v>
      </c>
      <c r="L2" s="231"/>
      <c r="M2" s="231"/>
    </row>
    <row r="3" spans="1:17" x14ac:dyDescent="0.25">
      <c r="A3" s="232" t="s">
        <v>132</v>
      </c>
      <c r="B3" s="310" t="s">
        <v>131</v>
      </c>
      <c r="C3" s="310" t="s">
        <v>131</v>
      </c>
      <c r="D3" s="309" t="s">
        <v>131</v>
      </c>
      <c r="E3" s="309" t="s">
        <v>131</v>
      </c>
      <c r="F3" s="309">
        <v>300</v>
      </c>
      <c r="G3" s="309">
        <v>300</v>
      </c>
      <c r="H3" s="309">
        <v>0</v>
      </c>
      <c r="I3" s="309">
        <f t="shared" ref="I3:I20" si="0">G3+H3</f>
        <v>300</v>
      </c>
      <c r="J3" s="309">
        <v>300</v>
      </c>
      <c r="K3" s="309" t="s">
        <v>98</v>
      </c>
      <c r="L3" s="231"/>
      <c r="M3" s="231"/>
    </row>
    <row r="4" spans="1:17" x14ac:dyDescent="0.25">
      <c r="A4" s="232" t="s">
        <v>68</v>
      </c>
      <c r="B4" s="232">
        <v>5.0369999999999999</v>
      </c>
      <c r="C4" s="232">
        <v>8.6509999999999998</v>
      </c>
      <c r="D4" s="309">
        <f>(C4-B4)*1000</f>
        <v>3614</v>
      </c>
      <c r="E4" s="309">
        <f>ROUND(D4*D23,0)</f>
        <v>606</v>
      </c>
      <c r="F4" s="309">
        <v>1200</v>
      </c>
      <c r="G4" s="309">
        <f t="shared" ref="G4:G19" si="1">SUM(E4,F4)</f>
        <v>1806</v>
      </c>
      <c r="H4" s="309">
        <v>50</v>
      </c>
      <c r="I4" s="309">
        <f t="shared" si="0"/>
        <v>1856</v>
      </c>
      <c r="J4" s="309">
        <v>1856</v>
      </c>
      <c r="K4" s="311" t="s">
        <v>98</v>
      </c>
      <c r="L4" s="315"/>
      <c r="M4" s="316"/>
    </row>
    <row r="5" spans="1:17" x14ac:dyDescent="0.25">
      <c r="A5" s="232" t="s">
        <v>70</v>
      </c>
      <c r="B5" s="232">
        <v>286.04000000000002</v>
      </c>
      <c r="C5" s="232">
        <v>289.36</v>
      </c>
      <c r="D5" s="309">
        <f t="shared" ref="D5:D20" si="2">(C5-B5)*1000</f>
        <v>3319.9999999999932</v>
      </c>
      <c r="E5" s="309">
        <f>ROUND(D5*D23,0)</f>
        <v>557</v>
      </c>
      <c r="F5" s="309">
        <v>1200</v>
      </c>
      <c r="G5" s="309">
        <f t="shared" si="1"/>
        <v>1757</v>
      </c>
      <c r="H5" s="309">
        <v>50</v>
      </c>
      <c r="I5" s="309">
        <f t="shared" si="0"/>
        <v>1807</v>
      </c>
      <c r="J5" s="309">
        <v>1807</v>
      </c>
      <c r="K5" s="309" t="s">
        <v>98</v>
      </c>
      <c r="L5" s="301" t="s">
        <v>789</v>
      </c>
      <c r="M5" s="295"/>
    </row>
    <row r="6" spans="1:17" x14ac:dyDescent="0.25">
      <c r="A6" s="232" t="s">
        <v>16</v>
      </c>
      <c r="B6" s="232">
        <v>561.83000000000004</v>
      </c>
      <c r="C6" s="232">
        <v>570.04</v>
      </c>
      <c r="D6" s="309">
        <f t="shared" si="2"/>
        <v>8209.9999999999236</v>
      </c>
      <c r="E6" s="309">
        <f>ROUND(D6*D23,0)</f>
        <v>1377</v>
      </c>
      <c r="F6" s="309">
        <v>1200</v>
      </c>
      <c r="G6" s="309">
        <f t="shared" si="1"/>
        <v>2577</v>
      </c>
      <c r="H6" s="309">
        <v>50</v>
      </c>
      <c r="I6" s="309">
        <f t="shared" si="0"/>
        <v>2627</v>
      </c>
      <c r="J6" s="309">
        <v>2627</v>
      </c>
      <c r="K6" s="309" t="s">
        <v>98</v>
      </c>
      <c r="L6" s="302" t="s">
        <v>314</v>
      </c>
      <c r="M6" s="231">
        <v>6500</v>
      </c>
      <c r="P6" s="355" t="s">
        <v>647</v>
      </c>
      <c r="Q6" s="356"/>
    </row>
    <row r="7" spans="1:17" x14ac:dyDescent="0.25">
      <c r="A7" s="232" t="s">
        <v>13</v>
      </c>
      <c r="B7" s="232">
        <v>458.46</v>
      </c>
      <c r="C7" s="232">
        <v>469.17</v>
      </c>
      <c r="D7" s="309">
        <f t="shared" si="2"/>
        <v>10710.000000000036</v>
      </c>
      <c r="E7" s="309">
        <f>ROUND(D7*D23,0)</f>
        <v>1796</v>
      </c>
      <c r="F7" s="309">
        <v>1200</v>
      </c>
      <c r="G7" s="309">
        <f t="shared" si="1"/>
        <v>2996</v>
      </c>
      <c r="H7" s="309">
        <v>50</v>
      </c>
      <c r="I7" s="309">
        <f t="shared" si="0"/>
        <v>3046</v>
      </c>
      <c r="J7" s="309">
        <v>3046</v>
      </c>
      <c r="K7" s="309" t="s">
        <v>98</v>
      </c>
      <c r="L7" s="303" t="s">
        <v>514</v>
      </c>
      <c r="M7" s="231">
        <v>800</v>
      </c>
      <c r="P7" s="317" t="s">
        <v>314</v>
      </c>
      <c r="Q7" s="231">
        <v>6500</v>
      </c>
    </row>
    <row r="8" spans="1:17" x14ac:dyDescent="0.25">
      <c r="A8" s="232">
        <v>101</v>
      </c>
      <c r="B8" s="232">
        <v>111.41</v>
      </c>
      <c r="C8" s="232">
        <v>111.92</v>
      </c>
      <c r="D8" s="309">
        <f t="shared" si="2"/>
        <v>510.00000000000512</v>
      </c>
      <c r="E8" s="309">
        <f>ROUND(D8*D23,0)</f>
        <v>86</v>
      </c>
      <c r="F8" s="309">
        <v>1200</v>
      </c>
      <c r="G8" s="309">
        <f t="shared" si="1"/>
        <v>1286</v>
      </c>
      <c r="H8" s="309">
        <v>50</v>
      </c>
      <c r="I8" s="309">
        <f t="shared" si="0"/>
        <v>1336</v>
      </c>
      <c r="J8" s="309">
        <v>1366</v>
      </c>
      <c r="K8" s="309" t="s">
        <v>98</v>
      </c>
      <c r="L8" s="276" t="s">
        <v>800</v>
      </c>
      <c r="M8" s="231">
        <v>1200</v>
      </c>
      <c r="P8" s="318" t="s">
        <v>514</v>
      </c>
      <c r="Q8" s="231">
        <v>800</v>
      </c>
    </row>
    <row r="9" spans="1:17" x14ac:dyDescent="0.25">
      <c r="A9" s="232">
        <v>102</v>
      </c>
      <c r="B9" s="232">
        <v>666.88</v>
      </c>
      <c r="C9" s="232">
        <v>671.2</v>
      </c>
      <c r="D9" s="309">
        <f t="shared" si="2"/>
        <v>4320.00000000005</v>
      </c>
      <c r="E9" s="309">
        <f>ROUND(D9*D23,0)</f>
        <v>725</v>
      </c>
      <c r="F9" s="309">
        <v>1200</v>
      </c>
      <c r="G9" s="309">
        <f t="shared" si="1"/>
        <v>1925</v>
      </c>
      <c r="H9" s="309">
        <v>50</v>
      </c>
      <c r="I9" s="309">
        <f t="shared" si="0"/>
        <v>1975</v>
      </c>
      <c r="J9" s="309">
        <v>1975</v>
      </c>
      <c r="K9" s="309" t="s">
        <v>98</v>
      </c>
      <c r="L9" s="276" t="s">
        <v>790</v>
      </c>
      <c r="M9" s="231">
        <v>20400</v>
      </c>
      <c r="P9" s="320" t="s">
        <v>805</v>
      </c>
      <c r="Q9" s="231">
        <v>18000</v>
      </c>
    </row>
    <row r="10" spans="1:17" x14ac:dyDescent="0.25">
      <c r="A10" s="232">
        <v>103</v>
      </c>
      <c r="B10" s="232">
        <v>355.18</v>
      </c>
      <c r="C10" s="232">
        <v>364.14</v>
      </c>
      <c r="D10" s="309">
        <f t="shared" si="2"/>
        <v>8959.99999999998</v>
      </c>
      <c r="E10" s="309">
        <f>ROUND(D10*D23,0)</f>
        <v>1503</v>
      </c>
      <c r="F10" s="309">
        <v>1200</v>
      </c>
      <c r="G10" s="309">
        <f t="shared" si="1"/>
        <v>2703</v>
      </c>
      <c r="H10" s="309">
        <v>50</v>
      </c>
      <c r="I10" s="309">
        <f t="shared" si="0"/>
        <v>2753</v>
      </c>
      <c r="J10" s="309">
        <v>2753</v>
      </c>
      <c r="K10" s="309" t="s">
        <v>98</v>
      </c>
      <c r="L10" s="276" t="s">
        <v>792</v>
      </c>
      <c r="M10" s="231">
        <v>7656</v>
      </c>
      <c r="P10" s="319" t="s">
        <v>792</v>
      </c>
      <c r="Q10" s="231">
        <v>3043</v>
      </c>
    </row>
    <row r="11" spans="1:17" x14ac:dyDescent="0.25">
      <c r="A11" s="232">
        <v>104</v>
      </c>
      <c r="B11" s="232">
        <v>259.08999999999997</v>
      </c>
      <c r="C11" s="232">
        <v>266.39</v>
      </c>
      <c r="D11" s="309">
        <f t="shared" si="2"/>
        <v>7300.0000000000109</v>
      </c>
      <c r="E11" s="309">
        <f>ROUND(D11*D23,0)</f>
        <v>1224</v>
      </c>
      <c r="F11" s="309">
        <v>1200</v>
      </c>
      <c r="G11" s="309">
        <f t="shared" si="1"/>
        <v>2424</v>
      </c>
      <c r="H11" s="309">
        <v>50</v>
      </c>
      <c r="I11" s="309">
        <f t="shared" si="0"/>
        <v>2474</v>
      </c>
      <c r="J11" s="309">
        <v>2474</v>
      </c>
      <c r="K11" s="309" t="s">
        <v>98</v>
      </c>
      <c r="L11" s="276" t="s">
        <v>793</v>
      </c>
      <c r="M11" s="231">
        <v>2044</v>
      </c>
      <c r="P11" s="318" t="s">
        <v>793</v>
      </c>
      <c r="Q11" s="231">
        <v>2044</v>
      </c>
    </row>
    <row r="12" spans="1:17" x14ac:dyDescent="0.25">
      <c r="A12" s="232">
        <v>201</v>
      </c>
      <c r="B12" s="232">
        <v>210.21</v>
      </c>
      <c r="C12" s="232">
        <v>218.59</v>
      </c>
      <c r="D12" s="309">
        <f t="shared" si="2"/>
        <v>8379.9999999999964</v>
      </c>
      <c r="E12" s="309">
        <f>ROUND(D12*D23,0)</f>
        <v>1405</v>
      </c>
      <c r="F12" s="309">
        <v>1200</v>
      </c>
      <c r="G12" s="309">
        <f t="shared" si="1"/>
        <v>2605</v>
      </c>
      <c r="H12" s="309">
        <v>50</v>
      </c>
      <c r="I12" s="309">
        <f t="shared" si="0"/>
        <v>2655</v>
      </c>
      <c r="J12" s="309">
        <v>2655</v>
      </c>
      <c r="K12" s="309" t="s">
        <v>98</v>
      </c>
      <c r="L12" s="276" t="s">
        <v>796</v>
      </c>
      <c r="M12" s="231">
        <v>1100</v>
      </c>
      <c r="P12" s="236" t="s">
        <v>305</v>
      </c>
      <c r="Q12" s="231">
        <v>911</v>
      </c>
    </row>
    <row r="13" spans="1:17" x14ac:dyDescent="0.25">
      <c r="A13" s="232">
        <v>202</v>
      </c>
      <c r="B13" s="232">
        <v>390.75</v>
      </c>
      <c r="C13" s="232">
        <v>394.73</v>
      </c>
      <c r="D13" s="309">
        <f t="shared" si="2"/>
        <v>3980.0000000000182</v>
      </c>
      <c r="E13" s="309">
        <f>ROUND(D13*D23,0)</f>
        <v>667</v>
      </c>
      <c r="F13" s="309">
        <v>1200</v>
      </c>
      <c r="G13" s="309">
        <f t="shared" si="1"/>
        <v>1867</v>
      </c>
      <c r="H13" s="309">
        <v>50</v>
      </c>
      <c r="I13" s="309">
        <f t="shared" si="0"/>
        <v>1917</v>
      </c>
      <c r="J13" s="309">
        <v>1917</v>
      </c>
      <c r="K13" s="309" t="s">
        <v>98</v>
      </c>
      <c r="L13" s="276" t="s">
        <v>798</v>
      </c>
      <c r="M13" s="231">
        <v>800</v>
      </c>
      <c r="P13" t="s">
        <v>806</v>
      </c>
      <c r="Q13">
        <v>6000</v>
      </c>
    </row>
    <row r="14" spans="1:17" x14ac:dyDescent="0.25">
      <c r="A14" s="232">
        <v>203</v>
      </c>
      <c r="B14" s="232">
        <v>8.5890000000000004</v>
      </c>
      <c r="C14" s="232">
        <v>14.211</v>
      </c>
      <c r="D14" s="309">
        <f t="shared" si="2"/>
        <v>5622</v>
      </c>
      <c r="E14" s="309">
        <f>ROUND(D14*D23,0)</f>
        <v>943</v>
      </c>
      <c r="F14" s="309">
        <v>1200</v>
      </c>
      <c r="G14" s="309">
        <f t="shared" si="1"/>
        <v>2143</v>
      </c>
      <c r="H14" s="309">
        <v>50</v>
      </c>
      <c r="I14" s="309">
        <f t="shared" si="0"/>
        <v>2193</v>
      </c>
      <c r="J14" s="309">
        <v>2193</v>
      </c>
      <c r="K14" s="309" t="s">
        <v>98</v>
      </c>
      <c r="L14" s="276" t="s">
        <v>799</v>
      </c>
      <c r="M14" s="231">
        <v>180</v>
      </c>
    </row>
    <row r="15" spans="1:17" x14ac:dyDescent="0.25">
      <c r="A15" s="232">
        <v>204</v>
      </c>
      <c r="B15" s="232">
        <v>385.45</v>
      </c>
      <c r="C15" s="232">
        <v>390.7</v>
      </c>
      <c r="D15" s="309">
        <f t="shared" si="2"/>
        <v>5250</v>
      </c>
      <c r="E15" s="309">
        <f>ROUND(D15*D23,0)</f>
        <v>880</v>
      </c>
      <c r="F15" s="309">
        <v>1200</v>
      </c>
      <c r="G15" s="309">
        <f t="shared" si="1"/>
        <v>2080</v>
      </c>
      <c r="H15" s="309">
        <v>50</v>
      </c>
      <c r="I15" s="309">
        <f t="shared" si="0"/>
        <v>2130</v>
      </c>
      <c r="J15" s="309">
        <v>2130</v>
      </c>
      <c r="K15" s="309" t="s">
        <v>98</v>
      </c>
      <c r="L15" s="276" t="s">
        <v>196</v>
      </c>
      <c r="M15" s="231">
        <v>400</v>
      </c>
    </row>
    <row r="16" spans="1:17" x14ac:dyDescent="0.25">
      <c r="A16" s="232">
        <v>301</v>
      </c>
      <c r="B16" s="232">
        <v>166.67</v>
      </c>
      <c r="C16" s="232">
        <v>171.14</v>
      </c>
      <c r="D16" s="309">
        <f t="shared" si="2"/>
        <v>4469.9999999999991</v>
      </c>
      <c r="E16" s="309">
        <f>ROUND(D16*D23,0)</f>
        <v>750</v>
      </c>
      <c r="F16" s="309">
        <v>1200</v>
      </c>
      <c r="G16" s="309">
        <f t="shared" si="1"/>
        <v>1950</v>
      </c>
      <c r="H16" s="309">
        <v>50</v>
      </c>
      <c r="I16" s="309">
        <f t="shared" si="0"/>
        <v>2000</v>
      </c>
      <c r="J16" s="309">
        <v>2000</v>
      </c>
      <c r="K16" s="309" t="s">
        <v>98</v>
      </c>
      <c r="L16" s="276" t="s">
        <v>801</v>
      </c>
      <c r="M16" s="231">
        <v>250</v>
      </c>
    </row>
    <row r="17" spans="1:17" x14ac:dyDescent="0.25">
      <c r="A17" s="232">
        <v>302</v>
      </c>
      <c r="B17" s="232">
        <v>327.08999999999997</v>
      </c>
      <c r="C17" s="232">
        <v>337.82</v>
      </c>
      <c r="D17" s="309">
        <f t="shared" si="2"/>
        <v>10730.000000000018</v>
      </c>
      <c r="E17" s="309">
        <f>ROUND(D17*D23,0)</f>
        <v>1800</v>
      </c>
      <c r="F17" s="309">
        <v>1200</v>
      </c>
      <c r="G17" s="309">
        <f t="shared" si="1"/>
        <v>3000</v>
      </c>
      <c r="H17" s="309">
        <v>50</v>
      </c>
      <c r="I17" s="309">
        <f t="shared" si="0"/>
        <v>3050</v>
      </c>
      <c r="J17" s="309">
        <v>3050</v>
      </c>
      <c r="K17" s="312" t="s">
        <v>98</v>
      </c>
      <c r="L17" s="276"/>
      <c r="M17" s="231"/>
    </row>
    <row r="18" spans="1:17" x14ac:dyDescent="0.25">
      <c r="A18" s="232">
        <v>303</v>
      </c>
      <c r="B18" s="232">
        <v>188.411</v>
      </c>
      <c r="C18" s="232">
        <v>198.19300000000001</v>
      </c>
      <c r="D18" s="309">
        <f t="shared" si="2"/>
        <v>9782.0000000000109</v>
      </c>
      <c r="E18" s="309">
        <f>ROUND(D18*D23,0)</f>
        <v>1641</v>
      </c>
      <c r="F18" s="309">
        <v>1200</v>
      </c>
      <c r="G18" s="309">
        <f t="shared" si="1"/>
        <v>2841</v>
      </c>
      <c r="H18" s="309">
        <v>50</v>
      </c>
      <c r="I18" s="309">
        <f t="shared" si="0"/>
        <v>2891</v>
      </c>
      <c r="J18" s="309">
        <v>2891</v>
      </c>
      <c r="K18" s="309" t="s">
        <v>98</v>
      </c>
      <c r="L18" s="276"/>
      <c r="M18" s="231"/>
    </row>
    <row r="19" spans="1:17" x14ac:dyDescent="0.25">
      <c r="A19" s="232">
        <v>304</v>
      </c>
      <c r="B19" s="232">
        <v>509.79</v>
      </c>
      <c r="C19" s="232">
        <v>521.96</v>
      </c>
      <c r="D19" s="309">
        <f t="shared" si="2"/>
        <v>12170.000000000016</v>
      </c>
      <c r="E19" s="309">
        <f>ROUND(D19*D23,0)</f>
        <v>2041</v>
      </c>
      <c r="F19" s="309">
        <v>1200</v>
      </c>
      <c r="G19" s="309">
        <f t="shared" si="1"/>
        <v>3241</v>
      </c>
      <c r="H19" s="309">
        <v>50</v>
      </c>
      <c r="I19" s="309">
        <f t="shared" si="0"/>
        <v>3291</v>
      </c>
      <c r="J19" s="309">
        <v>3291</v>
      </c>
      <c r="K19" s="309" t="s">
        <v>98</v>
      </c>
      <c r="L19" s="304"/>
      <c r="M19" s="300"/>
      <c r="Q19">
        <f>SUM(Q7:Q18)</f>
        <v>37298</v>
      </c>
    </row>
    <row r="20" spans="1:17" x14ac:dyDescent="0.25">
      <c r="A20" s="309" t="s">
        <v>287</v>
      </c>
      <c r="B20" s="232">
        <v>527.01</v>
      </c>
      <c r="C20" s="232">
        <v>527.01</v>
      </c>
      <c r="D20" s="309">
        <f t="shared" si="2"/>
        <v>0</v>
      </c>
      <c r="E20" s="309">
        <f>ROUND(D20*D23,0)</f>
        <v>0</v>
      </c>
      <c r="F20" s="309">
        <v>0</v>
      </c>
      <c r="G20" s="309"/>
      <c r="H20" s="309">
        <v>0</v>
      </c>
      <c r="I20" s="309">
        <f t="shared" si="0"/>
        <v>0</v>
      </c>
      <c r="J20" s="309"/>
      <c r="K20" s="309"/>
      <c r="L20" s="276"/>
      <c r="M20" s="231"/>
      <c r="P20">
        <f>38601+17199-41330</f>
        <v>14470</v>
      </c>
    </row>
    <row r="21" spans="1:17" x14ac:dyDescent="0.25">
      <c r="A21" s="309"/>
      <c r="B21" s="309"/>
      <c r="C21" s="309"/>
      <c r="D21" s="309"/>
      <c r="E21" s="313"/>
      <c r="F21" s="313"/>
      <c r="G21" s="313"/>
      <c r="H21" s="313">
        <f>SUM(H2:H20)</f>
        <v>800</v>
      </c>
      <c r="I21" s="313">
        <f>SUM(I2:I20)</f>
        <v>38601</v>
      </c>
      <c r="J21" s="313">
        <f>SUMIF(J2:J20, "Paid", I2:I20)</f>
        <v>0</v>
      </c>
      <c r="K21" s="313"/>
      <c r="L21" s="276"/>
      <c r="M21" s="231"/>
    </row>
    <row r="22" spans="1:17" x14ac:dyDescent="0.25">
      <c r="A22" s="305"/>
      <c r="B22" s="230" t="s">
        <v>75</v>
      </c>
      <c r="C22" s="230"/>
      <c r="D22" s="306">
        <f>SUM(D4:D20)</f>
        <v>107328.00000000006</v>
      </c>
      <c r="E22" s="230">
        <f>SUM(E4:E20)</f>
        <v>18001</v>
      </c>
      <c r="F22" s="230"/>
      <c r="G22" s="230"/>
      <c r="H22" s="230"/>
      <c r="I22" s="230"/>
      <c r="J22" s="230"/>
      <c r="K22" s="230"/>
      <c r="L22" s="231"/>
      <c r="M22" s="245">
        <f>SUM(M6:M19)</f>
        <v>41330</v>
      </c>
    </row>
    <row r="23" spans="1:17" ht="45" x14ac:dyDescent="0.25">
      <c r="A23" s="228"/>
      <c r="B23" s="29" t="s">
        <v>243</v>
      </c>
      <c r="C23" s="119" t="s">
        <v>641</v>
      </c>
      <c r="D23" s="111">
        <f>B24/D22</f>
        <v>0.16771019677996413</v>
      </c>
      <c r="E23" s="29"/>
      <c r="F23" s="29"/>
      <c r="G23" s="29"/>
      <c r="H23" s="29"/>
      <c r="I23" s="29"/>
      <c r="J23" s="29"/>
      <c r="K23" s="29"/>
      <c r="L23" s="257"/>
      <c r="M23" s="257"/>
    </row>
    <row r="24" spans="1:17" ht="45" x14ac:dyDescent="0.25">
      <c r="A24" s="281" t="s">
        <v>85</v>
      </c>
      <c r="B24" s="30">
        <f>15*1200</f>
        <v>18000</v>
      </c>
      <c r="C24" s="119" t="s">
        <v>803</v>
      </c>
      <c r="D24" s="29"/>
      <c r="E24" s="29"/>
      <c r="F24" s="29"/>
      <c r="G24" s="29"/>
      <c r="H24" s="29"/>
      <c r="I24" s="29"/>
      <c r="J24" s="29"/>
      <c r="K24" s="29"/>
    </row>
  </sheetData>
  <mergeCells count="1">
    <mergeCell ref="P6:Q6"/>
  </mergeCells>
  <pageMargins left="0.7" right="0.7" top="0.75" bottom="0.75" header="0.3" footer="0.3"/>
  <tableParts count="1">
    <tablePart r:id="rId1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3431-2483-49D8-AAE9-8AE5023CB293}">
  <dimension ref="A1:Q24"/>
  <sheetViews>
    <sheetView workbookViewId="0">
      <selection activeCell="J20" sqref="J20"/>
    </sheetView>
  </sheetViews>
  <sheetFormatPr defaultRowHeight="15" x14ac:dyDescent="0.25"/>
  <cols>
    <col min="1" max="1" width="14.7109375" bestFit="1" customWidth="1"/>
    <col min="2" max="2" width="16.28515625" bestFit="1" customWidth="1"/>
    <col min="3" max="3" width="16.7109375" bestFit="1" customWidth="1"/>
    <col min="4" max="4" width="9.5703125" bestFit="1" customWidth="1"/>
    <col min="5" max="5" width="6.5703125" bestFit="1" customWidth="1"/>
    <col min="6" max="7" width="12.7109375" bestFit="1" customWidth="1"/>
    <col min="8" max="8" width="8.42578125" bestFit="1" customWidth="1"/>
    <col min="9" max="9" width="6.28515625" bestFit="1" customWidth="1"/>
    <col min="10" max="10" width="8.140625" bestFit="1" customWidth="1"/>
    <col min="11" max="11" width="8.85546875" bestFit="1" customWidth="1"/>
    <col min="12" max="12" width="25.7109375" bestFit="1" customWidth="1"/>
    <col min="13" max="13" width="12.28515625" customWidth="1"/>
    <col min="16" max="16" width="25.7109375" bestFit="1" customWidth="1"/>
  </cols>
  <sheetData>
    <row r="1" spans="1:17" ht="30" x14ac:dyDescent="0.25">
      <c r="A1" s="307" t="s">
        <v>642</v>
      </c>
      <c r="B1" s="307" t="s">
        <v>80</v>
      </c>
      <c r="C1" s="307" t="s">
        <v>236</v>
      </c>
      <c r="D1" s="308" t="s">
        <v>66</v>
      </c>
      <c r="E1" s="308" t="s">
        <v>52</v>
      </c>
      <c r="F1" s="308" t="s">
        <v>757</v>
      </c>
      <c r="G1" s="308" t="s">
        <v>365</v>
      </c>
      <c r="H1" s="308" t="s">
        <v>366</v>
      </c>
      <c r="I1" s="308" t="s">
        <v>367</v>
      </c>
      <c r="J1" s="308" t="s">
        <v>421</v>
      </c>
      <c r="K1" s="308" t="s">
        <v>128</v>
      </c>
      <c r="L1" s="314" t="s">
        <v>813</v>
      </c>
      <c r="M1" s="323" t="s">
        <v>808</v>
      </c>
    </row>
    <row r="2" spans="1:17" x14ac:dyDescent="0.25">
      <c r="A2" s="232" t="s">
        <v>130</v>
      </c>
      <c r="B2" s="309" t="s">
        <v>131</v>
      </c>
      <c r="C2" s="309" t="s">
        <v>131</v>
      </c>
      <c r="D2" s="309" t="s">
        <v>131</v>
      </c>
      <c r="E2" s="309" t="s">
        <v>131</v>
      </c>
      <c r="F2" s="309">
        <v>300</v>
      </c>
      <c r="G2" s="309">
        <f>SUM(E3,F3)</f>
        <v>300</v>
      </c>
      <c r="H2" s="309">
        <v>0</v>
      </c>
      <c r="I2" s="309">
        <f>G2+H2</f>
        <v>300</v>
      </c>
      <c r="J2" s="309">
        <v>300</v>
      </c>
      <c r="K2" s="309" t="s">
        <v>98</v>
      </c>
      <c r="L2" s="231"/>
      <c r="M2" s="231"/>
    </row>
    <row r="3" spans="1:17" x14ac:dyDescent="0.25">
      <c r="A3" s="232" t="s">
        <v>132</v>
      </c>
      <c r="B3" s="310" t="s">
        <v>131</v>
      </c>
      <c r="C3" s="310" t="s">
        <v>131</v>
      </c>
      <c r="D3" s="309" t="s">
        <v>131</v>
      </c>
      <c r="E3" s="309" t="s">
        <v>131</v>
      </c>
      <c r="F3" s="309">
        <v>300</v>
      </c>
      <c r="G3" s="309">
        <v>300</v>
      </c>
      <c r="H3" s="309">
        <v>0</v>
      </c>
      <c r="I3" s="309">
        <f t="shared" ref="I3:I20" si="0">G3+H3</f>
        <v>300</v>
      </c>
      <c r="J3" s="309">
        <v>300</v>
      </c>
      <c r="K3" s="309" t="s">
        <v>98</v>
      </c>
      <c r="L3" s="231"/>
      <c r="M3" s="231"/>
    </row>
    <row r="4" spans="1:17" x14ac:dyDescent="0.25">
      <c r="A4" s="232" t="s">
        <v>68</v>
      </c>
      <c r="B4" s="232">
        <v>8.6509999999999998</v>
      </c>
      <c r="C4" s="232">
        <v>11.106</v>
      </c>
      <c r="D4" s="309">
        <f>(C4-B4)*1000</f>
        <v>2455</v>
      </c>
      <c r="E4" s="309">
        <f>ROUND(D4*D23,0)</f>
        <v>332</v>
      </c>
      <c r="F4" s="309">
        <v>1200</v>
      </c>
      <c r="G4" s="309">
        <f t="shared" ref="G4:G19" si="1">SUM(E4,F4)</f>
        <v>1532</v>
      </c>
      <c r="H4" s="309">
        <v>50</v>
      </c>
      <c r="I4" s="309">
        <f t="shared" si="0"/>
        <v>1582</v>
      </c>
      <c r="J4" s="309">
        <v>1582</v>
      </c>
      <c r="K4" s="311" t="s">
        <v>98</v>
      </c>
      <c r="L4" s="321"/>
      <c r="M4" s="322"/>
    </row>
    <row r="5" spans="1:17" x14ac:dyDescent="0.25">
      <c r="A5" s="232" t="s">
        <v>70</v>
      </c>
      <c r="B5" s="232">
        <v>289.36</v>
      </c>
      <c r="C5" s="232">
        <v>295.25</v>
      </c>
      <c r="D5" s="309">
        <f t="shared" ref="D5:D20" si="2">(C5-B5)*1000</f>
        <v>5889.9999999999864</v>
      </c>
      <c r="E5" s="309">
        <f>ROUND(D5*D23,0)</f>
        <v>797</v>
      </c>
      <c r="F5" s="309">
        <v>1200</v>
      </c>
      <c r="G5" s="309">
        <f t="shared" si="1"/>
        <v>1997</v>
      </c>
      <c r="H5" s="309">
        <v>50</v>
      </c>
      <c r="I5" s="309">
        <f t="shared" si="0"/>
        <v>2047</v>
      </c>
      <c r="J5" s="309">
        <v>2047</v>
      </c>
      <c r="K5" s="309" t="s">
        <v>98</v>
      </c>
      <c r="L5" s="295" t="s">
        <v>647</v>
      </c>
      <c r="M5" s="295"/>
    </row>
    <row r="6" spans="1:17" x14ac:dyDescent="0.25">
      <c r="A6" s="232" t="s">
        <v>16</v>
      </c>
      <c r="B6" s="232">
        <v>570.04</v>
      </c>
      <c r="C6" s="232">
        <v>578.51</v>
      </c>
      <c r="D6" s="309">
        <f t="shared" si="2"/>
        <v>8470.0000000000273</v>
      </c>
      <c r="E6" s="309">
        <f>ROUND(D6*D23,0)</f>
        <v>1146</v>
      </c>
      <c r="F6" s="309">
        <v>1200</v>
      </c>
      <c r="G6" s="309">
        <f t="shared" si="1"/>
        <v>2346</v>
      </c>
      <c r="H6" s="309">
        <v>50</v>
      </c>
      <c r="I6" s="309">
        <f t="shared" si="0"/>
        <v>2396</v>
      </c>
      <c r="J6" s="309">
        <v>2396</v>
      </c>
      <c r="K6" s="309" t="s">
        <v>98</v>
      </c>
      <c r="L6" s="317" t="s">
        <v>314</v>
      </c>
      <c r="M6" s="231">
        <v>6500</v>
      </c>
    </row>
    <row r="7" spans="1:17" x14ac:dyDescent="0.25">
      <c r="A7" s="232" t="s">
        <v>13</v>
      </c>
      <c r="B7" s="232">
        <v>469.17</v>
      </c>
      <c r="C7" s="232">
        <v>478.63</v>
      </c>
      <c r="D7" s="309">
        <f t="shared" si="2"/>
        <v>9459.99999999998</v>
      </c>
      <c r="E7" s="309">
        <f>ROUND(D7*D23,0)</f>
        <v>1280</v>
      </c>
      <c r="F7" s="309">
        <v>1200</v>
      </c>
      <c r="G7" s="309">
        <f t="shared" si="1"/>
        <v>2480</v>
      </c>
      <c r="H7" s="309">
        <v>50</v>
      </c>
      <c r="I7" s="309">
        <f t="shared" si="0"/>
        <v>2530</v>
      </c>
      <c r="J7" s="309">
        <v>2530</v>
      </c>
      <c r="K7" s="309" t="s">
        <v>98</v>
      </c>
      <c r="L7" s="318" t="s">
        <v>514</v>
      </c>
      <c r="M7" s="231">
        <v>800</v>
      </c>
    </row>
    <row r="8" spans="1:17" x14ac:dyDescent="0.25">
      <c r="A8" s="232">
        <v>101</v>
      </c>
      <c r="B8" s="232">
        <v>111.92</v>
      </c>
      <c r="C8" s="232">
        <v>117.16</v>
      </c>
      <c r="D8" s="309">
        <f t="shared" si="2"/>
        <v>5239.9999999999945</v>
      </c>
      <c r="E8" s="309">
        <f>ROUND(D8*D23,0)</f>
        <v>709</v>
      </c>
      <c r="F8" s="309">
        <v>1200</v>
      </c>
      <c r="G8" s="309">
        <f t="shared" si="1"/>
        <v>1909</v>
      </c>
      <c r="H8" s="309">
        <v>50</v>
      </c>
      <c r="I8" s="309">
        <f t="shared" si="0"/>
        <v>1959</v>
      </c>
      <c r="J8" s="309">
        <v>1959</v>
      </c>
      <c r="K8" s="309" t="s">
        <v>98</v>
      </c>
      <c r="L8" s="320" t="s">
        <v>805</v>
      </c>
      <c r="M8" s="231">
        <v>18000</v>
      </c>
      <c r="P8" s="295" t="s">
        <v>653</v>
      </c>
      <c r="Q8" s="295"/>
    </row>
    <row r="9" spans="1:17" x14ac:dyDescent="0.25">
      <c r="A9" s="232">
        <v>102</v>
      </c>
      <c r="B9" s="232">
        <v>671.2</v>
      </c>
      <c r="C9" s="232">
        <v>676.42</v>
      </c>
      <c r="D9" s="309">
        <f t="shared" si="2"/>
        <v>5219.9999999999136</v>
      </c>
      <c r="E9" s="309">
        <f>ROUND(D9*D23,0)</f>
        <v>706</v>
      </c>
      <c r="F9" s="309">
        <v>1200</v>
      </c>
      <c r="G9" s="309">
        <f t="shared" si="1"/>
        <v>1906</v>
      </c>
      <c r="H9" s="309">
        <v>50</v>
      </c>
      <c r="I9" s="309">
        <f t="shared" si="0"/>
        <v>1956</v>
      </c>
      <c r="J9" s="309">
        <v>1956</v>
      </c>
      <c r="K9" s="309" t="s">
        <v>98</v>
      </c>
      <c r="L9" s="319" t="s">
        <v>792</v>
      </c>
      <c r="M9" s="231">
        <v>3043</v>
      </c>
      <c r="P9" s="317" t="s">
        <v>314</v>
      </c>
      <c r="Q9" s="324">
        <v>6500</v>
      </c>
    </row>
    <row r="10" spans="1:17" x14ac:dyDescent="0.25">
      <c r="A10" s="232">
        <v>103</v>
      </c>
      <c r="B10" s="232">
        <v>364.14</v>
      </c>
      <c r="C10" s="232">
        <v>372.92</v>
      </c>
      <c r="D10" s="309">
        <f t="shared" si="2"/>
        <v>8780.0000000000291</v>
      </c>
      <c r="E10" s="309">
        <f>ROUND(D10*D23,0)</f>
        <v>1188</v>
      </c>
      <c r="F10" s="309">
        <v>1200</v>
      </c>
      <c r="G10" s="309">
        <f t="shared" si="1"/>
        <v>2388</v>
      </c>
      <c r="H10" s="309">
        <v>50</v>
      </c>
      <c r="I10" s="309">
        <f t="shared" si="0"/>
        <v>2438</v>
      </c>
      <c r="J10" s="309">
        <v>2438</v>
      </c>
      <c r="K10" s="309" t="s">
        <v>98</v>
      </c>
      <c r="L10" s="318" t="s">
        <v>793</v>
      </c>
      <c r="M10" s="231">
        <v>2044</v>
      </c>
      <c r="P10" s="325" t="s">
        <v>514</v>
      </c>
      <c r="Q10" s="289">
        <v>800</v>
      </c>
    </row>
    <row r="11" spans="1:17" x14ac:dyDescent="0.25">
      <c r="A11" s="232">
        <v>104</v>
      </c>
      <c r="B11" s="232">
        <v>266.39</v>
      </c>
      <c r="C11" s="232">
        <v>275.81</v>
      </c>
      <c r="D11" s="309">
        <f t="shared" si="2"/>
        <v>9420.0000000000164</v>
      </c>
      <c r="E11" s="309">
        <f>ROUND(D11*D23,0)</f>
        <v>1274</v>
      </c>
      <c r="F11" s="309">
        <v>1200</v>
      </c>
      <c r="G11" s="309">
        <f t="shared" si="1"/>
        <v>2474</v>
      </c>
      <c r="H11" s="309">
        <v>50</v>
      </c>
      <c r="I11" s="309">
        <f t="shared" si="0"/>
        <v>2524</v>
      </c>
      <c r="J11" s="309">
        <v>2524</v>
      </c>
      <c r="K11" s="309" t="s">
        <v>98</v>
      </c>
      <c r="L11" s="236" t="s">
        <v>305</v>
      </c>
      <c r="M11" s="231">
        <v>911</v>
      </c>
      <c r="P11" s="326" t="s">
        <v>809</v>
      </c>
      <c r="Q11" s="324">
        <v>18000</v>
      </c>
    </row>
    <row r="12" spans="1:17" x14ac:dyDescent="0.25">
      <c r="A12" s="232">
        <v>201</v>
      </c>
      <c r="B12" s="232">
        <v>218.59</v>
      </c>
      <c r="C12" s="232">
        <v>224.29</v>
      </c>
      <c r="D12" s="309">
        <f t="shared" si="2"/>
        <v>5699.9999999999891</v>
      </c>
      <c r="E12" s="309">
        <f>ROUND(D12*D23,0)</f>
        <v>771</v>
      </c>
      <c r="F12" s="309">
        <v>1200</v>
      </c>
      <c r="G12" s="309">
        <f t="shared" si="1"/>
        <v>1971</v>
      </c>
      <c r="H12" s="309">
        <v>50</v>
      </c>
      <c r="I12" s="309">
        <f t="shared" si="0"/>
        <v>2021</v>
      </c>
      <c r="J12" s="309">
        <v>2021</v>
      </c>
      <c r="K12" s="309" t="s">
        <v>98</v>
      </c>
      <c r="L12" s="231" t="s">
        <v>806</v>
      </c>
      <c r="M12" s="231">
        <v>6000</v>
      </c>
      <c r="P12" s="326" t="s">
        <v>792</v>
      </c>
      <c r="Q12" s="289">
        <v>3325</v>
      </c>
    </row>
    <row r="13" spans="1:17" x14ac:dyDescent="0.25">
      <c r="A13" s="232">
        <v>202</v>
      </c>
      <c r="B13" s="232">
        <v>394.73</v>
      </c>
      <c r="C13" s="232">
        <v>399.55</v>
      </c>
      <c r="D13" s="309">
        <f t="shared" si="2"/>
        <v>4819.9999999999927</v>
      </c>
      <c r="E13" s="309">
        <f>ROUND(D13*D23,0)</f>
        <v>652</v>
      </c>
      <c r="F13" s="309">
        <v>1200</v>
      </c>
      <c r="G13" s="309">
        <f t="shared" si="1"/>
        <v>1852</v>
      </c>
      <c r="H13" s="309">
        <v>50</v>
      </c>
      <c r="I13" s="309">
        <f t="shared" si="0"/>
        <v>1902</v>
      </c>
      <c r="J13" s="309">
        <v>1902</v>
      </c>
      <c r="K13" s="309" t="s">
        <v>98</v>
      </c>
      <c r="L13" s="231" t="s">
        <v>807</v>
      </c>
      <c r="M13" s="231">
        <v>300</v>
      </c>
      <c r="P13" s="326" t="s">
        <v>793</v>
      </c>
      <c r="Q13" s="324">
        <v>2044</v>
      </c>
    </row>
    <row r="14" spans="1:17" x14ac:dyDescent="0.25">
      <c r="A14" s="232">
        <v>203</v>
      </c>
      <c r="B14" s="232">
        <v>14.211</v>
      </c>
      <c r="C14" s="232">
        <v>19.997</v>
      </c>
      <c r="D14" s="309">
        <f t="shared" si="2"/>
        <v>5786</v>
      </c>
      <c r="E14" s="309">
        <f>ROUND(D14*D23,0)</f>
        <v>783</v>
      </c>
      <c r="F14" s="309">
        <v>1200</v>
      </c>
      <c r="G14" s="309">
        <f t="shared" si="1"/>
        <v>1983</v>
      </c>
      <c r="H14" s="309">
        <v>50</v>
      </c>
      <c r="I14" s="309">
        <f t="shared" si="0"/>
        <v>2033</v>
      </c>
      <c r="J14" s="309">
        <v>2033</v>
      </c>
      <c r="K14" s="309" t="s">
        <v>98</v>
      </c>
      <c r="L14" s="276"/>
      <c r="M14" s="231"/>
      <c r="P14" s="325"/>
      <c r="Q14" s="289"/>
    </row>
    <row r="15" spans="1:17" x14ac:dyDescent="0.25">
      <c r="A15" s="232">
        <v>204</v>
      </c>
      <c r="B15" s="232">
        <v>390.7</v>
      </c>
      <c r="C15" s="232">
        <v>396.4</v>
      </c>
      <c r="D15" s="309">
        <f t="shared" si="2"/>
        <v>5699.9999999999891</v>
      </c>
      <c r="E15" s="309">
        <f>ROUND(D15*D23,0)</f>
        <v>771</v>
      </c>
      <c r="F15" s="309">
        <v>1200</v>
      </c>
      <c r="G15" s="309">
        <f t="shared" si="1"/>
        <v>1971</v>
      </c>
      <c r="H15" s="309">
        <v>50</v>
      </c>
      <c r="I15" s="309">
        <f t="shared" si="0"/>
        <v>2021</v>
      </c>
      <c r="J15" s="309">
        <v>2021</v>
      </c>
      <c r="K15" s="309" t="s">
        <v>98</v>
      </c>
      <c r="L15" s="276"/>
      <c r="M15" s="231"/>
      <c r="P15" s="324"/>
      <c r="Q15" s="324"/>
    </row>
    <row r="16" spans="1:17" x14ac:dyDescent="0.25">
      <c r="A16" s="232">
        <v>301</v>
      </c>
      <c r="B16" s="232">
        <v>171.14</v>
      </c>
      <c r="C16" s="232">
        <v>176.29</v>
      </c>
      <c r="D16" s="309">
        <f t="shared" si="2"/>
        <v>5150.0000000000055</v>
      </c>
      <c r="E16" s="309">
        <f>ROUND(D16*D23,0)</f>
        <v>697</v>
      </c>
      <c r="F16" s="309">
        <v>1200</v>
      </c>
      <c r="G16" s="309">
        <f t="shared" si="1"/>
        <v>1897</v>
      </c>
      <c r="H16" s="309">
        <v>50</v>
      </c>
      <c r="I16" s="309">
        <f t="shared" si="0"/>
        <v>1947</v>
      </c>
      <c r="J16" s="309">
        <v>1947</v>
      </c>
      <c r="K16" s="309" t="s">
        <v>98</v>
      </c>
      <c r="L16" s="276"/>
      <c r="M16" s="231"/>
      <c r="P16" s="289"/>
      <c r="Q16" s="289"/>
    </row>
    <row r="17" spans="1:13" x14ac:dyDescent="0.25">
      <c r="A17" s="232">
        <v>302</v>
      </c>
      <c r="B17" s="232">
        <v>337.82</v>
      </c>
      <c r="C17" s="232">
        <v>347.45</v>
      </c>
      <c r="D17" s="309">
        <f t="shared" si="2"/>
        <v>9629.9999999999964</v>
      </c>
      <c r="E17" s="309">
        <f>ROUND(D17*D23,0)</f>
        <v>1303</v>
      </c>
      <c r="F17" s="309">
        <v>1200</v>
      </c>
      <c r="G17" s="309">
        <f t="shared" si="1"/>
        <v>2503</v>
      </c>
      <c r="H17" s="309">
        <v>50</v>
      </c>
      <c r="I17" s="309">
        <f t="shared" si="0"/>
        <v>2553</v>
      </c>
      <c r="J17" s="309">
        <v>2553</v>
      </c>
      <c r="K17" s="312" t="s">
        <v>98</v>
      </c>
      <c r="L17" s="276"/>
      <c r="M17" s="231"/>
    </row>
    <row r="18" spans="1:13" x14ac:dyDescent="0.25">
      <c r="A18" s="232">
        <v>303</v>
      </c>
      <c r="B18" s="232">
        <v>198.19300000000001</v>
      </c>
      <c r="C18" s="232">
        <v>207.351</v>
      </c>
      <c r="D18" s="309">
        <f t="shared" si="2"/>
        <v>9157.9999999999873</v>
      </c>
      <c r="E18" s="309">
        <f>ROUND(D18*D23,0)</f>
        <v>1239</v>
      </c>
      <c r="F18" s="309">
        <v>1200</v>
      </c>
      <c r="G18" s="309">
        <f t="shared" si="1"/>
        <v>2439</v>
      </c>
      <c r="H18" s="309">
        <v>50</v>
      </c>
      <c r="I18" s="309">
        <f t="shared" si="0"/>
        <v>2489</v>
      </c>
      <c r="J18" s="309">
        <v>2489</v>
      </c>
      <c r="K18" s="309" t="s">
        <v>98</v>
      </c>
      <c r="L18" s="276"/>
      <c r="M18" s="231"/>
    </row>
    <row r="19" spans="1:13" x14ac:dyDescent="0.25">
      <c r="A19" s="232">
        <v>304</v>
      </c>
      <c r="B19" s="232">
        <v>521.96</v>
      </c>
      <c r="C19" s="232">
        <v>532.04999999999995</v>
      </c>
      <c r="D19" s="309">
        <f t="shared" si="2"/>
        <v>10089.999999999918</v>
      </c>
      <c r="E19" s="309">
        <f>ROUND(D19*D23,0)</f>
        <v>1365</v>
      </c>
      <c r="F19" s="309">
        <v>1200</v>
      </c>
      <c r="G19" s="309">
        <f t="shared" si="1"/>
        <v>2565</v>
      </c>
      <c r="H19" s="309">
        <v>50</v>
      </c>
      <c r="I19" s="309">
        <f t="shared" si="0"/>
        <v>2615</v>
      </c>
      <c r="J19" s="309">
        <v>2615</v>
      </c>
      <c r="K19" s="309" t="s">
        <v>98</v>
      </c>
      <c r="L19" s="304"/>
      <c r="M19" s="300"/>
    </row>
    <row r="20" spans="1:13" x14ac:dyDescent="0.25">
      <c r="A20" s="309" t="s">
        <v>287</v>
      </c>
      <c r="B20" s="232">
        <v>527.01</v>
      </c>
      <c r="C20" s="232">
        <v>549.11</v>
      </c>
      <c r="D20" s="309">
        <f t="shared" si="2"/>
        <v>22100.000000000022</v>
      </c>
      <c r="E20" s="309">
        <f>ROUND(D20*D23,0)</f>
        <v>2989</v>
      </c>
      <c r="F20" s="309">
        <v>0</v>
      </c>
      <c r="G20" s="309"/>
      <c r="H20" s="309">
        <v>0</v>
      </c>
      <c r="I20" s="309">
        <f t="shared" si="0"/>
        <v>0</v>
      </c>
      <c r="J20" s="313">
        <f>SUMIF(J2:J19, "Paid", I2:I19)</f>
        <v>0</v>
      </c>
      <c r="K20" s="309"/>
      <c r="L20" s="276"/>
      <c r="M20" s="231"/>
    </row>
    <row r="21" spans="1:13" x14ac:dyDescent="0.25">
      <c r="A21" s="309"/>
      <c r="B21" s="309"/>
      <c r="C21" s="309"/>
      <c r="D21" s="309"/>
      <c r="E21" s="313"/>
      <c r="F21" s="313"/>
      <c r="G21" s="313"/>
      <c r="H21" s="313">
        <f>SUM(H2:H20)</f>
        <v>800</v>
      </c>
      <c r="I21" s="313">
        <f>SUM(I2:I20)</f>
        <v>35613</v>
      </c>
      <c r="J21" s="29">
        <f>SUBTOTAL(109,J2:J19)</f>
        <v>35613</v>
      </c>
      <c r="K21" s="313"/>
      <c r="L21" s="276"/>
      <c r="M21" s="231"/>
    </row>
    <row r="22" spans="1:13" x14ac:dyDescent="0.25">
      <c r="A22" s="305"/>
      <c r="B22" s="230" t="s">
        <v>75</v>
      </c>
      <c r="C22" s="230"/>
      <c r="D22" s="306">
        <f>SUM(D4:D20)</f>
        <v>133068.99999999983</v>
      </c>
      <c r="E22" s="230">
        <f>SUM(E4:E20)</f>
        <v>18002</v>
      </c>
      <c r="F22" s="230"/>
      <c r="G22" s="230"/>
      <c r="H22" s="230"/>
      <c r="I22" s="230"/>
      <c r="J22" s="230"/>
      <c r="K22" s="230"/>
      <c r="L22" s="231"/>
      <c r="M22" s="245">
        <f>SUM(M6:M18)</f>
        <v>37598</v>
      </c>
    </row>
    <row r="23" spans="1:13" ht="45" x14ac:dyDescent="0.25">
      <c r="A23" s="228"/>
      <c r="B23" s="29" t="s">
        <v>243</v>
      </c>
      <c r="C23" s="119" t="s">
        <v>641</v>
      </c>
      <c r="D23" s="111">
        <f>B24/D22</f>
        <v>0.1352681691453308</v>
      </c>
      <c r="E23" s="29"/>
      <c r="F23" s="29"/>
      <c r="G23" s="29"/>
      <c r="H23" s="29"/>
      <c r="I23" s="29"/>
      <c r="J23" s="29"/>
      <c r="K23" s="29"/>
      <c r="L23" s="257"/>
      <c r="M23" s="257"/>
    </row>
    <row r="24" spans="1:13" ht="45" x14ac:dyDescent="0.25">
      <c r="A24" s="281" t="s">
        <v>85</v>
      </c>
      <c r="B24" s="30">
        <f>15*1200</f>
        <v>18000</v>
      </c>
      <c r="C24" s="119" t="s">
        <v>803</v>
      </c>
      <c r="D24" s="29"/>
      <c r="E24" s="29"/>
      <c r="F24" s="29"/>
      <c r="G24" s="29"/>
      <c r="H24" s="29"/>
      <c r="I24" s="29"/>
      <c r="J24" s="29"/>
      <c r="K24" s="29"/>
    </row>
  </sheetData>
  <phoneticPr fontId="26" type="noConversion"/>
  <pageMargins left="0.7" right="0.7" top="0.75" bottom="0.75" header="0.3" footer="0.3"/>
  <tableParts count="1">
    <tablePart r:id="rId1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A03F4-1E68-4471-8DAF-D559F12C67E6}">
  <dimension ref="A1:R24"/>
  <sheetViews>
    <sheetView tabSelected="1" workbookViewId="0">
      <selection activeCell="M2" sqref="M2"/>
    </sheetView>
  </sheetViews>
  <sheetFormatPr defaultRowHeight="15" x14ac:dyDescent="0.25"/>
  <cols>
    <col min="1" max="1" width="14.7109375" bestFit="1" customWidth="1"/>
    <col min="2" max="2" width="16.28515625" bestFit="1" customWidth="1"/>
    <col min="3" max="3" width="16.7109375" bestFit="1" customWidth="1"/>
    <col min="4" max="4" width="9.5703125" bestFit="1" customWidth="1"/>
    <col min="5" max="5" width="6.5703125" bestFit="1" customWidth="1"/>
    <col min="6" max="7" width="12.7109375" bestFit="1" customWidth="1"/>
    <col min="8" max="8" width="8.42578125" bestFit="1" customWidth="1"/>
    <col min="9" max="9" width="6.28515625" bestFit="1" customWidth="1"/>
    <col min="10" max="10" width="8.140625" bestFit="1" customWidth="1"/>
    <col min="11" max="11" width="8.85546875" bestFit="1" customWidth="1"/>
    <col min="12" max="12" width="25.7109375" bestFit="1" customWidth="1"/>
    <col min="13" max="13" width="12.28515625" customWidth="1"/>
    <col min="16" max="16" width="26" customWidth="1"/>
    <col min="17" max="17" width="10.28515625" customWidth="1"/>
  </cols>
  <sheetData>
    <row r="1" spans="1:18" ht="30" x14ac:dyDescent="0.25">
      <c r="A1" s="307" t="s">
        <v>642</v>
      </c>
      <c r="B1" s="307" t="s">
        <v>80</v>
      </c>
      <c r="C1" s="307" t="s">
        <v>236</v>
      </c>
      <c r="D1" s="308" t="s">
        <v>66</v>
      </c>
      <c r="E1" s="308" t="s">
        <v>52</v>
      </c>
      <c r="F1" s="308" t="s">
        <v>757</v>
      </c>
      <c r="G1" s="308" t="s">
        <v>365</v>
      </c>
      <c r="H1" s="308" t="s">
        <v>366</v>
      </c>
      <c r="I1" s="308" t="s">
        <v>367</v>
      </c>
      <c r="J1" s="308" t="s">
        <v>421</v>
      </c>
      <c r="K1" s="308" t="s">
        <v>128</v>
      </c>
      <c r="L1" s="314" t="s">
        <v>814</v>
      </c>
      <c r="M1" s="323" t="s">
        <v>817</v>
      </c>
    </row>
    <row r="2" spans="1:18" x14ac:dyDescent="0.25">
      <c r="A2" s="232" t="s">
        <v>130</v>
      </c>
      <c r="B2" s="309" t="s">
        <v>131</v>
      </c>
      <c r="C2" s="309" t="s">
        <v>131</v>
      </c>
      <c r="D2" s="309" t="s">
        <v>131</v>
      </c>
      <c r="E2" s="309" t="s">
        <v>131</v>
      </c>
      <c r="F2" s="309">
        <v>300</v>
      </c>
      <c r="G2" s="309">
        <f>SUM(E3,F3)</f>
        <v>300</v>
      </c>
      <c r="H2" s="309">
        <v>0</v>
      </c>
      <c r="I2" s="309">
        <f>G2+H2</f>
        <v>300</v>
      </c>
      <c r="J2" s="309"/>
      <c r="K2" s="309"/>
      <c r="L2" s="231"/>
      <c r="M2" s="231"/>
    </row>
    <row r="3" spans="1:18" x14ac:dyDescent="0.25">
      <c r="A3" s="232" t="s">
        <v>132</v>
      </c>
      <c r="B3" s="310" t="s">
        <v>131</v>
      </c>
      <c r="C3" s="310" t="s">
        <v>131</v>
      </c>
      <c r="D3" s="309" t="s">
        <v>131</v>
      </c>
      <c r="E3" s="309" t="s">
        <v>131</v>
      </c>
      <c r="F3" s="309">
        <v>300</v>
      </c>
      <c r="G3" s="309">
        <v>300</v>
      </c>
      <c r="H3" s="309">
        <v>0</v>
      </c>
      <c r="I3" s="309">
        <f t="shared" ref="I3:I20" si="0">G3+H3</f>
        <v>300</v>
      </c>
      <c r="J3" s="309"/>
      <c r="K3" s="309"/>
      <c r="L3" s="231"/>
      <c r="M3" s="231"/>
    </row>
    <row r="4" spans="1:18" x14ac:dyDescent="0.25">
      <c r="A4" s="232" t="s">
        <v>68</v>
      </c>
      <c r="B4" s="232">
        <v>11.106</v>
      </c>
      <c r="C4" s="232">
        <v>15.635</v>
      </c>
      <c r="D4" s="309">
        <f>(C4-B4)*1000</f>
        <v>4529</v>
      </c>
      <c r="E4" s="309">
        <f>ROUND(D4*D23,0)</f>
        <v>683</v>
      </c>
      <c r="F4" s="309">
        <v>1200</v>
      </c>
      <c r="G4" s="309">
        <f t="shared" ref="G4:G19" si="1">SUM(E4,F4)</f>
        <v>1883</v>
      </c>
      <c r="H4" s="309">
        <v>50</v>
      </c>
      <c r="I4" s="309">
        <f t="shared" si="0"/>
        <v>1933</v>
      </c>
      <c r="J4" s="309"/>
      <c r="K4" s="311"/>
      <c r="L4" s="321"/>
      <c r="M4" s="322"/>
    </row>
    <row r="5" spans="1:18" x14ac:dyDescent="0.25">
      <c r="A5" s="232" t="s">
        <v>70</v>
      </c>
      <c r="B5" s="232">
        <v>295.25</v>
      </c>
      <c r="C5" s="232">
        <v>300.08</v>
      </c>
      <c r="D5" s="309">
        <f t="shared" ref="D5:D20" si="2">(C5-B5)*1000</f>
        <v>4829.9999999999836</v>
      </c>
      <c r="E5" s="309">
        <f>ROUND(D5*D23,0)</f>
        <v>728</v>
      </c>
      <c r="F5" s="309">
        <v>1200</v>
      </c>
      <c r="G5" s="309">
        <f t="shared" si="1"/>
        <v>1928</v>
      </c>
      <c r="H5" s="309">
        <v>50</v>
      </c>
      <c r="I5" s="309">
        <f t="shared" si="0"/>
        <v>1978</v>
      </c>
      <c r="J5" s="309"/>
      <c r="K5" s="309"/>
      <c r="L5" s="295" t="s">
        <v>653</v>
      </c>
      <c r="M5" s="295"/>
    </row>
    <row r="6" spans="1:18" x14ac:dyDescent="0.25">
      <c r="A6" s="232" t="s">
        <v>16</v>
      </c>
      <c r="B6" s="232">
        <v>578.51</v>
      </c>
      <c r="C6" s="232">
        <v>588.80999999999995</v>
      </c>
      <c r="D6" s="309">
        <f t="shared" si="2"/>
        <v>10299.999999999955</v>
      </c>
      <c r="E6" s="309">
        <f>ROUND(D6*D23,0)</f>
        <v>1552</v>
      </c>
      <c r="F6" s="309">
        <v>1200</v>
      </c>
      <c r="G6" s="309">
        <f t="shared" si="1"/>
        <v>2752</v>
      </c>
      <c r="H6" s="309">
        <v>50</v>
      </c>
      <c r="I6" s="309">
        <f t="shared" si="0"/>
        <v>2802</v>
      </c>
      <c r="J6" s="309"/>
      <c r="K6" s="309"/>
      <c r="L6" s="317" t="s">
        <v>314</v>
      </c>
      <c r="M6" s="231">
        <v>6500</v>
      </c>
    </row>
    <row r="7" spans="1:18" x14ac:dyDescent="0.25">
      <c r="A7" s="232" t="s">
        <v>13</v>
      </c>
      <c r="B7" s="232">
        <v>478.63</v>
      </c>
      <c r="C7" s="232">
        <v>490.63</v>
      </c>
      <c r="D7" s="309">
        <f t="shared" si="2"/>
        <v>12000</v>
      </c>
      <c r="E7" s="309">
        <f>ROUND(D7*D23,0)</f>
        <v>1809</v>
      </c>
      <c r="F7" s="309">
        <v>1200</v>
      </c>
      <c r="G7" s="309">
        <f t="shared" si="1"/>
        <v>3009</v>
      </c>
      <c r="H7" s="309">
        <v>50</v>
      </c>
      <c r="I7" s="309">
        <f t="shared" si="0"/>
        <v>3059</v>
      </c>
      <c r="J7" s="309"/>
      <c r="K7" s="309"/>
      <c r="L7" s="318" t="s">
        <v>514</v>
      </c>
      <c r="M7" s="231">
        <v>800</v>
      </c>
    </row>
    <row r="8" spans="1:18" x14ac:dyDescent="0.25">
      <c r="A8" s="232">
        <v>101</v>
      </c>
      <c r="B8" s="232">
        <v>117.16</v>
      </c>
      <c r="C8" s="232">
        <v>122.4</v>
      </c>
      <c r="D8" s="309">
        <f t="shared" si="2"/>
        <v>5240.0000000000091</v>
      </c>
      <c r="E8" s="309">
        <f>ROUND(D8*D23,0)</f>
        <v>790</v>
      </c>
      <c r="F8" s="309">
        <v>1200</v>
      </c>
      <c r="G8" s="309">
        <f t="shared" si="1"/>
        <v>1990</v>
      </c>
      <c r="H8" s="309">
        <v>50</v>
      </c>
      <c r="I8" s="309">
        <f t="shared" si="0"/>
        <v>2040</v>
      </c>
      <c r="J8" s="309"/>
      <c r="K8" s="309"/>
      <c r="L8" s="327" t="s">
        <v>809</v>
      </c>
      <c r="M8" s="231">
        <v>18000</v>
      </c>
      <c r="P8" s="333" t="s">
        <v>660</v>
      </c>
      <c r="Q8" s="334" t="s">
        <v>134</v>
      </c>
      <c r="R8" s="334" t="s">
        <v>816</v>
      </c>
    </row>
    <row r="9" spans="1:18" x14ac:dyDescent="0.25">
      <c r="A9" s="232">
        <v>102</v>
      </c>
      <c r="B9" s="232">
        <v>676.42</v>
      </c>
      <c r="C9" s="232">
        <v>682.02</v>
      </c>
      <c r="D9" s="309">
        <f t="shared" si="2"/>
        <v>5600.0000000000227</v>
      </c>
      <c r="E9" s="309">
        <f>ROUND(D9*D23,0)</f>
        <v>844</v>
      </c>
      <c r="F9" s="309">
        <v>1200</v>
      </c>
      <c r="G9" s="309">
        <f t="shared" si="1"/>
        <v>2044</v>
      </c>
      <c r="H9" s="309">
        <v>50</v>
      </c>
      <c r="I9" s="309">
        <f t="shared" si="0"/>
        <v>2094</v>
      </c>
      <c r="J9" s="309"/>
      <c r="K9" s="309"/>
      <c r="L9" s="319" t="s">
        <v>792</v>
      </c>
      <c r="M9" s="231">
        <v>3325</v>
      </c>
      <c r="P9" s="328" t="s">
        <v>314</v>
      </c>
      <c r="Q9" s="324">
        <v>6500</v>
      </c>
      <c r="R9" t="s">
        <v>98</v>
      </c>
    </row>
    <row r="10" spans="1:18" x14ac:dyDescent="0.25">
      <c r="A10" s="232">
        <v>103</v>
      </c>
      <c r="B10" s="232">
        <v>372.92</v>
      </c>
      <c r="C10" s="232">
        <v>382.75</v>
      </c>
      <c r="D10" s="309">
        <f t="shared" si="2"/>
        <v>9829.9999999999836</v>
      </c>
      <c r="E10" s="309">
        <f>ROUND(D10*D23,0)</f>
        <v>1482</v>
      </c>
      <c r="F10" s="309">
        <v>1200</v>
      </c>
      <c r="G10" s="309">
        <f t="shared" si="1"/>
        <v>2682</v>
      </c>
      <c r="H10" s="309">
        <v>50</v>
      </c>
      <c r="I10" s="309">
        <f t="shared" si="0"/>
        <v>2732</v>
      </c>
      <c r="J10" s="309"/>
      <c r="K10" s="309"/>
      <c r="L10" s="318" t="s">
        <v>793</v>
      </c>
      <c r="M10" s="231">
        <v>2044</v>
      </c>
      <c r="P10" s="329" t="s">
        <v>514</v>
      </c>
      <c r="Q10" s="289">
        <v>800</v>
      </c>
      <c r="R10" t="s">
        <v>98</v>
      </c>
    </row>
    <row r="11" spans="1:18" x14ac:dyDescent="0.25">
      <c r="A11" s="232">
        <v>104</v>
      </c>
      <c r="B11" s="232">
        <v>275.81</v>
      </c>
      <c r="C11" s="232">
        <v>285.62</v>
      </c>
      <c r="D11" s="309">
        <f t="shared" si="2"/>
        <v>9810.0000000000018</v>
      </c>
      <c r="E11" s="309">
        <f>ROUND(D11*D23,0)</f>
        <v>1479</v>
      </c>
      <c r="F11" s="309">
        <v>1200</v>
      </c>
      <c r="G11" s="309">
        <f t="shared" si="1"/>
        <v>2679</v>
      </c>
      <c r="H11" s="309">
        <v>50</v>
      </c>
      <c r="I11" s="309">
        <f t="shared" si="0"/>
        <v>2729</v>
      </c>
      <c r="J11" s="309"/>
      <c r="K11" s="309"/>
      <c r="L11" s="236" t="s">
        <v>811</v>
      </c>
      <c r="M11" s="231">
        <v>273</v>
      </c>
      <c r="P11" s="330" t="s">
        <v>815</v>
      </c>
      <c r="Q11" s="324">
        <v>18000</v>
      </c>
    </row>
    <row r="12" spans="1:18" x14ac:dyDescent="0.25">
      <c r="A12" s="232">
        <v>201</v>
      </c>
      <c r="B12" s="232">
        <v>224.29</v>
      </c>
      <c r="C12" s="232">
        <v>231.5</v>
      </c>
      <c r="D12" s="309">
        <f t="shared" si="2"/>
        <v>7210.0000000000082</v>
      </c>
      <c r="E12" s="309">
        <f>ROUND(D12*D23,0)</f>
        <v>1087</v>
      </c>
      <c r="F12" s="309">
        <v>1200</v>
      </c>
      <c r="G12" s="309">
        <f t="shared" si="1"/>
        <v>2287</v>
      </c>
      <c r="H12" s="309">
        <v>50</v>
      </c>
      <c r="I12" s="309">
        <f t="shared" si="0"/>
        <v>2337</v>
      </c>
      <c r="J12" s="309"/>
      <c r="K12" s="309"/>
      <c r="L12" s="231" t="s">
        <v>812</v>
      </c>
      <c r="M12" s="231">
        <v>560</v>
      </c>
      <c r="P12" s="329" t="s">
        <v>792</v>
      </c>
      <c r="Q12" s="289"/>
    </row>
    <row r="13" spans="1:18" x14ac:dyDescent="0.25">
      <c r="A13" s="232">
        <v>202</v>
      </c>
      <c r="B13" s="232">
        <v>399.55</v>
      </c>
      <c r="C13" s="232">
        <v>405.17</v>
      </c>
      <c r="D13" s="309">
        <f t="shared" si="2"/>
        <v>5620.0000000000045</v>
      </c>
      <c r="E13" s="309">
        <f>ROUND(D13*D23,0)</f>
        <v>847</v>
      </c>
      <c r="F13" s="309">
        <v>1200</v>
      </c>
      <c r="G13" s="309">
        <f t="shared" si="1"/>
        <v>2047</v>
      </c>
      <c r="H13" s="309">
        <v>50</v>
      </c>
      <c r="I13" s="309">
        <f t="shared" si="0"/>
        <v>2097</v>
      </c>
      <c r="J13" s="309"/>
      <c r="K13" s="309"/>
      <c r="L13" s="231"/>
      <c r="M13" s="231"/>
      <c r="P13" s="331" t="s">
        <v>793</v>
      </c>
      <c r="Q13" s="324">
        <v>2044</v>
      </c>
    </row>
    <row r="14" spans="1:18" x14ac:dyDescent="0.25">
      <c r="A14" s="232">
        <v>203</v>
      </c>
      <c r="B14" s="232">
        <v>19.997</v>
      </c>
      <c r="C14" s="232">
        <v>28.402000000000001</v>
      </c>
      <c r="D14" s="309">
        <f t="shared" si="2"/>
        <v>8405.0000000000018</v>
      </c>
      <c r="E14" s="309">
        <f>ROUND(D14*D23,0)</f>
        <v>1267</v>
      </c>
      <c r="F14" s="309">
        <v>1200</v>
      </c>
      <c r="G14" s="309">
        <f t="shared" si="1"/>
        <v>2467</v>
      </c>
      <c r="H14" s="309">
        <v>50</v>
      </c>
      <c r="I14" s="309">
        <f t="shared" si="0"/>
        <v>2517</v>
      </c>
      <c r="J14" s="309"/>
      <c r="K14" s="309"/>
      <c r="L14" s="276"/>
      <c r="M14" s="231"/>
      <c r="P14" s="329"/>
      <c r="Q14" s="289"/>
    </row>
    <row r="15" spans="1:18" x14ac:dyDescent="0.25">
      <c r="A15" s="232">
        <v>204</v>
      </c>
      <c r="B15" s="232">
        <v>396.4</v>
      </c>
      <c r="C15" s="232">
        <v>405.98</v>
      </c>
      <c r="D15" s="309">
        <f t="shared" si="2"/>
        <v>9580.00000000004</v>
      </c>
      <c r="E15" s="309">
        <f>ROUND(D15*D23,0)</f>
        <v>1444</v>
      </c>
      <c r="F15" s="309">
        <v>1200</v>
      </c>
      <c r="G15" s="309">
        <f t="shared" si="1"/>
        <v>2644</v>
      </c>
      <c r="H15" s="309">
        <v>50</v>
      </c>
      <c r="I15" s="309">
        <f t="shared" si="0"/>
        <v>2694</v>
      </c>
      <c r="J15" s="309"/>
      <c r="K15" s="309"/>
      <c r="L15" s="276"/>
      <c r="M15" s="231"/>
      <c r="P15" s="332"/>
      <c r="Q15" s="324"/>
    </row>
    <row r="16" spans="1:18" x14ac:dyDescent="0.25">
      <c r="A16" s="232">
        <v>301</v>
      </c>
      <c r="B16" s="232">
        <v>176.29</v>
      </c>
      <c r="C16" s="232">
        <v>180.42</v>
      </c>
      <c r="D16" s="309">
        <f t="shared" si="2"/>
        <v>4129.9999999999955</v>
      </c>
      <c r="E16" s="309">
        <f>ROUND(D16*D23,0)</f>
        <v>622</v>
      </c>
      <c r="F16" s="309">
        <v>1200</v>
      </c>
      <c r="G16" s="309">
        <f t="shared" si="1"/>
        <v>1822</v>
      </c>
      <c r="H16" s="309">
        <v>50</v>
      </c>
      <c r="I16" s="309">
        <f t="shared" si="0"/>
        <v>1872</v>
      </c>
      <c r="J16" s="309"/>
      <c r="K16" s="309"/>
      <c r="L16" s="276"/>
      <c r="M16" s="231"/>
      <c r="P16" s="303"/>
      <c r="Q16" s="289"/>
    </row>
    <row r="17" spans="1:13" x14ac:dyDescent="0.25">
      <c r="A17" s="232">
        <v>302</v>
      </c>
      <c r="B17" s="232">
        <v>347.45</v>
      </c>
      <c r="C17" s="232">
        <v>359.27</v>
      </c>
      <c r="D17" s="309">
        <f t="shared" si="2"/>
        <v>11819.999999999993</v>
      </c>
      <c r="E17" s="309">
        <f>ROUND(D17*D23,0)</f>
        <v>1782</v>
      </c>
      <c r="F17" s="309">
        <v>1200</v>
      </c>
      <c r="G17" s="309">
        <f t="shared" si="1"/>
        <v>2982</v>
      </c>
      <c r="H17" s="309">
        <v>50</v>
      </c>
      <c r="I17" s="309">
        <f t="shared" si="0"/>
        <v>3032</v>
      </c>
      <c r="J17" s="309"/>
      <c r="K17" s="312"/>
      <c r="L17" s="276"/>
      <c r="M17" s="231"/>
    </row>
    <row r="18" spans="1:13" x14ac:dyDescent="0.25">
      <c r="A18" s="232">
        <v>303</v>
      </c>
      <c r="B18" s="232">
        <v>207.351</v>
      </c>
      <c r="C18" s="232">
        <v>219.435</v>
      </c>
      <c r="D18" s="309">
        <f t="shared" si="2"/>
        <v>12084.000000000004</v>
      </c>
      <c r="E18" s="309">
        <f>ROUND(D18*D23,0)</f>
        <v>1821</v>
      </c>
      <c r="F18" s="309">
        <v>1200</v>
      </c>
      <c r="G18" s="309">
        <f t="shared" si="1"/>
        <v>3021</v>
      </c>
      <c r="H18" s="309">
        <v>50</v>
      </c>
      <c r="I18" s="309">
        <f t="shared" si="0"/>
        <v>3071</v>
      </c>
      <c r="J18" s="309"/>
      <c r="K18" s="309"/>
      <c r="L18" s="276"/>
      <c r="M18" s="231"/>
    </row>
    <row r="19" spans="1:13" x14ac:dyDescent="0.25">
      <c r="A19" s="232">
        <v>304</v>
      </c>
      <c r="B19" s="232">
        <v>532.04999999999995</v>
      </c>
      <c r="C19" s="232">
        <v>543.49</v>
      </c>
      <c r="D19" s="309">
        <f t="shared" si="2"/>
        <v>11440.000000000055</v>
      </c>
      <c r="E19" s="309">
        <f>ROUND(D19*D23,0)</f>
        <v>1724</v>
      </c>
      <c r="F19" s="309">
        <v>1200</v>
      </c>
      <c r="G19" s="309">
        <f t="shared" si="1"/>
        <v>2924</v>
      </c>
      <c r="H19" s="309">
        <v>50</v>
      </c>
      <c r="I19" s="309">
        <f t="shared" si="0"/>
        <v>2974</v>
      </c>
      <c r="J19" s="309"/>
      <c r="K19" s="309"/>
      <c r="L19" s="304"/>
      <c r="M19" s="300"/>
    </row>
    <row r="20" spans="1:13" x14ac:dyDescent="0.25">
      <c r="A20" s="309" t="s">
        <v>287</v>
      </c>
      <c r="B20" s="232">
        <v>549.11</v>
      </c>
      <c r="C20" s="232">
        <v>559.99</v>
      </c>
      <c r="D20" s="309">
        <f t="shared" si="2"/>
        <v>10879.999999999996</v>
      </c>
      <c r="E20" s="309">
        <f>ROUND(D20*D23,0)</f>
        <v>1640</v>
      </c>
      <c r="F20" s="309">
        <v>0</v>
      </c>
      <c r="G20" s="309"/>
      <c r="H20" s="309">
        <v>0</v>
      </c>
      <c r="I20" s="309">
        <f t="shared" si="0"/>
        <v>0</v>
      </c>
      <c r="J20" s="309"/>
      <c r="K20" s="309"/>
      <c r="L20" s="276"/>
      <c r="M20" s="231"/>
    </row>
    <row r="21" spans="1:13" x14ac:dyDescent="0.25">
      <c r="A21" s="309"/>
      <c r="B21" s="309"/>
      <c r="C21" s="309"/>
      <c r="D21" s="309"/>
      <c r="E21" s="313"/>
      <c r="F21" s="313"/>
      <c r="G21" s="313"/>
      <c r="H21" s="313">
        <f>SUM(H2:H20)</f>
        <v>800</v>
      </c>
      <c r="I21" s="313">
        <f>SUM(I2:I20)</f>
        <v>40561</v>
      </c>
      <c r="J21" s="313">
        <f>SUMIF(J2:J20, "Paid", I2:I20)</f>
        <v>0</v>
      </c>
      <c r="K21" s="313"/>
      <c r="L21" s="276"/>
      <c r="M21" s="231"/>
    </row>
    <row r="22" spans="1:13" x14ac:dyDescent="0.25">
      <c r="A22" s="305"/>
      <c r="B22" s="230" t="s">
        <v>75</v>
      </c>
      <c r="C22" s="230"/>
      <c r="D22" s="306">
        <f>SUM(D4:D20)</f>
        <v>143308.00000000006</v>
      </c>
      <c r="E22" s="230">
        <f>SUM(E4:E20)</f>
        <v>21601</v>
      </c>
      <c r="F22" s="230"/>
      <c r="G22" s="230"/>
      <c r="H22" s="230"/>
      <c r="I22" s="230"/>
      <c r="J22" s="230"/>
      <c r="K22" s="230"/>
      <c r="L22" s="231"/>
      <c r="M22" s="245">
        <f>SUM(M6:M18)</f>
        <v>31502</v>
      </c>
    </row>
    <row r="23" spans="1:13" ht="45" x14ac:dyDescent="0.25">
      <c r="A23" s="228"/>
      <c r="B23" s="29" t="s">
        <v>243</v>
      </c>
      <c r="C23" s="119" t="s">
        <v>641</v>
      </c>
      <c r="D23" s="111">
        <f>B24/D22</f>
        <v>0.1507243140648114</v>
      </c>
      <c r="E23" s="29"/>
      <c r="F23" s="29"/>
      <c r="G23" s="29"/>
      <c r="H23" s="29"/>
      <c r="I23" s="29"/>
      <c r="J23" s="29"/>
      <c r="K23" s="29"/>
      <c r="L23" s="257"/>
      <c r="M23" s="257"/>
    </row>
    <row r="24" spans="1:13" ht="45" x14ac:dyDescent="0.25">
      <c r="A24" s="281" t="s">
        <v>85</v>
      </c>
      <c r="B24" s="30">
        <f>18*1200</f>
        <v>21600</v>
      </c>
      <c r="C24" s="119" t="s">
        <v>810</v>
      </c>
      <c r="D24" s="29"/>
      <c r="E24" s="29"/>
      <c r="F24" s="29"/>
      <c r="G24" s="29"/>
      <c r="H24" s="29"/>
      <c r="I24" s="29"/>
      <c r="J24" s="29"/>
      <c r="K24" s="29"/>
    </row>
  </sheetData>
  <pageMargins left="0.7" right="0.7" top="0.75" bottom="0.75" header="0.3" footer="0.3"/>
  <tableParts count="2">
    <tablePart r:id="rId1"/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3A61B-6B48-4792-B884-3B9471BB9A5E}">
  <dimension ref="A1:F31"/>
  <sheetViews>
    <sheetView topLeftCell="A10" zoomScale="80" zoomScaleNormal="80" workbookViewId="0">
      <selection activeCell="B32" sqref="B32"/>
    </sheetView>
  </sheetViews>
  <sheetFormatPr defaultRowHeight="15" x14ac:dyDescent="0.25"/>
  <cols>
    <col min="1" max="1" width="26.140625" customWidth="1"/>
    <col min="2" max="2" width="15.7109375" bestFit="1" customWidth="1"/>
    <col min="5" max="5" width="48.140625" bestFit="1" customWidth="1"/>
  </cols>
  <sheetData>
    <row r="1" spans="1:6" x14ac:dyDescent="0.25">
      <c r="A1" s="357" t="s">
        <v>755</v>
      </c>
      <c r="B1" s="357"/>
      <c r="C1" s="357"/>
      <c r="D1" s="357"/>
      <c r="E1" s="357"/>
      <c r="F1" s="357"/>
    </row>
    <row r="2" spans="1:6" x14ac:dyDescent="0.25">
      <c r="A2" s="234" t="s">
        <v>642</v>
      </c>
      <c r="B2" s="250" t="s">
        <v>707</v>
      </c>
      <c r="E2" s="245" t="s">
        <v>708</v>
      </c>
      <c r="F2" s="231"/>
    </row>
    <row r="3" spans="1:6" x14ac:dyDescent="0.25">
      <c r="A3" s="235" t="s">
        <v>68</v>
      </c>
      <c r="B3" s="232">
        <v>2000</v>
      </c>
      <c r="E3" s="236" t="s">
        <v>710</v>
      </c>
      <c r="F3" s="231">
        <v>1500</v>
      </c>
    </row>
    <row r="4" spans="1:6" x14ac:dyDescent="0.25">
      <c r="A4" s="235" t="s">
        <v>70</v>
      </c>
      <c r="B4" s="232">
        <v>2000</v>
      </c>
      <c r="E4" s="236" t="s">
        <v>711</v>
      </c>
      <c r="F4" s="231">
        <v>7000</v>
      </c>
    </row>
    <row r="5" spans="1:6" x14ac:dyDescent="0.25">
      <c r="A5" s="235" t="s">
        <v>16</v>
      </c>
      <c r="B5" s="232">
        <v>2000</v>
      </c>
      <c r="E5" s="236" t="s">
        <v>712</v>
      </c>
      <c r="F5" s="231">
        <v>4662</v>
      </c>
    </row>
    <row r="6" spans="1:6" x14ac:dyDescent="0.25">
      <c r="A6" s="235" t="s">
        <v>13</v>
      </c>
      <c r="B6" s="232">
        <v>2000</v>
      </c>
      <c r="E6" s="236" t="s">
        <v>192</v>
      </c>
      <c r="F6" s="231">
        <v>10000</v>
      </c>
    </row>
    <row r="7" spans="1:6" x14ac:dyDescent="0.25">
      <c r="A7" s="235">
        <v>101</v>
      </c>
      <c r="B7" s="232">
        <v>2000</v>
      </c>
      <c r="E7" s="236" t="s">
        <v>714</v>
      </c>
      <c r="F7" s="231">
        <v>2700</v>
      </c>
    </row>
    <row r="8" spans="1:6" x14ac:dyDescent="0.25">
      <c r="A8" s="235">
        <v>102</v>
      </c>
      <c r="B8" s="249" t="s">
        <v>131</v>
      </c>
      <c r="E8" s="236" t="s">
        <v>715</v>
      </c>
      <c r="F8" s="231">
        <v>30</v>
      </c>
    </row>
    <row r="9" spans="1:6" x14ac:dyDescent="0.25">
      <c r="A9" s="235">
        <v>103</v>
      </c>
      <c r="B9" s="232">
        <v>2000</v>
      </c>
      <c r="E9" s="236" t="s">
        <v>716</v>
      </c>
      <c r="F9" s="231">
        <v>1600</v>
      </c>
    </row>
    <row r="10" spans="1:6" x14ac:dyDescent="0.25">
      <c r="A10" s="235">
        <v>104</v>
      </c>
      <c r="B10" s="232">
        <v>2000</v>
      </c>
      <c r="E10" s="236" t="s">
        <v>385</v>
      </c>
      <c r="F10" s="231">
        <v>300</v>
      </c>
    </row>
    <row r="11" spans="1:6" x14ac:dyDescent="0.25">
      <c r="A11" s="235">
        <v>201</v>
      </c>
      <c r="B11" s="232">
        <v>2000</v>
      </c>
      <c r="E11" s="236" t="s">
        <v>717</v>
      </c>
      <c r="F11" s="231">
        <v>350</v>
      </c>
    </row>
    <row r="12" spans="1:6" x14ac:dyDescent="0.25">
      <c r="A12" s="235">
        <v>202</v>
      </c>
      <c r="B12" s="232">
        <v>2000</v>
      </c>
      <c r="E12" s="236" t="s">
        <v>718</v>
      </c>
      <c r="F12" s="231">
        <v>100</v>
      </c>
    </row>
    <row r="13" spans="1:6" x14ac:dyDescent="0.25">
      <c r="A13" s="235">
        <v>203</v>
      </c>
      <c r="B13" s="232">
        <v>2000</v>
      </c>
      <c r="E13" s="236" t="s">
        <v>719</v>
      </c>
      <c r="F13" s="231">
        <v>1380</v>
      </c>
    </row>
    <row r="14" spans="1:6" x14ac:dyDescent="0.25">
      <c r="A14" s="235">
        <v>204</v>
      </c>
      <c r="B14" s="232">
        <v>2000</v>
      </c>
      <c r="E14" s="236" t="s">
        <v>720</v>
      </c>
      <c r="F14" s="231">
        <v>600</v>
      </c>
    </row>
    <row r="15" spans="1:6" x14ac:dyDescent="0.25">
      <c r="A15" s="235">
        <v>301</v>
      </c>
      <c r="B15" s="249" t="s">
        <v>131</v>
      </c>
      <c r="E15" s="236" t="s">
        <v>713</v>
      </c>
      <c r="F15" s="231">
        <v>150</v>
      </c>
    </row>
    <row r="16" spans="1:6" x14ac:dyDescent="0.25">
      <c r="A16" s="235">
        <v>302</v>
      </c>
      <c r="B16" s="232">
        <v>2000</v>
      </c>
      <c r="E16" s="236" t="s">
        <v>721</v>
      </c>
      <c r="F16" s="231">
        <v>1000</v>
      </c>
    </row>
    <row r="17" spans="1:6" x14ac:dyDescent="0.25">
      <c r="A17" s="235">
        <v>303</v>
      </c>
      <c r="B17" s="232">
        <v>2000</v>
      </c>
      <c r="E17" s="236" t="s">
        <v>722</v>
      </c>
      <c r="F17" s="231">
        <v>135</v>
      </c>
    </row>
    <row r="18" spans="1:6" x14ac:dyDescent="0.25">
      <c r="A18" s="235">
        <v>304</v>
      </c>
      <c r="B18" s="249" t="s">
        <v>131</v>
      </c>
      <c r="E18" s="236" t="s">
        <v>723</v>
      </c>
      <c r="F18" s="231">
        <v>660</v>
      </c>
    </row>
    <row r="19" spans="1:6" x14ac:dyDescent="0.25">
      <c r="A19" s="236" t="s">
        <v>736</v>
      </c>
      <c r="B19" s="232">
        <v>26000</v>
      </c>
      <c r="E19" s="236" t="s">
        <v>724</v>
      </c>
      <c r="F19" s="231">
        <v>300</v>
      </c>
    </row>
    <row r="20" spans="1:6" x14ac:dyDescent="0.25">
      <c r="A20" s="236" t="s">
        <v>709</v>
      </c>
      <c r="B20" s="232">
        <v>18500</v>
      </c>
      <c r="E20" s="236" t="s">
        <v>725</v>
      </c>
      <c r="F20" s="231">
        <v>100</v>
      </c>
    </row>
    <row r="21" spans="1:6" x14ac:dyDescent="0.25">
      <c r="A21" s="237" t="s">
        <v>737</v>
      </c>
      <c r="B21" s="232">
        <f>B19+B20</f>
        <v>44500</v>
      </c>
      <c r="E21" s="236" t="s">
        <v>726</v>
      </c>
      <c r="F21" s="231">
        <v>100</v>
      </c>
    </row>
    <row r="22" spans="1:6" x14ac:dyDescent="0.25">
      <c r="A22" s="253" t="s">
        <v>738</v>
      </c>
      <c r="B22" s="232">
        <v>34940</v>
      </c>
      <c r="E22" s="236" t="s">
        <v>727</v>
      </c>
      <c r="F22" s="231">
        <v>110</v>
      </c>
    </row>
    <row r="23" spans="1:6" x14ac:dyDescent="0.25">
      <c r="A23" s="237" t="s">
        <v>739</v>
      </c>
      <c r="B23" s="273">
        <f>B21-B22</f>
        <v>9560</v>
      </c>
      <c r="E23" s="236" t="s">
        <v>728</v>
      </c>
      <c r="F23" s="231">
        <v>120</v>
      </c>
    </row>
    <row r="24" spans="1:6" x14ac:dyDescent="0.25">
      <c r="E24" s="236" t="s">
        <v>729</v>
      </c>
      <c r="F24" s="231">
        <v>90</v>
      </c>
    </row>
    <row r="25" spans="1:6" x14ac:dyDescent="0.25">
      <c r="E25" s="236" t="s">
        <v>730</v>
      </c>
      <c r="F25" s="231">
        <v>200</v>
      </c>
    </row>
    <row r="26" spans="1:6" x14ac:dyDescent="0.25">
      <c r="E26" s="236" t="s">
        <v>731</v>
      </c>
      <c r="F26" s="231">
        <v>400</v>
      </c>
    </row>
    <row r="27" spans="1:6" x14ac:dyDescent="0.25">
      <c r="A27" s="216" t="s">
        <v>766</v>
      </c>
      <c r="B27">
        <v>23000</v>
      </c>
      <c r="E27" s="236" t="s">
        <v>732</v>
      </c>
      <c r="F27" s="231">
        <v>123</v>
      </c>
    </row>
    <row r="28" spans="1:6" x14ac:dyDescent="0.25">
      <c r="E28" s="236" t="s">
        <v>733</v>
      </c>
      <c r="F28" s="231">
        <v>20</v>
      </c>
    </row>
    <row r="29" spans="1:6" x14ac:dyDescent="0.25">
      <c r="A29" s="352" t="s">
        <v>767</v>
      </c>
      <c r="B29" s="353"/>
      <c r="E29" s="236" t="s">
        <v>734</v>
      </c>
      <c r="F29" s="231">
        <v>10</v>
      </c>
    </row>
    <row r="30" spans="1:6" x14ac:dyDescent="0.25">
      <c r="E30" s="236" t="s">
        <v>735</v>
      </c>
      <c r="F30" s="231">
        <v>1200</v>
      </c>
    </row>
    <row r="31" spans="1:6" x14ac:dyDescent="0.25">
      <c r="E31" s="251" t="s">
        <v>738</v>
      </c>
      <c r="F31" s="252">
        <f>SUM(F3:F30)</f>
        <v>34940</v>
      </c>
    </row>
  </sheetData>
  <mergeCells count="2">
    <mergeCell ref="A1:F1"/>
    <mergeCell ref="A29:B29"/>
  </mergeCells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AB60"/>
  <sheetViews>
    <sheetView workbookViewId="0">
      <selection activeCell="G52" sqref="G52"/>
    </sheetView>
  </sheetViews>
  <sheetFormatPr defaultColWidth="14.42578125" defaultRowHeight="15" customHeight="1" x14ac:dyDescent="0.25"/>
  <cols>
    <col min="1" max="1" width="14.7109375" customWidth="1"/>
    <col min="2" max="2" width="20.28515625" customWidth="1"/>
    <col min="3" max="3" width="28.140625" customWidth="1"/>
    <col min="4" max="4" width="21.42578125" bestFit="1" customWidth="1"/>
    <col min="5" max="5" width="25.140625" bestFit="1" customWidth="1"/>
    <col min="6" max="6" width="23.85546875" bestFit="1" customWidth="1"/>
    <col min="7" max="7" width="11.140625" bestFit="1" customWidth="1"/>
    <col min="8" max="11" width="7.85546875" customWidth="1"/>
    <col min="12" max="12" width="9.42578125" customWidth="1"/>
    <col min="13" max="13" width="7.85546875" customWidth="1"/>
    <col min="14" max="14" width="24.28515625" customWidth="1"/>
    <col min="15" max="17" width="7.85546875" customWidth="1"/>
    <col min="18" max="18" width="11.42578125" customWidth="1"/>
    <col min="19" max="19" width="16.42578125" customWidth="1"/>
    <col min="20" max="20" width="10.42578125" customWidth="1"/>
    <col min="21" max="21" width="18.28515625" customWidth="1"/>
    <col min="23" max="23" width="26.140625" bestFit="1" customWidth="1"/>
    <col min="26" max="26" width="19.28515625" bestFit="1" customWidth="1"/>
    <col min="28" max="28" width="19.42578125" bestFit="1" customWidth="1"/>
  </cols>
  <sheetData>
    <row r="1" spans="1:28" x14ac:dyDescent="0.25">
      <c r="A1" s="358" t="s">
        <v>539</v>
      </c>
      <c r="B1" s="359"/>
      <c r="C1" s="359"/>
      <c r="D1" s="359"/>
      <c r="E1" s="359"/>
      <c r="F1" s="359"/>
      <c r="G1" s="359"/>
      <c r="H1" s="360"/>
      <c r="I1" s="64"/>
      <c r="J1" s="64"/>
      <c r="K1" s="64"/>
      <c r="L1" s="64"/>
      <c r="M1" s="64"/>
      <c r="N1" s="64"/>
      <c r="O1" s="64"/>
      <c r="P1" s="64"/>
      <c r="Q1" s="64"/>
      <c r="R1" s="25"/>
      <c r="S1" s="25" t="s">
        <v>540</v>
      </c>
      <c r="T1" s="25"/>
      <c r="U1" s="25"/>
    </row>
    <row r="2" spans="1:28" x14ac:dyDescent="0.25">
      <c r="A2" s="164" t="s">
        <v>64</v>
      </c>
      <c r="B2" s="165" t="s">
        <v>541</v>
      </c>
      <c r="C2" s="166">
        <v>44348</v>
      </c>
      <c r="D2" s="167">
        <v>44378</v>
      </c>
      <c r="E2" s="166">
        <v>44409</v>
      </c>
      <c r="F2" s="167">
        <v>44440</v>
      </c>
      <c r="G2" s="166">
        <v>44470</v>
      </c>
      <c r="H2" s="167">
        <v>44501</v>
      </c>
      <c r="I2" s="168">
        <v>44764</v>
      </c>
      <c r="J2" s="168">
        <v>44795</v>
      </c>
      <c r="K2" s="168">
        <v>45100</v>
      </c>
      <c r="L2" s="168">
        <v>45161</v>
      </c>
      <c r="M2" s="168">
        <v>45192</v>
      </c>
      <c r="N2" s="167">
        <v>45222</v>
      </c>
      <c r="O2" s="167">
        <v>45383</v>
      </c>
      <c r="P2" s="168"/>
      <c r="Q2" s="168" t="s">
        <v>542</v>
      </c>
      <c r="R2" s="25"/>
      <c r="S2" s="25"/>
      <c r="T2" s="49" t="s">
        <v>64</v>
      </c>
      <c r="U2" s="27" t="s">
        <v>543</v>
      </c>
    </row>
    <row r="3" spans="1:28" x14ac:dyDescent="0.25">
      <c r="A3" s="169" t="s">
        <v>68</v>
      </c>
      <c r="B3" s="32" t="s">
        <v>544</v>
      </c>
      <c r="C3" s="170">
        <v>11000</v>
      </c>
      <c r="D3" s="32">
        <v>4000</v>
      </c>
      <c r="E3" s="171">
        <v>5000</v>
      </c>
      <c r="F3" s="171">
        <v>5000</v>
      </c>
      <c r="G3" s="171">
        <v>5000</v>
      </c>
      <c r="H3" s="32"/>
      <c r="I3" s="29"/>
      <c r="J3" s="29"/>
      <c r="K3" s="29"/>
      <c r="L3" s="21"/>
      <c r="M3" s="172"/>
      <c r="N3" s="160"/>
      <c r="O3" s="160"/>
      <c r="P3" s="172"/>
      <c r="Q3" s="172"/>
      <c r="R3" s="25"/>
      <c r="S3" s="25"/>
      <c r="T3" s="173" t="s">
        <v>68</v>
      </c>
      <c r="U3" s="29">
        <v>763</v>
      </c>
    </row>
    <row r="4" spans="1:28" x14ac:dyDescent="0.25">
      <c r="A4" s="169" t="s">
        <v>70</v>
      </c>
      <c r="B4" s="32" t="s">
        <v>545</v>
      </c>
      <c r="C4" s="171">
        <v>5000</v>
      </c>
      <c r="D4" s="171">
        <v>5000</v>
      </c>
      <c r="E4" s="171">
        <v>5000</v>
      </c>
      <c r="F4" s="171">
        <v>5000</v>
      </c>
      <c r="G4" s="171">
        <v>5000</v>
      </c>
      <c r="H4" s="171">
        <v>5000</v>
      </c>
      <c r="I4" s="29"/>
      <c r="J4" s="29"/>
      <c r="K4" s="29"/>
      <c r="L4" s="21"/>
      <c r="M4" s="172"/>
      <c r="N4" s="160"/>
      <c r="O4" s="160"/>
      <c r="P4" s="172"/>
      <c r="Q4" s="172"/>
      <c r="R4" s="25"/>
      <c r="S4" s="25"/>
      <c r="T4" s="29" t="s">
        <v>70</v>
      </c>
      <c r="U4" s="29">
        <v>763</v>
      </c>
    </row>
    <row r="5" spans="1:28" x14ac:dyDescent="0.25">
      <c r="A5" s="169" t="s">
        <v>16</v>
      </c>
      <c r="B5" s="32" t="s">
        <v>546</v>
      </c>
      <c r="C5" s="171">
        <v>5000</v>
      </c>
      <c r="D5" s="32">
        <v>5000</v>
      </c>
      <c r="E5" s="171">
        <v>5000</v>
      </c>
      <c r="F5" s="32">
        <v>5000</v>
      </c>
      <c r="G5" s="171">
        <v>5000</v>
      </c>
      <c r="H5" s="32">
        <v>5000</v>
      </c>
      <c r="I5" s="29"/>
      <c r="J5" s="29"/>
      <c r="K5" s="29"/>
      <c r="L5" s="21"/>
      <c r="M5" s="172"/>
      <c r="N5" s="160"/>
      <c r="O5" s="160"/>
      <c r="P5" s="172"/>
      <c r="Q5" s="172"/>
      <c r="R5" s="25"/>
      <c r="S5" s="25"/>
      <c r="T5" s="29" t="s">
        <v>16</v>
      </c>
      <c r="U5" s="29">
        <v>763</v>
      </c>
    </row>
    <row r="6" spans="1:28" x14ac:dyDescent="0.25">
      <c r="A6" s="169" t="s">
        <v>13</v>
      </c>
      <c r="B6" s="32" t="s">
        <v>547</v>
      </c>
      <c r="C6" s="171">
        <v>5000</v>
      </c>
      <c r="D6" s="32">
        <v>5000</v>
      </c>
      <c r="E6" s="171">
        <v>5000</v>
      </c>
      <c r="F6" s="32">
        <v>5000</v>
      </c>
      <c r="G6" s="171">
        <v>5000</v>
      </c>
      <c r="H6" s="32">
        <v>5000</v>
      </c>
      <c r="I6" s="29"/>
      <c r="J6" s="29"/>
      <c r="K6" s="29"/>
      <c r="L6" s="21"/>
      <c r="M6" s="172"/>
      <c r="N6" s="160"/>
      <c r="O6" s="160"/>
      <c r="P6" s="172"/>
      <c r="Q6" s="172"/>
      <c r="R6" s="25" t="s">
        <v>548</v>
      </c>
      <c r="S6" s="25"/>
      <c r="T6" s="29" t="s">
        <v>13</v>
      </c>
      <c r="U6" s="29">
        <v>763</v>
      </c>
    </row>
    <row r="7" spans="1:28" x14ac:dyDescent="0.25">
      <c r="A7" s="174">
        <v>101</v>
      </c>
      <c r="B7" s="173" t="s">
        <v>549</v>
      </c>
      <c r="C7" s="175">
        <v>11000</v>
      </c>
      <c r="D7" s="173"/>
      <c r="E7" s="176"/>
      <c r="F7" s="173"/>
      <c r="G7" s="176"/>
      <c r="H7" s="173"/>
      <c r="I7" s="29"/>
      <c r="J7" s="29"/>
      <c r="K7" s="29"/>
      <c r="L7" s="21"/>
      <c r="M7" s="172"/>
      <c r="N7" s="160"/>
      <c r="O7" s="160"/>
      <c r="P7" s="172"/>
      <c r="Q7" s="172"/>
      <c r="R7" s="25">
        <v>30000</v>
      </c>
      <c r="S7" s="177">
        <v>44591</v>
      </c>
      <c r="T7" s="173">
        <v>101</v>
      </c>
      <c r="U7" s="29">
        <v>763</v>
      </c>
    </row>
    <row r="8" spans="1:28" x14ac:dyDescent="0.25">
      <c r="A8" s="169">
        <v>102</v>
      </c>
      <c r="B8" s="32" t="s">
        <v>550</v>
      </c>
      <c r="C8" s="171">
        <v>5000</v>
      </c>
      <c r="D8" s="32">
        <v>5000</v>
      </c>
      <c r="E8" s="171">
        <v>5000</v>
      </c>
      <c r="F8" s="32">
        <v>5000</v>
      </c>
      <c r="G8" s="171">
        <v>5000</v>
      </c>
      <c r="H8" s="32">
        <v>5000</v>
      </c>
      <c r="I8" s="29"/>
      <c r="J8" s="29"/>
      <c r="K8" s="29"/>
      <c r="L8" s="21"/>
      <c r="M8" s="172"/>
      <c r="N8" s="160"/>
      <c r="O8" s="160"/>
      <c r="P8" s="172"/>
      <c r="Q8" s="172"/>
      <c r="R8" s="25"/>
      <c r="S8" s="25"/>
      <c r="T8" s="29">
        <v>102</v>
      </c>
      <c r="U8" s="29">
        <v>763</v>
      </c>
      <c r="W8" t="s">
        <v>611</v>
      </c>
      <c r="X8">
        <v>99785.65</v>
      </c>
      <c r="Z8" s="207" t="s">
        <v>612</v>
      </c>
    </row>
    <row r="9" spans="1:28" x14ac:dyDescent="0.25">
      <c r="A9" s="169">
        <v>103</v>
      </c>
      <c r="B9" s="32" t="s">
        <v>551</v>
      </c>
      <c r="C9" s="171">
        <v>5000</v>
      </c>
      <c r="D9" s="32">
        <v>5000</v>
      </c>
      <c r="E9" s="171">
        <v>5000</v>
      </c>
      <c r="F9" s="32">
        <v>5000</v>
      </c>
      <c r="G9" s="171">
        <v>10000</v>
      </c>
      <c r="H9" s="32"/>
      <c r="I9" s="29"/>
      <c r="J9" s="29"/>
      <c r="K9" s="29"/>
      <c r="L9" s="21"/>
      <c r="M9" s="172"/>
      <c r="N9" s="160"/>
      <c r="O9" s="160"/>
      <c r="P9" s="172"/>
      <c r="Q9" s="172"/>
      <c r="R9" s="25"/>
      <c r="S9" s="25"/>
      <c r="T9" s="29">
        <v>103</v>
      </c>
      <c r="U9" s="29">
        <v>763</v>
      </c>
    </row>
    <row r="10" spans="1:28" x14ac:dyDescent="0.25">
      <c r="A10" s="169">
        <v>104</v>
      </c>
      <c r="B10" s="32" t="s">
        <v>552</v>
      </c>
      <c r="C10" s="171">
        <v>5000</v>
      </c>
      <c r="D10" s="32">
        <v>5000</v>
      </c>
      <c r="E10" s="171">
        <v>5000</v>
      </c>
      <c r="F10" s="32">
        <v>5000</v>
      </c>
      <c r="G10" s="171">
        <v>5000</v>
      </c>
      <c r="H10" s="32">
        <v>5000</v>
      </c>
      <c r="I10" s="29"/>
      <c r="J10" s="29"/>
      <c r="K10" s="29"/>
      <c r="L10" s="21"/>
      <c r="M10" s="172"/>
      <c r="N10" s="160"/>
      <c r="O10" s="160"/>
      <c r="P10" s="172"/>
      <c r="Q10" s="172"/>
      <c r="R10" s="25"/>
      <c r="S10" s="25"/>
      <c r="T10" s="29">
        <v>104</v>
      </c>
      <c r="U10" s="29">
        <v>763</v>
      </c>
      <c r="Z10" t="s">
        <v>613</v>
      </c>
      <c r="AA10">
        <v>5650</v>
      </c>
    </row>
    <row r="11" spans="1:28" x14ac:dyDescent="0.25">
      <c r="A11" s="178">
        <v>201</v>
      </c>
      <c r="B11" s="179" t="s">
        <v>553</v>
      </c>
      <c r="C11" s="171"/>
      <c r="D11" s="32"/>
      <c r="E11" s="171"/>
      <c r="F11" s="32"/>
      <c r="G11" s="171"/>
      <c r="H11" s="32"/>
      <c r="I11" s="32">
        <v>10000</v>
      </c>
      <c r="J11" s="32">
        <v>10000</v>
      </c>
      <c r="K11" s="32">
        <v>10000</v>
      </c>
      <c r="L11" s="65"/>
      <c r="M11" s="172"/>
      <c r="N11" s="160"/>
      <c r="O11" s="160"/>
      <c r="P11" s="172"/>
      <c r="Q11" s="172"/>
      <c r="R11" s="25"/>
      <c r="S11" s="25"/>
      <c r="T11" s="180">
        <v>201</v>
      </c>
      <c r="U11" s="29">
        <v>763</v>
      </c>
      <c r="Z11" t="s">
        <v>614</v>
      </c>
      <c r="AA11">
        <v>116000</v>
      </c>
    </row>
    <row r="12" spans="1:28" x14ac:dyDescent="0.25">
      <c r="A12" s="169">
        <v>202</v>
      </c>
      <c r="B12" s="32" t="s">
        <v>554</v>
      </c>
      <c r="C12" s="171">
        <v>5000</v>
      </c>
      <c r="D12" s="32">
        <v>5000</v>
      </c>
      <c r="E12" s="171">
        <v>5000</v>
      </c>
      <c r="F12" s="32">
        <v>5000</v>
      </c>
      <c r="G12" s="171">
        <v>5000</v>
      </c>
      <c r="H12" s="32">
        <v>5000</v>
      </c>
      <c r="I12" s="29"/>
      <c r="J12" s="29"/>
      <c r="K12" s="29"/>
      <c r="L12" s="21"/>
      <c r="M12" s="172"/>
      <c r="N12" s="160"/>
      <c r="O12" s="160"/>
      <c r="P12" s="172"/>
      <c r="Q12" s="172"/>
      <c r="R12" s="25"/>
      <c r="S12" s="25"/>
      <c r="T12" s="29">
        <v>202</v>
      </c>
      <c r="U12" s="29">
        <v>763</v>
      </c>
      <c r="Z12" t="s">
        <v>615</v>
      </c>
      <c r="AA12">
        <f>15200+680+240+80</f>
        <v>16200</v>
      </c>
      <c r="AB12" t="s">
        <v>616</v>
      </c>
    </row>
    <row r="13" spans="1:28" x14ac:dyDescent="0.25">
      <c r="A13" s="169">
        <v>203</v>
      </c>
      <c r="B13" s="32" t="s">
        <v>555</v>
      </c>
      <c r="C13" s="171">
        <v>5000</v>
      </c>
      <c r="D13" s="32">
        <v>5000</v>
      </c>
      <c r="E13" s="171">
        <v>5000</v>
      </c>
      <c r="F13" s="32">
        <v>5000</v>
      </c>
      <c r="G13" s="171">
        <v>5000</v>
      </c>
      <c r="H13" s="32">
        <v>5000</v>
      </c>
      <c r="I13" s="29"/>
      <c r="J13" s="29"/>
      <c r="K13" s="29"/>
      <c r="L13" s="21"/>
      <c r="M13" s="172"/>
      <c r="N13" s="160"/>
      <c r="O13" s="160"/>
      <c r="P13" s="172"/>
      <c r="Q13" s="172"/>
      <c r="R13" s="25"/>
      <c r="S13" s="25"/>
      <c r="T13" s="29">
        <v>203</v>
      </c>
      <c r="U13" s="29">
        <v>763</v>
      </c>
      <c r="AB13" t="s">
        <v>617</v>
      </c>
    </row>
    <row r="14" spans="1:28" x14ac:dyDescent="0.25">
      <c r="A14" s="169">
        <v>204</v>
      </c>
      <c r="B14" s="32" t="s">
        <v>556</v>
      </c>
      <c r="C14" s="171">
        <v>5000</v>
      </c>
      <c r="D14" s="32">
        <v>5000</v>
      </c>
      <c r="E14" s="171">
        <v>5000</v>
      </c>
      <c r="F14" s="32">
        <v>5000</v>
      </c>
      <c r="G14" s="171">
        <v>5000</v>
      </c>
      <c r="H14" s="32">
        <v>5000</v>
      </c>
      <c r="I14" s="29"/>
      <c r="J14" s="29"/>
      <c r="K14" s="29"/>
      <c r="L14" s="21"/>
      <c r="M14" s="172"/>
      <c r="N14" s="160"/>
      <c r="O14" s="160"/>
      <c r="P14" s="172"/>
      <c r="Q14" s="172"/>
      <c r="R14" s="25"/>
      <c r="S14" s="25"/>
      <c r="T14" s="29">
        <v>204</v>
      </c>
      <c r="U14" s="29">
        <v>763</v>
      </c>
      <c r="AA14">
        <f>SUM(AA10:AA13)</f>
        <v>137850</v>
      </c>
    </row>
    <row r="15" spans="1:28" x14ac:dyDescent="0.25">
      <c r="A15" s="174">
        <v>301</v>
      </c>
      <c r="B15" s="180" t="s">
        <v>553</v>
      </c>
      <c r="C15" s="175"/>
      <c r="D15" s="173"/>
      <c r="E15" s="181"/>
      <c r="F15" s="173"/>
      <c r="G15" s="176"/>
      <c r="H15" s="173"/>
      <c r="I15" s="29"/>
      <c r="K15" s="29"/>
      <c r="L15" s="65">
        <v>10000</v>
      </c>
      <c r="M15" s="182">
        <v>10000</v>
      </c>
      <c r="N15" s="183">
        <v>10000</v>
      </c>
      <c r="P15" s="172"/>
      <c r="Q15" s="172"/>
      <c r="R15" s="25"/>
      <c r="S15" s="25"/>
      <c r="T15" s="173">
        <v>301</v>
      </c>
      <c r="U15" s="29">
        <v>763</v>
      </c>
    </row>
    <row r="16" spans="1:28" x14ac:dyDescent="0.25">
      <c r="A16" s="174">
        <v>302</v>
      </c>
      <c r="B16" s="180" t="s">
        <v>553</v>
      </c>
      <c r="C16" s="175"/>
      <c r="D16" s="173"/>
      <c r="E16" s="181"/>
      <c r="F16" s="173"/>
      <c r="G16" s="176"/>
      <c r="H16" s="173"/>
      <c r="I16" s="29"/>
      <c r="J16" s="29"/>
      <c r="L16" s="21"/>
      <c r="M16" s="172"/>
      <c r="N16" s="160"/>
      <c r="O16" s="183">
        <v>15000</v>
      </c>
      <c r="P16" s="183">
        <v>15000</v>
      </c>
      <c r="Q16" s="172"/>
      <c r="R16" s="25"/>
      <c r="S16" s="25"/>
      <c r="T16" s="173">
        <v>302</v>
      </c>
      <c r="U16" s="29">
        <v>763</v>
      </c>
    </row>
    <row r="17" spans="1:21" x14ac:dyDescent="0.25">
      <c r="A17" s="169">
        <v>303</v>
      </c>
      <c r="B17" s="32" t="s">
        <v>557</v>
      </c>
      <c r="C17" s="171">
        <v>5000</v>
      </c>
      <c r="D17" s="32">
        <v>5000</v>
      </c>
      <c r="E17" s="171">
        <v>5000</v>
      </c>
      <c r="F17" s="32">
        <v>5000</v>
      </c>
      <c r="G17" s="171">
        <v>5000</v>
      </c>
      <c r="H17" s="32">
        <v>5000</v>
      </c>
      <c r="I17" s="29"/>
      <c r="J17" s="29"/>
      <c r="K17" s="29"/>
      <c r="L17" s="21"/>
      <c r="M17" s="172"/>
      <c r="N17" s="160"/>
      <c r="O17" s="160"/>
      <c r="P17" s="172"/>
      <c r="Q17" s="172"/>
      <c r="R17" s="25"/>
      <c r="S17" s="25"/>
      <c r="T17" s="29">
        <v>303</v>
      </c>
      <c r="U17" s="29">
        <v>763</v>
      </c>
    </row>
    <row r="18" spans="1:21" x14ac:dyDescent="0.25">
      <c r="A18" s="184">
        <v>304</v>
      </c>
      <c r="B18" s="185" t="s">
        <v>558</v>
      </c>
      <c r="C18" s="186">
        <v>10000</v>
      </c>
      <c r="D18" s="185">
        <v>5000</v>
      </c>
      <c r="E18" s="187"/>
      <c r="F18" s="185"/>
      <c r="G18" s="187"/>
      <c r="I18" s="29"/>
      <c r="J18" s="29"/>
      <c r="K18" s="29"/>
      <c r="L18" s="21"/>
      <c r="M18" s="172"/>
      <c r="N18" s="185">
        <v>15000</v>
      </c>
      <c r="O18" s="160"/>
      <c r="P18" s="172"/>
      <c r="Q18" s="172"/>
      <c r="R18" s="25"/>
      <c r="S18" s="25"/>
      <c r="T18" s="173">
        <v>304</v>
      </c>
      <c r="U18" s="29">
        <v>763</v>
      </c>
    </row>
    <row r="19" spans="1:21" x14ac:dyDescent="0.25">
      <c r="A19" s="188" t="s">
        <v>20</v>
      </c>
      <c r="B19" s="189"/>
      <c r="C19" s="190">
        <f t="shared" ref="C19:H19" si="0">SUM(C3:C18)</f>
        <v>82000</v>
      </c>
      <c r="D19" s="190">
        <f t="shared" si="0"/>
        <v>59000</v>
      </c>
      <c r="E19" s="190">
        <f t="shared" si="0"/>
        <v>55000</v>
      </c>
      <c r="F19" s="190">
        <f t="shared" si="0"/>
        <v>55000</v>
      </c>
      <c r="G19" s="190">
        <f t="shared" si="0"/>
        <v>60000</v>
      </c>
      <c r="H19" s="190">
        <f t="shared" si="0"/>
        <v>45000</v>
      </c>
      <c r="I19" s="190">
        <f t="shared" ref="I19:L19" si="1">SUM(I3:I17)</f>
        <v>10000</v>
      </c>
      <c r="J19" s="190">
        <f t="shared" si="1"/>
        <v>10000</v>
      </c>
      <c r="K19" s="190">
        <f t="shared" si="1"/>
        <v>10000</v>
      </c>
      <c r="L19" s="190">
        <f t="shared" si="1"/>
        <v>10000</v>
      </c>
      <c r="M19" s="191">
        <f>SUM(L3:L17)</f>
        <v>10000</v>
      </c>
      <c r="N19" s="190">
        <v>25000</v>
      </c>
      <c r="O19" s="190">
        <v>15000</v>
      </c>
      <c r="P19" s="191">
        <v>15000</v>
      </c>
      <c r="Q19" s="191">
        <f>SUM(C19:P19)</f>
        <v>461000</v>
      </c>
      <c r="R19" s="25"/>
      <c r="S19" s="25"/>
      <c r="T19" s="188" t="s">
        <v>20</v>
      </c>
      <c r="U19" s="192">
        <f>SUM(U3:U18)</f>
        <v>12208</v>
      </c>
    </row>
    <row r="20" spans="1:21" ht="30" customHeight="1" x14ac:dyDescent="0.25">
      <c r="A20" s="193" t="s">
        <v>559</v>
      </c>
      <c r="B20" s="194">
        <f>Q19-E20</f>
        <v>285000</v>
      </c>
      <c r="C20" s="25"/>
      <c r="D20" s="195" t="s">
        <v>560</v>
      </c>
      <c r="E20" s="63">
        <v>176000</v>
      </c>
      <c r="F20" s="25"/>
      <c r="G20" s="25"/>
      <c r="H20" s="25"/>
      <c r="I20" s="25">
        <v>30000</v>
      </c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</row>
    <row r="21" spans="1:21" ht="15.75" customHeight="1" x14ac:dyDescent="0.25">
      <c r="A21" s="196" t="s">
        <v>561</v>
      </c>
      <c r="B21" s="197">
        <v>1900</v>
      </c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>
        <v>9200</v>
      </c>
      <c r="U21" s="25" t="s">
        <v>562</v>
      </c>
    </row>
    <row r="22" spans="1:21" ht="15.75" customHeight="1" x14ac:dyDescent="0.25">
      <c r="A22" s="197">
        <v>203</v>
      </c>
      <c r="B22" s="197">
        <v>600</v>
      </c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>
        <v>3000</v>
      </c>
      <c r="U22" s="25" t="s">
        <v>563</v>
      </c>
    </row>
    <row r="23" spans="1:21" ht="15.75" customHeight="1" x14ac:dyDescent="0.25">
      <c r="A23" s="197">
        <v>204</v>
      </c>
      <c r="B23" s="197">
        <v>600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</row>
    <row r="24" spans="1:21" ht="15.75" customHeight="1" x14ac:dyDescent="0.25">
      <c r="A24" s="197">
        <v>304</v>
      </c>
      <c r="B24" s="197">
        <v>0</v>
      </c>
      <c r="C24" s="25"/>
      <c r="D24" s="25"/>
      <c r="E24" s="25"/>
      <c r="F24" s="25"/>
      <c r="G24" s="25"/>
      <c r="H24" s="25"/>
      <c r="I24" s="25"/>
      <c r="J24" s="25"/>
      <c r="K24" s="25"/>
      <c r="L24" s="25">
        <f>446000-176000</f>
        <v>270000</v>
      </c>
      <c r="M24" s="25"/>
      <c r="N24" s="25"/>
      <c r="O24" s="25"/>
      <c r="P24" s="25"/>
      <c r="Q24" s="25"/>
      <c r="R24" s="25"/>
      <c r="S24" s="25"/>
      <c r="T24" s="25"/>
      <c r="U24" s="25"/>
    </row>
    <row r="25" spans="1:21" ht="15.75" customHeight="1" x14ac:dyDescent="0.25">
      <c r="A25" s="196" t="s">
        <v>20</v>
      </c>
      <c r="B25" s="196">
        <f>SUM(B21:B23)</f>
        <v>3100</v>
      </c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361" t="s">
        <v>564</v>
      </c>
      <c r="U25" s="362"/>
    </row>
    <row r="26" spans="1:21" ht="15.75" customHeight="1" x14ac:dyDescent="0.25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49" t="s">
        <v>64</v>
      </c>
      <c r="U26" s="27" t="s">
        <v>565</v>
      </c>
    </row>
    <row r="27" spans="1:21" ht="15.75" customHeight="1" x14ac:dyDescent="0.25">
      <c r="B27" s="25"/>
      <c r="C27" s="25"/>
      <c r="D27" s="25"/>
      <c r="E27" s="25"/>
      <c r="F27" s="25"/>
      <c r="G27" s="25"/>
      <c r="H27" s="25"/>
      <c r="I27" s="108">
        <f>I19-I20-I21-I22-I24-I25-I26</f>
        <v>-20000</v>
      </c>
      <c r="J27" s="108"/>
      <c r="K27" s="108"/>
      <c r="L27" s="177"/>
      <c r="M27" s="108"/>
      <c r="N27" s="108"/>
      <c r="O27" s="108"/>
      <c r="P27" s="108"/>
      <c r="Q27" s="108"/>
      <c r="R27" s="25"/>
      <c r="S27" s="25"/>
      <c r="T27" s="173" t="s">
        <v>68</v>
      </c>
      <c r="U27" s="29">
        <v>440</v>
      </c>
    </row>
    <row r="28" spans="1:21" ht="15.75" customHeight="1" x14ac:dyDescent="0.25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177">
        <v>45131</v>
      </c>
      <c r="M28" s="25">
        <v>14500</v>
      </c>
      <c r="N28" s="363" t="s">
        <v>566</v>
      </c>
      <c r="O28" s="25" t="s">
        <v>567</v>
      </c>
      <c r="P28" s="25"/>
      <c r="Q28" s="25"/>
      <c r="R28" s="25"/>
      <c r="S28" s="25"/>
      <c r="T28" s="29" t="s">
        <v>70</v>
      </c>
      <c r="U28" s="29">
        <v>440</v>
      </c>
    </row>
    <row r="29" spans="1:21" ht="15.75" customHeight="1" x14ac:dyDescent="0.25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177">
        <v>45135</v>
      </c>
      <c r="M29" s="25">
        <v>5500</v>
      </c>
      <c r="N29" s="339"/>
      <c r="O29" s="25"/>
      <c r="P29" s="25"/>
      <c r="Q29" s="25"/>
      <c r="R29" s="25"/>
      <c r="S29" s="25"/>
      <c r="T29" s="29" t="s">
        <v>16</v>
      </c>
      <c r="U29" s="29">
        <v>440</v>
      </c>
    </row>
    <row r="30" spans="1:21" ht="15.75" customHeight="1" x14ac:dyDescent="0.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177">
        <v>45187</v>
      </c>
      <c r="M30" s="25">
        <v>20000</v>
      </c>
      <c r="N30" s="25" t="s">
        <v>568</v>
      </c>
      <c r="O30" s="25"/>
      <c r="P30" s="25"/>
      <c r="Q30" s="25"/>
      <c r="R30" s="25"/>
      <c r="S30" s="25"/>
      <c r="T30" s="29" t="s">
        <v>13</v>
      </c>
      <c r="U30" s="29">
        <v>440</v>
      </c>
    </row>
    <row r="31" spans="1:21" ht="15.75" customHeight="1" x14ac:dyDescent="0.25">
      <c r="A31" s="25"/>
      <c r="H31" s="25"/>
      <c r="I31" s="25"/>
      <c r="J31" s="25"/>
      <c r="K31" s="25"/>
      <c r="L31" s="177">
        <v>45178</v>
      </c>
      <c r="M31" s="25">
        <v>5000</v>
      </c>
      <c r="N31" s="364" t="s">
        <v>569</v>
      </c>
      <c r="O31" s="25"/>
      <c r="P31" s="25"/>
      <c r="Q31" s="25"/>
      <c r="R31" s="25"/>
      <c r="S31" s="25"/>
      <c r="T31" s="173">
        <v>101</v>
      </c>
      <c r="U31" s="29"/>
    </row>
    <row r="32" spans="1:21" ht="15.75" customHeight="1" x14ac:dyDescent="0.25">
      <c r="A32" s="25"/>
      <c r="C32" s="198">
        <v>45022</v>
      </c>
      <c r="D32" s="1">
        <v>200116.65</v>
      </c>
      <c r="H32" s="25"/>
      <c r="I32" s="25"/>
      <c r="J32" s="25"/>
      <c r="K32" s="25"/>
      <c r="L32" s="177">
        <v>45186</v>
      </c>
      <c r="M32" s="25">
        <v>4000</v>
      </c>
      <c r="N32" s="339"/>
      <c r="O32" s="25"/>
      <c r="P32" s="25"/>
      <c r="Q32" s="25"/>
      <c r="R32" s="25"/>
      <c r="S32" s="25"/>
      <c r="T32" s="29">
        <v>102</v>
      </c>
      <c r="U32" s="29">
        <v>440</v>
      </c>
    </row>
    <row r="33" spans="1:21" ht="15.75" customHeight="1" x14ac:dyDescent="0.25">
      <c r="A33" s="25"/>
      <c r="C33" s="198">
        <v>45092</v>
      </c>
      <c r="D33" s="1">
        <v>10000</v>
      </c>
      <c r="H33" s="25"/>
      <c r="I33" s="25"/>
      <c r="J33" s="25"/>
      <c r="K33" s="25"/>
      <c r="L33" s="177">
        <v>45194</v>
      </c>
      <c r="M33" s="25">
        <v>12000</v>
      </c>
      <c r="N33" s="25" t="s">
        <v>568</v>
      </c>
      <c r="O33" s="25"/>
      <c r="P33" s="25"/>
      <c r="Q33" s="25"/>
      <c r="R33" s="25"/>
      <c r="S33" s="25"/>
      <c r="T33" s="29">
        <v>103</v>
      </c>
      <c r="U33" s="29">
        <v>440</v>
      </c>
    </row>
    <row r="34" spans="1:21" ht="15.75" customHeight="1" x14ac:dyDescent="0.25">
      <c r="A34" s="25"/>
      <c r="C34" s="198">
        <v>45141</v>
      </c>
      <c r="D34" s="1">
        <v>10000</v>
      </c>
      <c r="H34" s="25"/>
      <c r="I34" s="25"/>
      <c r="J34" s="25"/>
      <c r="K34" s="25"/>
      <c r="L34" s="177">
        <v>45218</v>
      </c>
      <c r="M34" s="25">
        <v>16500</v>
      </c>
      <c r="N34" s="25" t="s">
        <v>570</v>
      </c>
      <c r="O34" s="25"/>
      <c r="P34" s="25"/>
      <c r="Q34" s="25"/>
      <c r="R34" s="25"/>
      <c r="S34" s="25"/>
      <c r="T34" s="29">
        <v>104</v>
      </c>
      <c r="U34" s="29">
        <v>440</v>
      </c>
    </row>
    <row r="35" spans="1:21" ht="15.75" customHeight="1" x14ac:dyDescent="0.25">
      <c r="A35" s="25"/>
      <c r="C35" s="198">
        <v>45180</v>
      </c>
      <c r="D35" s="1">
        <v>10000</v>
      </c>
      <c r="H35" s="25"/>
      <c r="I35" s="25"/>
      <c r="J35" s="25"/>
      <c r="K35" s="25"/>
      <c r="L35" s="177">
        <v>45219</v>
      </c>
      <c r="M35" s="25">
        <v>3000</v>
      </c>
      <c r="N35" s="25" t="s">
        <v>570</v>
      </c>
      <c r="O35" s="25"/>
      <c r="P35" s="25"/>
      <c r="Q35" s="25"/>
      <c r="R35" s="25"/>
      <c r="S35" s="25"/>
      <c r="T35" s="180">
        <v>201</v>
      </c>
      <c r="U35" s="29"/>
    </row>
    <row r="36" spans="1:21" ht="15.75" customHeight="1" x14ac:dyDescent="0.25">
      <c r="A36" s="25"/>
      <c r="H36" s="25"/>
      <c r="I36" s="25"/>
      <c r="J36" s="25"/>
      <c r="K36" s="25"/>
      <c r="L36" s="177">
        <v>45219</v>
      </c>
      <c r="M36" s="25">
        <v>4450</v>
      </c>
      <c r="N36" s="25" t="s">
        <v>570</v>
      </c>
      <c r="O36" s="25"/>
      <c r="P36" s="25"/>
      <c r="Q36" s="25"/>
      <c r="R36" s="25"/>
      <c r="S36" s="25"/>
      <c r="T36" s="29">
        <v>202</v>
      </c>
      <c r="U36" s="29">
        <v>440</v>
      </c>
    </row>
    <row r="37" spans="1:21" ht="15.75" customHeight="1" x14ac:dyDescent="0.25">
      <c r="A37" s="25"/>
      <c r="D37" s="1">
        <f>SUM(D32:D35)</f>
        <v>230116.65</v>
      </c>
      <c r="H37" s="25"/>
      <c r="I37" s="25"/>
      <c r="J37" s="25"/>
      <c r="K37" s="25"/>
      <c r="L37" s="177">
        <v>45219</v>
      </c>
      <c r="M37" s="25">
        <v>1500</v>
      </c>
      <c r="N37" s="25" t="s">
        <v>570</v>
      </c>
      <c r="O37" s="25"/>
      <c r="P37" s="25"/>
      <c r="Q37" s="25"/>
      <c r="R37" s="25"/>
      <c r="S37" s="25"/>
      <c r="T37" s="29">
        <v>203</v>
      </c>
      <c r="U37" s="29">
        <v>440</v>
      </c>
    </row>
    <row r="38" spans="1:21" ht="15.75" customHeight="1" x14ac:dyDescent="0.25">
      <c r="A38" s="25"/>
      <c r="H38" s="25"/>
      <c r="I38" s="25"/>
      <c r="J38" s="25"/>
      <c r="K38" s="25"/>
      <c r="L38" s="177">
        <v>45280</v>
      </c>
      <c r="M38" s="25">
        <v>23000</v>
      </c>
      <c r="N38" s="25" t="s">
        <v>571</v>
      </c>
      <c r="O38" s="25"/>
      <c r="P38" s="25"/>
      <c r="Q38" s="25"/>
      <c r="R38" s="25"/>
      <c r="S38" s="25"/>
      <c r="T38" s="29">
        <v>204</v>
      </c>
      <c r="U38" s="29">
        <v>440</v>
      </c>
    </row>
    <row r="39" spans="1:21" ht="15.75" customHeight="1" x14ac:dyDescent="0.25">
      <c r="A39" s="25"/>
      <c r="B39" s="1" t="s">
        <v>572</v>
      </c>
      <c r="D39" s="1">
        <v>206834.66</v>
      </c>
      <c r="H39" s="25"/>
      <c r="I39" s="25"/>
      <c r="J39" s="25"/>
      <c r="K39" s="25"/>
      <c r="L39" s="177">
        <v>45388</v>
      </c>
      <c r="M39" s="25">
        <v>6000</v>
      </c>
      <c r="N39" s="25" t="s">
        <v>573</v>
      </c>
      <c r="O39" s="25" t="s">
        <v>574</v>
      </c>
      <c r="P39" s="25"/>
      <c r="Q39" s="25"/>
      <c r="R39" s="25"/>
      <c r="S39" s="25"/>
      <c r="T39" s="173">
        <v>301</v>
      </c>
      <c r="U39" s="29"/>
    </row>
    <row r="40" spans="1:21" ht="15.75" customHeight="1" x14ac:dyDescent="0.25">
      <c r="A40" s="25"/>
      <c r="H40" s="25"/>
      <c r="I40" s="25"/>
      <c r="J40" s="25"/>
      <c r="K40" s="25"/>
      <c r="L40" s="177">
        <v>45448</v>
      </c>
      <c r="M40" s="25">
        <v>5000</v>
      </c>
      <c r="N40" s="25" t="s">
        <v>575</v>
      </c>
      <c r="O40" s="25"/>
      <c r="P40" s="25"/>
      <c r="Q40" s="25"/>
      <c r="R40" s="25"/>
      <c r="S40" s="25"/>
      <c r="T40" s="173">
        <v>302</v>
      </c>
      <c r="U40" s="29"/>
    </row>
    <row r="41" spans="1:21" ht="15.75" customHeight="1" x14ac:dyDescent="0.25">
      <c r="A41" s="25"/>
      <c r="H41" s="25"/>
      <c r="I41" s="25"/>
      <c r="J41" s="25"/>
      <c r="K41" s="25"/>
      <c r="L41" s="177">
        <v>45478</v>
      </c>
      <c r="M41" s="25">
        <v>1500</v>
      </c>
      <c r="N41" s="25" t="s">
        <v>606</v>
      </c>
      <c r="O41" s="25"/>
      <c r="P41" s="25"/>
      <c r="Q41" s="25"/>
      <c r="R41" s="25"/>
      <c r="S41" s="25"/>
      <c r="T41" s="29">
        <v>303</v>
      </c>
      <c r="U41" s="29">
        <v>440</v>
      </c>
    </row>
    <row r="42" spans="1:21" ht="15.75" customHeight="1" x14ac:dyDescent="0.25">
      <c r="A42" s="241">
        <v>45902</v>
      </c>
      <c r="D42" s="243">
        <v>45902</v>
      </c>
      <c r="E42" s="233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173">
        <v>304</v>
      </c>
      <c r="U42" s="29"/>
    </row>
    <row r="43" spans="1:21" ht="15.75" customHeight="1" x14ac:dyDescent="0.25">
      <c r="A43" s="234" t="s">
        <v>133</v>
      </c>
      <c r="B43" s="234" t="s">
        <v>692</v>
      </c>
      <c r="D43" s="242" t="s">
        <v>694</v>
      </c>
      <c r="E43" s="242" t="s">
        <v>134</v>
      </c>
      <c r="F43" s="242" t="s">
        <v>696</v>
      </c>
      <c r="G43" s="242" t="s">
        <v>695</v>
      </c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188" t="s">
        <v>20</v>
      </c>
      <c r="U43" s="192">
        <f>SUM(U27:U42)</f>
        <v>4840</v>
      </c>
    </row>
    <row r="44" spans="1:21" ht="15" customHeight="1" x14ac:dyDescent="0.25">
      <c r="A44" s="239" t="s">
        <v>68</v>
      </c>
      <c r="B44" s="238" t="s">
        <v>693</v>
      </c>
      <c r="D44" s="232">
        <v>203</v>
      </c>
      <c r="E44" s="232">
        <v>100000</v>
      </c>
      <c r="F44" s="246">
        <v>45870</v>
      </c>
      <c r="G44" s="237" t="s">
        <v>697</v>
      </c>
    </row>
    <row r="45" spans="1:21" ht="15" customHeight="1" x14ac:dyDescent="0.25">
      <c r="A45" s="239" t="s">
        <v>70</v>
      </c>
      <c r="B45" s="238" t="s">
        <v>693</v>
      </c>
      <c r="D45" s="232">
        <v>303</v>
      </c>
      <c r="E45" s="232">
        <v>50000</v>
      </c>
      <c r="F45" s="246">
        <v>45885</v>
      </c>
      <c r="G45" s="237" t="s">
        <v>697</v>
      </c>
    </row>
    <row r="46" spans="1:21" ht="15" customHeight="1" x14ac:dyDescent="0.25">
      <c r="A46" s="239" t="s">
        <v>16</v>
      </c>
      <c r="B46" s="238" t="s">
        <v>693</v>
      </c>
      <c r="D46" s="244"/>
      <c r="E46" s="244"/>
      <c r="F46" s="233"/>
      <c r="G46" s="233"/>
    </row>
    <row r="47" spans="1:21" ht="15" customHeight="1" x14ac:dyDescent="0.25">
      <c r="A47" s="239" t="s">
        <v>13</v>
      </c>
      <c r="B47" s="238" t="s">
        <v>693</v>
      </c>
      <c r="D47" s="242" t="s">
        <v>698</v>
      </c>
      <c r="E47" s="242" t="s">
        <v>706</v>
      </c>
      <c r="F47" s="242" t="s">
        <v>699</v>
      </c>
      <c r="G47" s="242" t="s">
        <v>20</v>
      </c>
    </row>
    <row r="48" spans="1:21" ht="15" customHeight="1" x14ac:dyDescent="0.25">
      <c r="A48" s="239">
        <v>101</v>
      </c>
      <c r="B48" s="240">
        <v>9000</v>
      </c>
      <c r="D48" s="231">
        <v>103</v>
      </c>
      <c r="E48" s="231">
        <v>45000</v>
      </c>
      <c r="F48" s="231">
        <v>27000</v>
      </c>
      <c r="G48" s="248">
        <v>72000</v>
      </c>
    </row>
    <row r="49" spans="1:5" ht="15" customHeight="1" x14ac:dyDescent="0.25">
      <c r="A49" s="239">
        <v>102</v>
      </c>
      <c r="B49" s="238" t="s">
        <v>693</v>
      </c>
    </row>
    <row r="50" spans="1:5" ht="15" customHeight="1" x14ac:dyDescent="0.25">
      <c r="A50" s="239">
        <v>103</v>
      </c>
      <c r="B50" s="238" t="s">
        <v>693</v>
      </c>
      <c r="E50" s="247" t="s">
        <v>700</v>
      </c>
    </row>
    <row r="51" spans="1:5" ht="15" customHeight="1" x14ac:dyDescent="0.25">
      <c r="A51" s="239">
        <v>104</v>
      </c>
      <c r="B51" s="240">
        <v>5000</v>
      </c>
      <c r="E51" s="247" t="s">
        <v>705</v>
      </c>
    </row>
    <row r="52" spans="1:5" ht="15" customHeight="1" x14ac:dyDescent="0.25">
      <c r="A52" s="239">
        <v>201</v>
      </c>
      <c r="B52" s="238" t="s">
        <v>693</v>
      </c>
      <c r="E52" s="247" t="s">
        <v>701</v>
      </c>
    </row>
    <row r="53" spans="1:5" ht="15" customHeight="1" x14ac:dyDescent="0.25">
      <c r="A53" s="239">
        <v>202</v>
      </c>
      <c r="B53" s="238" t="s">
        <v>693</v>
      </c>
      <c r="E53" s="247" t="s">
        <v>702</v>
      </c>
    </row>
    <row r="54" spans="1:5" ht="15" customHeight="1" x14ac:dyDescent="0.25">
      <c r="A54" s="239">
        <v>203</v>
      </c>
      <c r="B54" s="238" t="s">
        <v>693</v>
      </c>
      <c r="E54" s="247" t="s">
        <v>703</v>
      </c>
    </row>
    <row r="55" spans="1:5" ht="15" customHeight="1" x14ac:dyDescent="0.25">
      <c r="A55" s="239">
        <v>204</v>
      </c>
      <c r="B55" s="238" t="s">
        <v>693</v>
      </c>
      <c r="E55" s="247" t="s">
        <v>704</v>
      </c>
    </row>
    <row r="56" spans="1:5" ht="15" customHeight="1" x14ac:dyDescent="0.25">
      <c r="A56" s="239">
        <v>301</v>
      </c>
      <c r="B56" s="238" t="s">
        <v>693</v>
      </c>
    </row>
    <row r="57" spans="1:5" ht="15" customHeight="1" x14ac:dyDescent="0.25">
      <c r="A57" s="239">
        <v>302</v>
      </c>
      <c r="B57" s="238" t="s">
        <v>693</v>
      </c>
    </row>
    <row r="58" spans="1:5" ht="15" customHeight="1" x14ac:dyDescent="0.25">
      <c r="A58" s="239">
        <v>303</v>
      </c>
      <c r="B58" s="240">
        <v>10000</v>
      </c>
    </row>
    <row r="59" spans="1:5" ht="15" customHeight="1" x14ac:dyDescent="0.25">
      <c r="A59" s="239">
        <v>304</v>
      </c>
      <c r="B59" s="238" t="s">
        <v>693</v>
      </c>
    </row>
    <row r="60" spans="1:5" ht="15" customHeight="1" x14ac:dyDescent="0.25">
      <c r="A60" s="233"/>
      <c r="B60" s="233"/>
      <c r="C60" s="233"/>
    </row>
  </sheetData>
  <mergeCells count="4">
    <mergeCell ref="A1:H1"/>
    <mergeCell ref="T25:U25"/>
    <mergeCell ref="N28:N29"/>
    <mergeCell ref="N31:N32"/>
  </mergeCells>
  <pageMargins left="0.7" right="0.7" top="0.75" bottom="0.75" header="0" footer="0"/>
  <pageSetup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9F294-F94D-4D87-9685-B75821C173BE}">
  <dimension ref="A1:AA21"/>
  <sheetViews>
    <sheetView workbookViewId="0">
      <selection activeCell="I22" sqref="I22"/>
    </sheetView>
  </sheetViews>
  <sheetFormatPr defaultRowHeight="15" x14ac:dyDescent="0.25"/>
  <cols>
    <col min="1" max="1" width="11.28515625" bestFit="1" customWidth="1"/>
    <col min="2" max="2" width="16" bestFit="1" customWidth="1"/>
  </cols>
  <sheetData>
    <row r="1" spans="1:27" x14ac:dyDescent="0.25">
      <c r="L1" t="s">
        <v>628</v>
      </c>
      <c r="P1">
        <v>85835</v>
      </c>
    </row>
    <row r="2" spans="1:27" ht="15.75" thickBot="1" x14ac:dyDescent="0.3">
      <c r="AA2" s="1"/>
    </row>
    <row r="3" spans="1:27" x14ac:dyDescent="0.25">
      <c r="A3" s="358" t="s">
        <v>539</v>
      </c>
      <c r="B3" s="359"/>
      <c r="C3" s="359"/>
      <c r="D3" s="359"/>
      <c r="E3" s="359"/>
      <c r="F3" s="359"/>
      <c r="G3" s="359"/>
      <c r="H3" s="360"/>
    </row>
    <row r="4" spans="1:27" x14ac:dyDescent="0.25">
      <c r="A4" s="164" t="s">
        <v>64</v>
      </c>
      <c r="B4" s="165" t="s">
        <v>541</v>
      </c>
      <c r="C4" s="166">
        <v>45566</v>
      </c>
      <c r="D4" s="167">
        <v>45597</v>
      </c>
      <c r="E4" s="166">
        <v>45627</v>
      </c>
      <c r="F4" s="167">
        <v>45658</v>
      </c>
      <c r="G4" s="166">
        <v>45689</v>
      </c>
      <c r="H4" s="167">
        <v>45717</v>
      </c>
    </row>
    <row r="5" spans="1:27" x14ac:dyDescent="0.25">
      <c r="A5" s="169" t="s">
        <v>68</v>
      </c>
      <c r="B5" s="209" t="s">
        <v>629</v>
      </c>
      <c r="C5" s="170">
        <v>5000</v>
      </c>
      <c r="D5" s="32"/>
      <c r="E5" s="171"/>
      <c r="F5" s="171"/>
      <c r="G5" s="171"/>
      <c r="H5" s="32"/>
    </row>
    <row r="6" spans="1:27" x14ac:dyDescent="0.25">
      <c r="A6" s="169" t="s">
        <v>70</v>
      </c>
      <c r="B6" s="209" t="s">
        <v>545</v>
      </c>
      <c r="C6" s="171"/>
      <c r="D6" s="171"/>
      <c r="E6" s="171"/>
      <c r="F6" s="171"/>
      <c r="G6" s="171"/>
      <c r="H6" s="171"/>
    </row>
    <row r="7" spans="1:27" x14ac:dyDescent="0.25">
      <c r="A7" s="169" t="s">
        <v>16</v>
      </c>
      <c r="B7" s="209" t="s">
        <v>546</v>
      </c>
      <c r="C7" s="171"/>
      <c r="D7" s="32"/>
      <c r="E7" s="171"/>
      <c r="F7" s="32"/>
      <c r="G7" s="171"/>
      <c r="H7" s="32"/>
    </row>
    <row r="8" spans="1:27" x14ac:dyDescent="0.25">
      <c r="A8" s="169" t="s">
        <v>13</v>
      </c>
      <c r="B8" s="209" t="s">
        <v>547</v>
      </c>
      <c r="C8" s="171">
        <v>3000</v>
      </c>
      <c r="D8" s="32"/>
      <c r="E8" s="171"/>
      <c r="F8" s="32"/>
      <c r="G8" s="171"/>
      <c r="H8" s="32"/>
    </row>
    <row r="9" spans="1:27" x14ac:dyDescent="0.25">
      <c r="A9" s="208">
        <v>101</v>
      </c>
      <c r="B9" s="210" t="s">
        <v>630</v>
      </c>
      <c r="C9" s="175"/>
      <c r="D9" s="173"/>
      <c r="E9" s="176"/>
      <c r="F9" s="173"/>
      <c r="G9" s="176"/>
      <c r="H9" s="173"/>
    </row>
    <row r="10" spans="1:27" x14ac:dyDescent="0.25">
      <c r="A10" s="169">
        <v>102</v>
      </c>
      <c r="B10" s="209" t="s">
        <v>550</v>
      </c>
      <c r="C10" s="171"/>
      <c r="D10" s="32"/>
      <c r="E10" s="171"/>
      <c r="F10" s="32"/>
      <c r="G10" s="171"/>
      <c r="H10" s="32"/>
    </row>
    <row r="11" spans="1:27" x14ac:dyDescent="0.25">
      <c r="A11" s="169">
        <v>103</v>
      </c>
      <c r="B11" s="209" t="s">
        <v>551</v>
      </c>
      <c r="C11" s="171"/>
      <c r="D11" s="32"/>
      <c r="E11" s="171"/>
      <c r="F11" s="32"/>
      <c r="G11" s="171"/>
      <c r="H11" s="32"/>
    </row>
    <row r="12" spans="1:27" x14ac:dyDescent="0.25">
      <c r="A12" s="169">
        <v>104</v>
      </c>
      <c r="B12" s="209" t="s">
        <v>552</v>
      </c>
      <c r="C12" s="171"/>
      <c r="D12" s="32"/>
      <c r="E12" s="171"/>
      <c r="F12" s="32"/>
      <c r="G12" s="171"/>
      <c r="H12" s="32"/>
    </row>
    <row r="13" spans="1:27" x14ac:dyDescent="0.25">
      <c r="A13" s="178">
        <v>201</v>
      </c>
      <c r="B13" s="211" t="s">
        <v>553</v>
      </c>
      <c r="C13" s="171"/>
      <c r="D13" s="32"/>
      <c r="E13" s="171"/>
      <c r="F13" s="32"/>
      <c r="G13" s="171"/>
      <c r="H13" s="32"/>
    </row>
    <row r="14" spans="1:27" x14ac:dyDescent="0.25">
      <c r="A14" s="169">
        <v>202</v>
      </c>
      <c r="B14" s="209" t="s">
        <v>554</v>
      </c>
      <c r="C14" s="171"/>
      <c r="D14" s="32"/>
      <c r="E14" s="171"/>
      <c r="F14" s="32"/>
      <c r="G14" s="171"/>
      <c r="H14" s="32"/>
    </row>
    <row r="15" spans="1:27" x14ac:dyDescent="0.25">
      <c r="A15" s="169">
        <v>203</v>
      </c>
      <c r="B15" s="209" t="s">
        <v>555</v>
      </c>
      <c r="C15" s="171"/>
      <c r="D15" s="32"/>
      <c r="E15" s="171"/>
      <c r="F15" s="32"/>
      <c r="G15" s="171"/>
      <c r="H15" s="32"/>
    </row>
    <row r="16" spans="1:27" x14ac:dyDescent="0.25">
      <c r="A16" s="169">
        <v>204</v>
      </c>
      <c r="B16" s="209" t="s">
        <v>556</v>
      </c>
      <c r="C16" s="171"/>
      <c r="D16" s="32"/>
      <c r="E16" s="171"/>
      <c r="F16" s="32"/>
      <c r="G16" s="171"/>
      <c r="H16" s="32"/>
    </row>
    <row r="17" spans="1:8" x14ac:dyDescent="0.25">
      <c r="A17" s="169">
        <v>301</v>
      </c>
      <c r="B17" s="209" t="s">
        <v>553</v>
      </c>
      <c r="C17" s="171"/>
      <c r="D17" s="32"/>
      <c r="E17" s="171"/>
      <c r="F17" s="32"/>
      <c r="G17" s="171"/>
      <c r="H17" s="32"/>
    </row>
    <row r="18" spans="1:8" x14ac:dyDescent="0.25">
      <c r="A18" s="169">
        <v>302</v>
      </c>
      <c r="B18" s="209" t="s">
        <v>553</v>
      </c>
      <c r="C18" s="171"/>
      <c r="D18" s="32"/>
      <c r="E18" s="171"/>
      <c r="F18" s="32"/>
      <c r="G18" s="171"/>
      <c r="H18" s="32"/>
    </row>
    <row r="19" spans="1:8" x14ac:dyDescent="0.25">
      <c r="A19" s="169">
        <v>303</v>
      </c>
      <c r="B19" s="209" t="s">
        <v>557</v>
      </c>
      <c r="C19" s="171"/>
      <c r="D19" s="32"/>
      <c r="E19" s="171"/>
      <c r="F19" s="32"/>
      <c r="G19" s="171"/>
      <c r="H19" s="32"/>
    </row>
    <row r="20" spans="1:8" x14ac:dyDescent="0.25">
      <c r="A20" s="184">
        <v>304</v>
      </c>
      <c r="B20" s="212" t="s">
        <v>558</v>
      </c>
      <c r="C20" s="186"/>
      <c r="D20" s="185"/>
      <c r="E20" s="187"/>
      <c r="F20" s="185"/>
      <c r="G20" s="187"/>
      <c r="H20" s="32"/>
    </row>
    <row r="21" spans="1:8" x14ac:dyDescent="0.25">
      <c r="A21" s="188" t="s">
        <v>20</v>
      </c>
      <c r="B21" s="189"/>
      <c r="C21" s="190"/>
      <c r="D21" s="190"/>
      <c r="E21" s="190"/>
      <c r="F21" s="190"/>
      <c r="G21" s="190"/>
      <c r="H21" s="190"/>
    </row>
  </sheetData>
  <mergeCells count="1">
    <mergeCell ref="A3:H3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3:L22"/>
  <sheetViews>
    <sheetView topLeftCell="A21" workbookViewId="0">
      <selection activeCell="L11" sqref="L11"/>
    </sheetView>
  </sheetViews>
  <sheetFormatPr defaultColWidth="14.42578125" defaultRowHeight="15" customHeight="1" x14ac:dyDescent="0.25"/>
  <cols>
    <col min="1" max="1" width="23" customWidth="1"/>
    <col min="2" max="2" width="7" customWidth="1"/>
    <col min="3" max="3" width="18.5703125" customWidth="1"/>
    <col min="4" max="4" width="28.85546875" customWidth="1"/>
    <col min="5" max="5" width="27.5703125" customWidth="1"/>
    <col min="6" max="12" width="9.85546875" customWidth="1"/>
  </cols>
  <sheetData>
    <row r="3" spans="1:12" ht="14.25" customHeight="1" x14ac:dyDescent="0.25">
      <c r="A3" s="365" t="s">
        <v>576</v>
      </c>
      <c r="B3" s="336"/>
      <c r="C3" s="337"/>
      <c r="D3" s="49" t="s">
        <v>577</v>
      </c>
      <c r="E3" s="49"/>
      <c r="F3" s="49"/>
    </row>
    <row r="4" spans="1:12" ht="14.25" customHeight="1" x14ac:dyDescent="0.25">
      <c r="A4" s="29" t="s">
        <v>578</v>
      </c>
      <c r="B4" s="199">
        <v>5000</v>
      </c>
      <c r="C4" s="29"/>
      <c r="D4" s="64">
        <v>5000</v>
      </c>
      <c r="E4" s="29"/>
      <c r="F4" s="29"/>
    </row>
    <row r="5" spans="1:12" ht="14.25" customHeight="1" x14ac:dyDescent="0.25">
      <c r="A5" s="29" t="s">
        <v>578</v>
      </c>
      <c r="B5" s="199">
        <v>25000</v>
      </c>
      <c r="C5" s="29"/>
      <c r="D5" s="64">
        <v>20000</v>
      </c>
      <c r="E5" s="119" t="s">
        <v>579</v>
      </c>
      <c r="F5" s="29"/>
    </row>
    <row r="6" spans="1:12" ht="14.25" customHeight="1" x14ac:dyDescent="0.25">
      <c r="A6" s="29" t="s">
        <v>580</v>
      </c>
      <c r="B6" s="199">
        <v>50</v>
      </c>
      <c r="C6" s="29"/>
      <c r="D6" s="64"/>
      <c r="E6" s="119"/>
      <c r="F6" s="29"/>
    </row>
    <row r="7" spans="1:12" ht="14.25" customHeight="1" x14ac:dyDescent="0.25">
      <c r="A7" s="29" t="s">
        <v>581</v>
      </c>
      <c r="B7" s="199">
        <v>2000</v>
      </c>
      <c r="C7" s="29"/>
      <c r="D7" s="64">
        <v>2000</v>
      </c>
      <c r="E7" s="29"/>
      <c r="F7" s="29"/>
    </row>
    <row r="8" spans="1:12" ht="14.25" customHeight="1" x14ac:dyDescent="0.25">
      <c r="A8" s="29" t="s">
        <v>582</v>
      </c>
      <c r="B8" s="199">
        <v>125800</v>
      </c>
      <c r="C8" s="29"/>
      <c r="D8" s="64">
        <v>130000</v>
      </c>
      <c r="E8" s="29" t="s">
        <v>583</v>
      </c>
      <c r="F8" s="29"/>
    </row>
    <row r="9" spans="1:12" ht="14.25" customHeight="1" x14ac:dyDescent="0.25">
      <c r="A9" s="29" t="s">
        <v>584</v>
      </c>
      <c r="B9" s="200">
        <v>10000</v>
      </c>
      <c r="C9" s="119" t="s">
        <v>585</v>
      </c>
      <c r="D9" s="201">
        <v>5000</v>
      </c>
      <c r="E9" s="119"/>
      <c r="F9" s="29"/>
    </row>
    <row r="10" spans="1:12" ht="14.25" customHeight="1" x14ac:dyDescent="0.25">
      <c r="A10" s="29" t="s">
        <v>586</v>
      </c>
      <c r="B10" s="200">
        <v>350</v>
      </c>
      <c r="C10" s="119" t="s">
        <v>587</v>
      </c>
      <c r="D10" s="29">
        <v>6000</v>
      </c>
      <c r="E10" s="119" t="s">
        <v>23</v>
      </c>
      <c r="F10" s="29">
        <f>4200+5000+6000</f>
        <v>15200</v>
      </c>
    </row>
    <row r="11" spans="1:12" ht="14.25" customHeight="1" x14ac:dyDescent="0.25">
      <c r="A11" s="29" t="s">
        <v>588</v>
      </c>
      <c r="B11" s="200">
        <v>240</v>
      </c>
      <c r="C11" s="29"/>
      <c r="D11" s="29">
        <v>5000</v>
      </c>
      <c r="E11" s="29" t="s">
        <v>589</v>
      </c>
      <c r="F11" s="29">
        <v>18080</v>
      </c>
      <c r="L11" s="1">
        <v>175880</v>
      </c>
    </row>
    <row r="12" spans="1:12" ht="14.25" customHeight="1" x14ac:dyDescent="0.25">
      <c r="A12" s="29" t="s">
        <v>590</v>
      </c>
      <c r="B12" s="200">
        <v>1600</v>
      </c>
      <c r="C12" s="29"/>
      <c r="D12" s="29">
        <v>2880</v>
      </c>
      <c r="E12" s="22"/>
      <c r="F12" s="22"/>
    </row>
    <row r="13" spans="1:12" ht="14.25" customHeight="1" x14ac:dyDescent="0.25">
      <c r="A13" s="29" t="s">
        <v>591</v>
      </c>
      <c r="B13" s="200">
        <v>2400</v>
      </c>
      <c r="C13" s="29"/>
      <c r="D13" s="29">
        <v>50</v>
      </c>
      <c r="E13" s="29"/>
      <c r="F13" s="29"/>
    </row>
    <row r="14" spans="1:12" ht="14.25" customHeight="1" x14ac:dyDescent="0.25">
      <c r="A14" s="29" t="s">
        <v>592</v>
      </c>
      <c r="B14" s="200">
        <v>500</v>
      </c>
      <c r="C14" s="29"/>
      <c r="D14" s="29"/>
      <c r="E14" s="29"/>
      <c r="F14" s="29"/>
    </row>
    <row r="15" spans="1:12" ht="14.25" customHeight="1" x14ac:dyDescent="0.25">
      <c r="A15" s="29" t="s">
        <v>593</v>
      </c>
      <c r="B15" s="200">
        <v>1900</v>
      </c>
      <c r="C15" s="29"/>
      <c r="D15" s="29"/>
      <c r="E15" s="29"/>
      <c r="F15" s="29"/>
    </row>
    <row r="16" spans="1:12" ht="14.25" customHeight="1" x14ac:dyDescent="0.25">
      <c r="A16" s="29" t="s">
        <v>594</v>
      </c>
      <c r="B16" s="200">
        <v>790</v>
      </c>
      <c r="C16" s="29"/>
      <c r="D16" s="29"/>
      <c r="E16" s="29"/>
      <c r="F16" s="29"/>
    </row>
    <row r="17" spans="1:7" ht="14.25" customHeight="1" x14ac:dyDescent="0.25">
      <c r="A17" s="29" t="s">
        <v>595</v>
      </c>
      <c r="B17" s="200">
        <v>300</v>
      </c>
      <c r="C17" s="29"/>
      <c r="D17" s="29"/>
      <c r="E17" s="29" t="s">
        <v>596</v>
      </c>
      <c r="F17" s="29">
        <f>F11-F10</f>
        <v>2880</v>
      </c>
      <c r="G17" s="1" t="s">
        <v>597</v>
      </c>
    </row>
    <row r="18" spans="1:7" ht="14.25" customHeight="1" x14ac:dyDescent="0.25">
      <c r="E18" s="1" t="s">
        <v>598</v>
      </c>
      <c r="F18" s="1">
        <v>1496</v>
      </c>
      <c r="G18" s="1" t="s">
        <v>98</v>
      </c>
    </row>
    <row r="19" spans="1:7" ht="14.25" customHeight="1" x14ac:dyDescent="0.25">
      <c r="A19" s="25" t="s">
        <v>599</v>
      </c>
      <c r="B19" s="1">
        <f>SUM(B4:B17)</f>
        <v>175930</v>
      </c>
      <c r="D19" s="1">
        <f>SUM(D4:D18)</f>
        <v>175930</v>
      </c>
      <c r="E19" s="1" t="s">
        <v>600</v>
      </c>
      <c r="F19" s="26">
        <v>2044</v>
      </c>
    </row>
    <row r="20" spans="1:7" ht="14.25" customHeight="1" x14ac:dyDescent="0.25">
      <c r="E20" s="25" t="s">
        <v>601</v>
      </c>
      <c r="F20" s="1">
        <f>F19-F18</f>
        <v>548</v>
      </c>
      <c r="G20" s="1" t="s">
        <v>597</v>
      </c>
    </row>
    <row r="21" spans="1:7" ht="14.25" customHeight="1" x14ac:dyDescent="0.25">
      <c r="A21" s="25" t="s">
        <v>602</v>
      </c>
      <c r="B21" s="1">
        <f>B19/16</f>
        <v>10995.625</v>
      </c>
    </row>
    <row r="22" spans="1:7" ht="14.25" customHeight="1" x14ac:dyDescent="0.25">
      <c r="A22" s="26" t="s">
        <v>603</v>
      </c>
      <c r="B22" s="1">
        <v>11000</v>
      </c>
    </row>
  </sheetData>
  <mergeCells count="1">
    <mergeCell ref="A3:C3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75</vt:i4>
      </vt:variant>
    </vt:vector>
  </HeadingPairs>
  <TitlesOfParts>
    <vt:vector size="75" baseType="lpstr">
      <vt:lpstr>June 2020</vt:lpstr>
      <vt:lpstr>PARTY </vt:lpstr>
      <vt:lpstr>July_2020</vt:lpstr>
      <vt:lpstr>August_2020</vt:lpstr>
      <vt:lpstr>September_2020</vt:lpstr>
      <vt:lpstr>October 2020</vt:lpstr>
      <vt:lpstr>November 2020</vt:lpstr>
      <vt:lpstr>Dec2020</vt:lpstr>
      <vt:lpstr>Jan 2021</vt:lpstr>
      <vt:lpstr>Feb2021</vt:lpstr>
      <vt:lpstr>march 2021</vt:lpstr>
      <vt:lpstr>April 2021</vt:lpstr>
      <vt:lpstr>May 2021</vt:lpstr>
      <vt:lpstr>June 2021</vt:lpstr>
      <vt:lpstr>July 2021 </vt:lpstr>
      <vt:lpstr>AUG 2021</vt:lpstr>
      <vt:lpstr>SEP 2021 </vt:lpstr>
      <vt:lpstr>Oct 2021 </vt:lpstr>
      <vt:lpstr>Nov 2021</vt:lpstr>
      <vt:lpstr>DEC 2021 (2)</vt:lpstr>
      <vt:lpstr>JAN 2022</vt:lpstr>
      <vt:lpstr>Mar 2022</vt:lpstr>
      <vt:lpstr>FEB 2022</vt:lpstr>
      <vt:lpstr>Apr2022</vt:lpstr>
      <vt:lpstr>May 2022</vt:lpstr>
      <vt:lpstr>June 2022</vt:lpstr>
      <vt:lpstr>July 2022</vt:lpstr>
      <vt:lpstr>Aug 2022</vt:lpstr>
      <vt:lpstr>Sep 2022</vt:lpstr>
      <vt:lpstr>Oct 2022</vt:lpstr>
      <vt:lpstr>Nov 2022</vt:lpstr>
      <vt:lpstr>Dec 2022</vt:lpstr>
      <vt:lpstr>Jan 2023</vt:lpstr>
      <vt:lpstr>Feb - 2023 </vt:lpstr>
      <vt:lpstr>March - 2023</vt:lpstr>
      <vt:lpstr>Apr-2023</vt:lpstr>
      <vt:lpstr>May-2023</vt:lpstr>
      <vt:lpstr>June 2023</vt:lpstr>
      <vt:lpstr>July 2023</vt:lpstr>
      <vt:lpstr>Aug 2023</vt:lpstr>
      <vt:lpstr>Sep 2023 (2)</vt:lpstr>
      <vt:lpstr>OCT 2023 (2)</vt:lpstr>
      <vt:lpstr>Nov 2023 (2)</vt:lpstr>
      <vt:lpstr>Dec 2023</vt:lpstr>
      <vt:lpstr>Jan 2024</vt:lpstr>
      <vt:lpstr>Feb 2024</vt:lpstr>
      <vt:lpstr>Mar-2024</vt:lpstr>
      <vt:lpstr>APR -2024</vt:lpstr>
      <vt:lpstr>May-2024</vt:lpstr>
      <vt:lpstr>June -2024</vt:lpstr>
      <vt:lpstr>July-2024</vt:lpstr>
      <vt:lpstr>Aug-2024</vt:lpstr>
      <vt:lpstr>Sep-2024</vt:lpstr>
      <vt:lpstr>Oct-2024</vt:lpstr>
      <vt:lpstr>Dec-2024</vt:lpstr>
      <vt:lpstr>Jan-2025</vt:lpstr>
      <vt:lpstr>Feb-2025</vt:lpstr>
      <vt:lpstr>Mar-2025</vt:lpstr>
      <vt:lpstr>April-2025</vt:lpstr>
      <vt:lpstr>May-2025</vt:lpstr>
      <vt:lpstr>June-2025</vt:lpstr>
      <vt:lpstr>July-2025</vt:lpstr>
      <vt:lpstr>Aug-2025</vt:lpstr>
      <vt:lpstr>SEP-2025</vt:lpstr>
      <vt:lpstr>OCT-2025</vt:lpstr>
      <vt:lpstr>Nov-2025</vt:lpstr>
      <vt:lpstr>Dec-2025</vt:lpstr>
      <vt:lpstr>Jan-2026</vt:lpstr>
      <vt:lpstr>Feb-2026</vt:lpstr>
      <vt:lpstr>March-2026</vt:lpstr>
      <vt:lpstr>April-2026</vt:lpstr>
      <vt:lpstr>Ganesh Festival</vt:lpstr>
      <vt:lpstr>Carpus Fund</vt:lpstr>
      <vt:lpstr>Curpus Fund2</vt:lpstr>
      <vt:lpstr>Water connecion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jagadish ch</dc:creator>
  <cp:lastModifiedBy>jaga ch</cp:lastModifiedBy>
  <dcterms:created xsi:type="dcterms:W3CDTF">2020-06-08T02:20:09Z</dcterms:created>
  <dcterms:modified xsi:type="dcterms:W3CDTF">2026-04-03T07:17:20Z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bd03df3bb4d74fddaa86323d8662818c</vt:lpwstr>
  </property>
</Properties>
</file>